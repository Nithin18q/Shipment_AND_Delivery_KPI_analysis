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baf378442c9dcd6/Documents/Desktop/kpi_analysis/"/>
    </mc:Choice>
  </mc:AlternateContent>
  <xr:revisionPtr revIDLastSave="1345" documentId="11_5787CB59524C346FE76A745540E19EFCEA2A94BD" xr6:coauthVersionLast="47" xr6:coauthVersionMax="47" xr10:uidLastSave="{CD879A10-3BB6-48E2-98C3-4F3BC0C81F8C}"/>
  <bookViews>
    <workbookView xWindow="2292" yWindow="732" windowWidth="17280" windowHeight="8880" activeTab="1" xr2:uid="{00000000-000D-0000-FFFF-FFFF00000000}"/>
  </bookViews>
  <sheets>
    <sheet name="Raw_Shipments" sheetId="1" r:id="rId1"/>
    <sheet name="Calculations" sheetId="6" r:id="rId2"/>
    <sheet name="KPI_Analysis" sheetId="5" r:id="rId3"/>
  </sheets>
  <definedNames>
    <definedName name="_xlnm.Print_Area" localSheetId="2">KPI_Analysis!$A$1:$Q$53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6" l="1"/>
  <c r="J3" i="6"/>
  <c r="J4" i="6"/>
  <c r="J6" i="6"/>
  <c r="J5" i="6"/>
  <c r="H2" i="6"/>
  <c r="H11" i="6" s="1"/>
  <c r="H3" i="6"/>
  <c r="H12" i="6" s="1"/>
  <c r="H4" i="6"/>
  <c r="I4" i="6" s="1"/>
  <c r="H6" i="6"/>
  <c r="I6" i="6" s="1"/>
  <c r="H5" i="6"/>
  <c r="E5" i="6"/>
  <c r="E4" i="6"/>
  <c r="E3" i="6"/>
  <c r="B23" i="6"/>
  <c r="B24" i="6"/>
  <c r="B18" i="6"/>
  <c r="B17" i="6"/>
  <c r="B12" i="6"/>
  <c r="B11" i="6"/>
  <c r="B7" i="6"/>
  <c r="J10" i="5" s="1"/>
  <c r="B6" i="6"/>
  <c r="F10" i="5" s="1"/>
  <c r="B5" i="6"/>
  <c r="A10" i="5" s="1"/>
  <c r="B4" i="6"/>
  <c r="J6" i="5" s="1"/>
  <c r="B3" i="6"/>
  <c r="F6" i="5" s="1"/>
  <c r="B2" i="6"/>
  <c r="A6" i="5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" i="1"/>
  <c r="M2" i="1"/>
  <c r="M2430" i="1"/>
  <c r="M2429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7" i="1"/>
  <c r="M8" i="1"/>
  <c r="M9" i="1"/>
  <c r="M10" i="1"/>
  <c r="M11" i="1"/>
  <c r="M12" i="1"/>
  <c r="M13" i="1"/>
  <c r="M14" i="1"/>
  <c r="M15" i="1"/>
  <c r="M16" i="1"/>
  <c r="M17" i="1"/>
  <c r="M18" i="1"/>
  <c r="M4" i="1"/>
  <c r="M5" i="1"/>
  <c r="M6" i="1"/>
  <c r="M3" i="1"/>
  <c r="I2" i="6" l="1"/>
  <c r="H14" i="6"/>
  <c r="I14" i="6" s="1"/>
  <c r="H10" i="6"/>
  <c r="I3" i="6"/>
  <c r="H13" i="6"/>
  <c r="I13" i="6" s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" i="1"/>
  <c r="I5" i="6" l="1"/>
  <c r="I10" i="6"/>
  <c r="I12" i="6"/>
  <c r="I11" i="6"/>
</calcChain>
</file>

<file path=xl/sharedStrings.xml><?xml version="1.0" encoding="utf-8"?>
<sst xmlns="http://schemas.openxmlformats.org/spreadsheetml/2006/main" count="9808" uniqueCount="4938">
  <si>
    <t>ShipmentID</t>
  </si>
  <si>
    <t>OrderID</t>
  </si>
  <si>
    <t>SupplierID</t>
  </si>
  <si>
    <t>ShipDate</t>
  </si>
  <si>
    <t>PromisedDate</t>
  </si>
  <si>
    <t>ActualDeliveryDate</t>
  </si>
  <si>
    <t>Carrier</t>
  </si>
  <si>
    <t>QtyShipped</t>
  </si>
  <si>
    <t>SHP-00001</t>
  </si>
  <si>
    <t>ORD-00001</t>
  </si>
  <si>
    <t>SUP-02</t>
  </si>
  <si>
    <t>DHL</t>
  </si>
  <si>
    <t>SHP-00002</t>
  </si>
  <si>
    <t>ORD-00002</t>
  </si>
  <si>
    <t>SUP-08</t>
  </si>
  <si>
    <t>FedEx</t>
  </si>
  <si>
    <t>SHP-00003</t>
  </si>
  <si>
    <t>ORD-00003</t>
  </si>
  <si>
    <t>Ekart</t>
  </si>
  <si>
    <t>SHP-00004</t>
  </si>
  <si>
    <t>ORD-00004</t>
  </si>
  <si>
    <t>SUP-04</t>
  </si>
  <si>
    <t>BlueDart</t>
  </si>
  <si>
    <t>SHP-00005</t>
  </si>
  <si>
    <t>ORD-00005</t>
  </si>
  <si>
    <t>SHP-00006</t>
  </si>
  <si>
    <t>ORD-00006</t>
  </si>
  <si>
    <t>SUP-05</t>
  </si>
  <si>
    <t>SHP-00007</t>
  </si>
  <si>
    <t>ORD-00007</t>
  </si>
  <si>
    <t>SHP-00008</t>
  </si>
  <si>
    <t>ORD-00008</t>
  </si>
  <si>
    <t>SHP-00009</t>
  </si>
  <si>
    <t>ORD-00009</t>
  </si>
  <si>
    <t>SUP-06</t>
  </si>
  <si>
    <t>SHP-00010</t>
  </si>
  <si>
    <t>ORD-00010</t>
  </si>
  <si>
    <t>SUP-01</t>
  </si>
  <si>
    <t>SHP-00011</t>
  </si>
  <si>
    <t>ORD-00011</t>
  </si>
  <si>
    <t>Delhivery</t>
  </si>
  <si>
    <t>SHP-00012</t>
  </si>
  <si>
    <t>ORD-00012</t>
  </si>
  <si>
    <t>SHP-00013</t>
  </si>
  <si>
    <t>ORD-00013</t>
  </si>
  <si>
    <t>SHP-00014</t>
  </si>
  <si>
    <t>ORD-00014</t>
  </si>
  <si>
    <t>SHP-00015</t>
  </si>
  <si>
    <t>ORD-00015</t>
  </si>
  <si>
    <t>SHP-00016</t>
  </si>
  <si>
    <t>ORD-00016</t>
  </si>
  <si>
    <t>SHP-00017</t>
  </si>
  <si>
    <t>ORD-00017</t>
  </si>
  <si>
    <t>SHP-00018</t>
  </si>
  <si>
    <t>ORD-00018</t>
  </si>
  <si>
    <t>SHP-00019</t>
  </si>
  <si>
    <t>ORD-00019</t>
  </si>
  <si>
    <t>SHP-00020</t>
  </si>
  <si>
    <t>ORD-00020</t>
  </si>
  <si>
    <t>SUP-03</t>
  </si>
  <si>
    <t>SHP-00021</t>
  </si>
  <si>
    <t>ORD-00021</t>
  </si>
  <si>
    <t>SHP-00022</t>
  </si>
  <si>
    <t>ORD-00022</t>
  </si>
  <si>
    <t>SHP-00023</t>
  </si>
  <si>
    <t>ORD-00023</t>
  </si>
  <si>
    <t>SHP-00024</t>
  </si>
  <si>
    <t>ORD-00024</t>
  </si>
  <si>
    <t>SHP-00025</t>
  </si>
  <si>
    <t>ORD-00025</t>
  </si>
  <si>
    <t>SHP-00026</t>
  </si>
  <si>
    <t>ORD-00026</t>
  </si>
  <si>
    <t>SUP-07</t>
  </si>
  <si>
    <t>SHP-00027</t>
  </si>
  <si>
    <t>ORD-00027</t>
  </si>
  <si>
    <t>SHP-00028</t>
  </si>
  <si>
    <t>ORD-00028</t>
  </si>
  <si>
    <t>SHP-00029</t>
  </si>
  <si>
    <t>ORD-00029</t>
  </si>
  <si>
    <t>SHP-00030</t>
  </si>
  <si>
    <t>ORD-00030</t>
  </si>
  <si>
    <t>SHP-00031</t>
  </si>
  <si>
    <t>ORD-00031</t>
  </si>
  <si>
    <t>SHP-00032</t>
  </si>
  <si>
    <t>ORD-00032</t>
  </si>
  <si>
    <t>SHP-00033</t>
  </si>
  <si>
    <t>ORD-00033</t>
  </si>
  <si>
    <t>SHP-00034</t>
  </si>
  <si>
    <t>ORD-00034</t>
  </si>
  <si>
    <t>SHP-00035</t>
  </si>
  <si>
    <t>ORD-00035</t>
  </si>
  <si>
    <t>SHP-00036</t>
  </si>
  <si>
    <t>ORD-00036</t>
  </si>
  <si>
    <t>SHP-00037</t>
  </si>
  <si>
    <t>ORD-00037</t>
  </si>
  <si>
    <t>SHP-00038</t>
  </si>
  <si>
    <t>ORD-00038</t>
  </si>
  <si>
    <t>SHP-00039</t>
  </si>
  <si>
    <t>ORD-00039</t>
  </si>
  <si>
    <t>SHP-00040</t>
  </si>
  <si>
    <t>ORD-00040</t>
  </si>
  <si>
    <t>SHP-00041</t>
  </si>
  <si>
    <t>ORD-00041</t>
  </si>
  <si>
    <t>SHP-00042</t>
  </si>
  <si>
    <t>ORD-00042</t>
  </si>
  <si>
    <t>SHP-00043</t>
  </si>
  <si>
    <t>ORD-00043</t>
  </si>
  <si>
    <t>SHP-00044</t>
  </si>
  <si>
    <t>ORD-00044</t>
  </si>
  <si>
    <t>SHP-00045</t>
  </si>
  <si>
    <t>ORD-00045</t>
  </si>
  <si>
    <t>SHP-00046</t>
  </si>
  <si>
    <t>ORD-00046</t>
  </si>
  <si>
    <t>SHP-00047</t>
  </si>
  <si>
    <t>ORD-00047</t>
  </si>
  <si>
    <t>SHP-00048</t>
  </si>
  <si>
    <t>ORD-00048</t>
  </si>
  <si>
    <t>SHP-00049</t>
  </si>
  <si>
    <t>ORD-00049</t>
  </si>
  <si>
    <t>SHP-00050</t>
  </si>
  <si>
    <t>ORD-00050</t>
  </si>
  <si>
    <t>SHP-00051</t>
  </si>
  <si>
    <t>ORD-00051</t>
  </si>
  <si>
    <t>SHP-00052</t>
  </si>
  <si>
    <t>ORD-00052</t>
  </si>
  <si>
    <t>SHP-00053</t>
  </si>
  <si>
    <t>ORD-00053</t>
  </si>
  <si>
    <t>SHP-00054</t>
  </si>
  <si>
    <t>ORD-00054</t>
  </si>
  <si>
    <t>SHP-00055</t>
  </si>
  <si>
    <t>ORD-00055</t>
  </si>
  <si>
    <t>SHP-00056</t>
  </si>
  <si>
    <t>ORD-00056</t>
  </si>
  <si>
    <t>SHP-00057</t>
  </si>
  <si>
    <t>ORD-00057</t>
  </si>
  <si>
    <t>SHP-00058</t>
  </si>
  <si>
    <t>ORD-00058</t>
  </si>
  <si>
    <t>SHP-00059</t>
  </si>
  <si>
    <t>ORD-00059</t>
  </si>
  <si>
    <t>SHP-00060</t>
  </si>
  <si>
    <t>ORD-00060</t>
  </si>
  <si>
    <t>SHP-00061</t>
  </si>
  <si>
    <t>ORD-00061</t>
  </si>
  <si>
    <t>SHP-00062</t>
  </si>
  <si>
    <t>ORD-00062</t>
  </si>
  <si>
    <t>SHP-00063</t>
  </si>
  <si>
    <t>ORD-00063</t>
  </si>
  <si>
    <t>SHP-00064</t>
  </si>
  <si>
    <t>ORD-00064</t>
  </si>
  <si>
    <t>SHP-00065</t>
  </si>
  <si>
    <t>ORD-00065</t>
  </si>
  <si>
    <t>SHP-00066</t>
  </si>
  <si>
    <t>ORD-00066</t>
  </si>
  <si>
    <t>SHP-00067</t>
  </si>
  <si>
    <t>ORD-00067</t>
  </si>
  <si>
    <t>SHP-00068</t>
  </si>
  <si>
    <t>ORD-00068</t>
  </si>
  <si>
    <t>SHP-00069</t>
  </si>
  <si>
    <t>ORD-00069</t>
  </si>
  <si>
    <t>SHP-00070</t>
  </si>
  <si>
    <t>ORD-00070</t>
  </si>
  <si>
    <t>SHP-00071</t>
  </si>
  <si>
    <t>ORD-00071</t>
  </si>
  <si>
    <t>SHP-00072</t>
  </si>
  <si>
    <t>ORD-00072</t>
  </si>
  <si>
    <t>SHP-00073</t>
  </si>
  <si>
    <t>ORD-00073</t>
  </si>
  <si>
    <t>SHP-00074</t>
  </si>
  <si>
    <t>ORD-00074</t>
  </si>
  <si>
    <t>SHP-00075</t>
  </si>
  <si>
    <t>ORD-00075</t>
  </si>
  <si>
    <t>SHP-00076</t>
  </si>
  <si>
    <t>ORD-00076</t>
  </si>
  <si>
    <t>SHP-00077</t>
  </si>
  <si>
    <t>ORD-00077</t>
  </si>
  <si>
    <t>SHP-00078</t>
  </si>
  <si>
    <t>ORD-00078</t>
  </si>
  <si>
    <t>SHP-00079</t>
  </si>
  <si>
    <t>ORD-00079</t>
  </si>
  <si>
    <t>SHP-00080</t>
  </si>
  <si>
    <t>ORD-00080</t>
  </si>
  <si>
    <t>SHP-00081</t>
  </si>
  <si>
    <t>ORD-00081</t>
  </si>
  <si>
    <t>SHP-00082</t>
  </si>
  <si>
    <t>ORD-00082</t>
  </si>
  <si>
    <t>SHP-00083</t>
  </si>
  <si>
    <t>ORD-00083</t>
  </si>
  <si>
    <t>SHP-00084</t>
  </si>
  <si>
    <t>ORD-00084</t>
  </si>
  <si>
    <t>SHP-00085</t>
  </si>
  <si>
    <t>ORD-00085</t>
  </si>
  <si>
    <t>SHP-00086</t>
  </si>
  <si>
    <t>ORD-00086</t>
  </si>
  <si>
    <t>SHP-00087</t>
  </si>
  <si>
    <t>ORD-00087</t>
  </si>
  <si>
    <t>SHP-00088</t>
  </si>
  <si>
    <t>ORD-00088</t>
  </si>
  <si>
    <t>SHP-00089</t>
  </si>
  <si>
    <t>ORD-00089</t>
  </si>
  <si>
    <t>SHP-00090</t>
  </si>
  <si>
    <t>ORD-00090</t>
  </si>
  <si>
    <t>SHP-00091</t>
  </si>
  <si>
    <t>ORD-00091</t>
  </si>
  <si>
    <t>SHP-00092</t>
  </si>
  <si>
    <t>ORD-00092</t>
  </si>
  <si>
    <t>SHP-00093</t>
  </si>
  <si>
    <t>ORD-00093</t>
  </si>
  <si>
    <t>SHP-00094</t>
  </si>
  <si>
    <t>ORD-00094</t>
  </si>
  <si>
    <t>SHP-00095</t>
  </si>
  <si>
    <t>ORD-00095</t>
  </si>
  <si>
    <t>SHP-00096</t>
  </si>
  <si>
    <t>ORD-00096</t>
  </si>
  <si>
    <t>SHP-00097</t>
  </si>
  <si>
    <t>ORD-00097</t>
  </si>
  <si>
    <t>SHP-00098</t>
  </si>
  <si>
    <t>ORD-00098</t>
  </si>
  <si>
    <t>SHP-00099</t>
  </si>
  <si>
    <t>ORD-00099</t>
  </si>
  <si>
    <t>SHP-00100</t>
  </si>
  <si>
    <t>ORD-00100</t>
  </si>
  <si>
    <t>SHP-00101</t>
  </si>
  <si>
    <t>ORD-00101</t>
  </si>
  <si>
    <t>SHP-00102</t>
  </si>
  <si>
    <t>ORD-00102</t>
  </si>
  <si>
    <t>SHP-00103</t>
  </si>
  <si>
    <t>ORD-00103</t>
  </si>
  <si>
    <t>SHP-00104</t>
  </si>
  <si>
    <t>ORD-00104</t>
  </si>
  <si>
    <t>SHP-00105</t>
  </si>
  <si>
    <t>ORD-00105</t>
  </si>
  <si>
    <t>SHP-00106</t>
  </si>
  <si>
    <t>ORD-00106</t>
  </si>
  <si>
    <t>SHP-00107</t>
  </si>
  <si>
    <t>ORD-00107</t>
  </si>
  <si>
    <t>SHP-00108</t>
  </si>
  <si>
    <t>ORD-00108</t>
  </si>
  <si>
    <t>SHP-00109</t>
  </si>
  <si>
    <t>ORD-00109</t>
  </si>
  <si>
    <t>SHP-00110</t>
  </si>
  <si>
    <t>ORD-00110</t>
  </si>
  <si>
    <t>SHP-00111</t>
  </si>
  <si>
    <t>ORD-00111</t>
  </si>
  <si>
    <t>SHP-00112</t>
  </si>
  <si>
    <t>ORD-00112</t>
  </si>
  <si>
    <t>SHP-00113</t>
  </si>
  <si>
    <t>ORD-00113</t>
  </si>
  <si>
    <t>SHP-00114</t>
  </si>
  <si>
    <t>ORD-00114</t>
  </si>
  <si>
    <t>SHP-00115</t>
  </si>
  <si>
    <t>ORD-00115</t>
  </si>
  <si>
    <t>SHP-00116</t>
  </si>
  <si>
    <t>ORD-00116</t>
  </si>
  <si>
    <t>SHP-00117</t>
  </si>
  <si>
    <t>ORD-00117</t>
  </si>
  <si>
    <t>SHP-00118</t>
  </si>
  <si>
    <t>ORD-00118</t>
  </si>
  <si>
    <t>SHP-00119</t>
  </si>
  <si>
    <t>ORD-00119</t>
  </si>
  <si>
    <t>SHP-00120</t>
  </si>
  <si>
    <t>ORD-00120</t>
  </si>
  <si>
    <t>SHP-00121</t>
  </si>
  <si>
    <t>ORD-00121</t>
  </si>
  <si>
    <t>SHP-00122</t>
  </si>
  <si>
    <t>ORD-00122</t>
  </si>
  <si>
    <t>SHP-00123</t>
  </si>
  <si>
    <t>ORD-00123</t>
  </si>
  <si>
    <t>SHP-00124</t>
  </si>
  <si>
    <t>ORD-00124</t>
  </si>
  <si>
    <t>SHP-00125</t>
  </si>
  <si>
    <t>ORD-00125</t>
  </si>
  <si>
    <t>SHP-00126</t>
  </si>
  <si>
    <t>ORD-00126</t>
  </si>
  <si>
    <t>SHP-00127</t>
  </si>
  <si>
    <t>ORD-00127</t>
  </si>
  <si>
    <t>SHP-00128</t>
  </si>
  <si>
    <t>ORD-00128</t>
  </si>
  <si>
    <t>SHP-00129</t>
  </si>
  <si>
    <t>ORD-00129</t>
  </si>
  <si>
    <t>SHP-00130</t>
  </si>
  <si>
    <t>ORD-00130</t>
  </si>
  <si>
    <t>SHP-00131</t>
  </si>
  <si>
    <t>ORD-00131</t>
  </si>
  <si>
    <t>SHP-00132</t>
  </si>
  <si>
    <t>ORD-00132</t>
  </si>
  <si>
    <t>SHP-00133</t>
  </si>
  <si>
    <t>ORD-00133</t>
  </si>
  <si>
    <t>SHP-00134</t>
  </si>
  <si>
    <t>ORD-00134</t>
  </si>
  <si>
    <t>SHP-00135</t>
  </si>
  <si>
    <t>ORD-00135</t>
  </si>
  <si>
    <t>SHP-00136</t>
  </si>
  <si>
    <t>ORD-00136</t>
  </si>
  <si>
    <t>SHP-00137</t>
  </si>
  <si>
    <t>ORD-00137</t>
  </si>
  <si>
    <t>SHP-00138</t>
  </si>
  <si>
    <t>ORD-00138</t>
  </si>
  <si>
    <t>SHP-00139</t>
  </si>
  <si>
    <t>ORD-00139</t>
  </si>
  <si>
    <t>SHP-00140</t>
  </si>
  <si>
    <t>ORD-00140</t>
  </si>
  <si>
    <t>SHP-00141</t>
  </si>
  <si>
    <t>ORD-00141</t>
  </si>
  <si>
    <t>SHP-00142</t>
  </si>
  <si>
    <t>ORD-00142</t>
  </si>
  <si>
    <t>SHP-00143</t>
  </si>
  <si>
    <t>ORD-00143</t>
  </si>
  <si>
    <t>SHP-00144</t>
  </si>
  <si>
    <t>ORD-00144</t>
  </si>
  <si>
    <t>SHP-00145</t>
  </si>
  <si>
    <t>ORD-00145</t>
  </si>
  <si>
    <t>SHP-00146</t>
  </si>
  <si>
    <t>ORD-00146</t>
  </si>
  <si>
    <t>SHP-00147</t>
  </si>
  <si>
    <t>ORD-00147</t>
  </si>
  <si>
    <t>SHP-00148</t>
  </si>
  <si>
    <t>ORD-00148</t>
  </si>
  <si>
    <t>SHP-00149</t>
  </si>
  <si>
    <t>ORD-00149</t>
  </si>
  <si>
    <t>SHP-00150</t>
  </si>
  <si>
    <t>ORD-00150</t>
  </si>
  <si>
    <t>SHP-00151</t>
  </si>
  <si>
    <t>ORD-00151</t>
  </si>
  <si>
    <t>SHP-00152</t>
  </si>
  <si>
    <t>ORD-00152</t>
  </si>
  <si>
    <t>SHP-00153</t>
  </si>
  <si>
    <t>ORD-00153</t>
  </si>
  <si>
    <t>SHP-00154</t>
  </si>
  <si>
    <t>ORD-00154</t>
  </si>
  <si>
    <t>SHP-00155</t>
  </si>
  <si>
    <t>ORD-00155</t>
  </si>
  <si>
    <t>SHP-00156</t>
  </si>
  <si>
    <t>ORD-00156</t>
  </si>
  <si>
    <t>SHP-00157</t>
  </si>
  <si>
    <t>ORD-00157</t>
  </si>
  <si>
    <t>SHP-00158</t>
  </si>
  <si>
    <t>ORD-00158</t>
  </si>
  <si>
    <t>SHP-00159</t>
  </si>
  <si>
    <t>ORD-00159</t>
  </si>
  <si>
    <t>SHP-00160</t>
  </si>
  <si>
    <t>ORD-00160</t>
  </si>
  <si>
    <t>SHP-00161</t>
  </si>
  <si>
    <t>ORD-00161</t>
  </si>
  <si>
    <t>SHP-00162</t>
  </si>
  <si>
    <t>ORD-00162</t>
  </si>
  <si>
    <t>SHP-00163</t>
  </si>
  <si>
    <t>ORD-00163</t>
  </si>
  <si>
    <t>SHP-00164</t>
  </si>
  <si>
    <t>ORD-00164</t>
  </si>
  <si>
    <t>SHP-00165</t>
  </si>
  <si>
    <t>ORD-00165</t>
  </si>
  <si>
    <t>SHP-00166</t>
  </si>
  <si>
    <t>ORD-00166</t>
  </si>
  <si>
    <t>SHP-00167</t>
  </si>
  <si>
    <t>ORD-00167</t>
  </si>
  <si>
    <t>SHP-00168</t>
  </si>
  <si>
    <t>ORD-00168</t>
  </si>
  <si>
    <t>SHP-00169</t>
  </si>
  <si>
    <t>ORD-00169</t>
  </si>
  <si>
    <t>SHP-00170</t>
  </si>
  <si>
    <t>ORD-00170</t>
  </si>
  <si>
    <t>SHP-00171</t>
  </si>
  <si>
    <t>ORD-00171</t>
  </si>
  <si>
    <t>SHP-00172</t>
  </si>
  <si>
    <t>ORD-00172</t>
  </si>
  <si>
    <t>SHP-00173</t>
  </si>
  <si>
    <t>ORD-00173</t>
  </si>
  <si>
    <t>SHP-00174</t>
  </si>
  <si>
    <t>ORD-00174</t>
  </si>
  <si>
    <t>SHP-00175</t>
  </si>
  <si>
    <t>ORD-00175</t>
  </si>
  <si>
    <t>SHP-00176</t>
  </si>
  <si>
    <t>ORD-00176</t>
  </si>
  <si>
    <t>SHP-00177</t>
  </si>
  <si>
    <t>ORD-00177</t>
  </si>
  <si>
    <t>SHP-00178</t>
  </si>
  <si>
    <t>ORD-00178</t>
  </si>
  <si>
    <t>SHP-00179</t>
  </si>
  <si>
    <t>ORD-00179</t>
  </si>
  <si>
    <t>SHP-00180</t>
  </si>
  <si>
    <t>ORD-00180</t>
  </si>
  <si>
    <t>SHP-00181</t>
  </si>
  <si>
    <t>ORD-00181</t>
  </si>
  <si>
    <t>SHP-00182</t>
  </si>
  <si>
    <t>ORD-00182</t>
  </si>
  <si>
    <t>SHP-00183</t>
  </si>
  <si>
    <t>ORD-00183</t>
  </si>
  <si>
    <t>SHP-00184</t>
  </si>
  <si>
    <t>ORD-00184</t>
  </si>
  <si>
    <t>SHP-00185</t>
  </si>
  <si>
    <t>ORD-00185</t>
  </si>
  <si>
    <t>SHP-00186</t>
  </si>
  <si>
    <t>ORD-00186</t>
  </si>
  <si>
    <t>SHP-00187</t>
  </si>
  <si>
    <t>ORD-00187</t>
  </si>
  <si>
    <t>SHP-00188</t>
  </si>
  <si>
    <t>ORD-00188</t>
  </si>
  <si>
    <t>SHP-00189</t>
  </si>
  <si>
    <t>ORD-00189</t>
  </si>
  <si>
    <t>SHP-00190</t>
  </si>
  <si>
    <t>ORD-00190</t>
  </si>
  <si>
    <t>SHP-00191</t>
  </si>
  <si>
    <t>ORD-00191</t>
  </si>
  <si>
    <t>SHP-00192</t>
  </si>
  <si>
    <t>ORD-00192</t>
  </si>
  <si>
    <t>SHP-00193</t>
  </si>
  <si>
    <t>ORD-00193</t>
  </si>
  <si>
    <t>SHP-00194</t>
  </si>
  <si>
    <t>ORD-00194</t>
  </si>
  <si>
    <t>SHP-00195</t>
  </si>
  <si>
    <t>ORD-00195</t>
  </si>
  <si>
    <t>SHP-00196</t>
  </si>
  <si>
    <t>ORD-00196</t>
  </si>
  <si>
    <t>SHP-00197</t>
  </si>
  <si>
    <t>ORD-00197</t>
  </si>
  <si>
    <t>SHP-00198</t>
  </si>
  <si>
    <t>ORD-00198</t>
  </si>
  <si>
    <t>SHP-00199</t>
  </si>
  <si>
    <t>ORD-00199</t>
  </si>
  <si>
    <t>SHP-00200</t>
  </si>
  <si>
    <t>ORD-00200</t>
  </si>
  <si>
    <t>SHP-00201</t>
  </si>
  <si>
    <t>ORD-00201</t>
  </si>
  <si>
    <t>SHP-00202</t>
  </si>
  <si>
    <t>ORD-00202</t>
  </si>
  <si>
    <t>SHP-00203</t>
  </si>
  <si>
    <t>ORD-00203</t>
  </si>
  <si>
    <t>SHP-00204</t>
  </si>
  <si>
    <t>ORD-00204</t>
  </si>
  <si>
    <t>SHP-00205</t>
  </si>
  <si>
    <t>ORD-00205</t>
  </si>
  <si>
    <t>SHP-00206</t>
  </si>
  <si>
    <t>ORD-00206</t>
  </si>
  <si>
    <t>SHP-00207</t>
  </si>
  <si>
    <t>ORD-00207</t>
  </si>
  <si>
    <t>SHP-00208</t>
  </si>
  <si>
    <t>ORD-00208</t>
  </si>
  <si>
    <t>SHP-00209</t>
  </si>
  <si>
    <t>ORD-00209</t>
  </si>
  <si>
    <t>SHP-00210</t>
  </si>
  <si>
    <t>ORD-00210</t>
  </si>
  <si>
    <t>SHP-00211</t>
  </si>
  <si>
    <t>ORD-00211</t>
  </si>
  <si>
    <t>SHP-00212</t>
  </si>
  <si>
    <t>ORD-00212</t>
  </si>
  <si>
    <t>SHP-00213</t>
  </si>
  <si>
    <t>ORD-00213</t>
  </si>
  <si>
    <t>SHP-00214</t>
  </si>
  <si>
    <t>ORD-00214</t>
  </si>
  <si>
    <t>SHP-00215</t>
  </si>
  <si>
    <t>ORD-00215</t>
  </si>
  <si>
    <t>SHP-00216</t>
  </si>
  <si>
    <t>ORD-00216</t>
  </si>
  <si>
    <t>SHP-00217</t>
  </si>
  <si>
    <t>ORD-00217</t>
  </si>
  <si>
    <t>SHP-00218</t>
  </si>
  <si>
    <t>ORD-00218</t>
  </si>
  <si>
    <t>SHP-00219</t>
  </si>
  <si>
    <t>ORD-00219</t>
  </si>
  <si>
    <t>SHP-00220</t>
  </si>
  <si>
    <t>ORD-00220</t>
  </si>
  <si>
    <t>SHP-00221</t>
  </si>
  <si>
    <t>ORD-00221</t>
  </si>
  <si>
    <t>SHP-00222</t>
  </si>
  <si>
    <t>ORD-00222</t>
  </si>
  <si>
    <t>SHP-00223</t>
  </si>
  <si>
    <t>ORD-00223</t>
  </si>
  <si>
    <t>SHP-00224</t>
  </si>
  <si>
    <t>ORD-00224</t>
  </si>
  <si>
    <t>SHP-00225</t>
  </si>
  <si>
    <t>ORD-00225</t>
  </si>
  <si>
    <t>SHP-00226</t>
  </si>
  <si>
    <t>ORD-00226</t>
  </si>
  <si>
    <t>SHP-00227</t>
  </si>
  <si>
    <t>ORD-00227</t>
  </si>
  <si>
    <t>SHP-00228</t>
  </si>
  <si>
    <t>ORD-00228</t>
  </si>
  <si>
    <t>SHP-00229</t>
  </si>
  <si>
    <t>ORD-00229</t>
  </si>
  <si>
    <t>SHP-00230</t>
  </si>
  <si>
    <t>ORD-00230</t>
  </si>
  <si>
    <t>SHP-00231</t>
  </si>
  <si>
    <t>ORD-00231</t>
  </si>
  <si>
    <t>SHP-00232</t>
  </si>
  <si>
    <t>ORD-00232</t>
  </si>
  <si>
    <t>SHP-00233</t>
  </si>
  <si>
    <t>ORD-00233</t>
  </si>
  <si>
    <t>SHP-00234</t>
  </si>
  <si>
    <t>ORD-00234</t>
  </si>
  <si>
    <t>SHP-00235</t>
  </si>
  <si>
    <t>ORD-00235</t>
  </si>
  <si>
    <t>SHP-00236</t>
  </si>
  <si>
    <t>ORD-00236</t>
  </si>
  <si>
    <t>SHP-00237</t>
  </si>
  <si>
    <t>ORD-00237</t>
  </si>
  <si>
    <t>SHP-00238</t>
  </si>
  <si>
    <t>ORD-00238</t>
  </si>
  <si>
    <t>SHP-00239</t>
  </si>
  <si>
    <t>ORD-00239</t>
  </si>
  <si>
    <t>SHP-00240</t>
  </si>
  <si>
    <t>ORD-00240</t>
  </si>
  <si>
    <t>SHP-00241</t>
  </si>
  <si>
    <t>ORD-00241</t>
  </si>
  <si>
    <t>SHP-00242</t>
  </si>
  <si>
    <t>ORD-00242</t>
  </si>
  <si>
    <t>SHP-00243</t>
  </si>
  <si>
    <t>ORD-00243</t>
  </si>
  <si>
    <t>SHP-00244</t>
  </si>
  <si>
    <t>ORD-00244</t>
  </si>
  <si>
    <t>SHP-00245</t>
  </si>
  <si>
    <t>ORD-00245</t>
  </si>
  <si>
    <t>SHP-00246</t>
  </si>
  <si>
    <t>ORD-00246</t>
  </si>
  <si>
    <t>SHP-00247</t>
  </si>
  <si>
    <t>ORD-00247</t>
  </si>
  <si>
    <t>SHP-00248</t>
  </si>
  <si>
    <t>ORD-00248</t>
  </si>
  <si>
    <t>SHP-00249</t>
  </si>
  <si>
    <t>ORD-00249</t>
  </si>
  <si>
    <t>SHP-00250</t>
  </si>
  <si>
    <t>ORD-00250</t>
  </si>
  <si>
    <t>SHP-00251</t>
  </si>
  <si>
    <t>ORD-00251</t>
  </si>
  <si>
    <t>SHP-00252</t>
  </si>
  <si>
    <t>ORD-00252</t>
  </si>
  <si>
    <t>SHP-00253</t>
  </si>
  <si>
    <t>ORD-00253</t>
  </si>
  <si>
    <t>SHP-00254</t>
  </si>
  <si>
    <t>ORD-00254</t>
  </si>
  <si>
    <t>SHP-00255</t>
  </si>
  <si>
    <t>ORD-00255</t>
  </si>
  <si>
    <t>SHP-00256</t>
  </si>
  <si>
    <t>ORD-00256</t>
  </si>
  <si>
    <t>SHP-00257</t>
  </si>
  <si>
    <t>ORD-00257</t>
  </si>
  <si>
    <t>SHP-00258</t>
  </si>
  <si>
    <t>ORD-00258</t>
  </si>
  <si>
    <t>SHP-00259</t>
  </si>
  <si>
    <t>ORD-00259</t>
  </si>
  <si>
    <t>SHP-00260</t>
  </si>
  <si>
    <t>ORD-00260</t>
  </si>
  <si>
    <t>SHP-00261</t>
  </si>
  <si>
    <t>ORD-00261</t>
  </si>
  <si>
    <t>SHP-00262</t>
  </si>
  <si>
    <t>ORD-00262</t>
  </si>
  <si>
    <t>SHP-00263</t>
  </si>
  <si>
    <t>ORD-00263</t>
  </si>
  <si>
    <t>SHP-00264</t>
  </si>
  <si>
    <t>ORD-00264</t>
  </si>
  <si>
    <t>SHP-00265</t>
  </si>
  <si>
    <t>ORD-00265</t>
  </si>
  <si>
    <t>SHP-00266</t>
  </si>
  <si>
    <t>ORD-00266</t>
  </si>
  <si>
    <t>SHP-00267</t>
  </si>
  <si>
    <t>ORD-00267</t>
  </si>
  <si>
    <t>SHP-00268</t>
  </si>
  <si>
    <t>ORD-00268</t>
  </si>
  <si>
    <t>SHP-00269</t>
  </si>
  <si>
    <t>ORD-00269</t>
  </si>
  <si>
    <t>SHP-00270</t>
  </si>
  <si>
    <t>ORD-00270</t>
  </si>
  <si>
    <t>SHP-00271</t>
  </si>
  <si>
    <t>ORD-00271</t>
  </si>
  <si>
    <t>SHP-00272</t>
  </si>
  <si>
    <t>ORD-00272</t>
  </si>
  <si>
    <t>SHP-00273</t>
  </si>
  <si>
    <t>ORD-00273</t>
  </si>
  <si>
    <t>SHP-00274</t>
  </si>
  <si>
    <t>ORD-00274</t>
  </si>
  <si>
    <t>SHP-00275</t>
  </si>
  <si>
    <t>ORD-00275</t>
  </si>
  <si>
    <t>SHP-00276</t>
  </si>
  <si>
    <t>ORD-00276</t>
  </si>
  <si>
    <t>SHP-00277</t>
  </si>
  <si>
    <t>ORD-00277</t>
  </si>
  <si>
    <t>SHP-00278</t>
  </si>
  <si>
    <t>ORD-00278</t>
  </si>
  <si>
    <t>SHP-00279</t>
  </si>
  <si>
    <t>ORD-00279</t>
  </si>
  <si>
    <t>SHP-00280</t>
  </si>
  <si>
    <t>ORD-00280</t>
  </si>
  <si>
    <t>SHP-00281</t>
  </si>
  <si>
    <t>ORD-00281</t>
  </si>
  <si>
    <t>SHP-00282</t>
  </si>
  <si>
    <t>ORD-00282</t>
  </si>
  <si>
    <t>SHP-00283</t>
  </si>
  <si>
    <t>ORD-00283</t>
  </si>
  <si>
    <t>SHP-00284</t>
  </si>
  <si>
    <t>ORD-00284</t>
  </si>
  <si>
    <t>SHP-00285</t>
  </si>
  <si>
    <t>ORD-00285</t>
  </si>
  <si>
    <t>SHP-00286</t>
  </si>
  <si>
    <t>ORD-00286</t>
  </si>
  <si>
    <t>SHP-00287</t>
  </si>
  <si>
    <t>ORD-00287</t>
  </si>
  <si>
    <t>SHP-00288</t>
  </si>
  <si>
    <t>ORD-00288</t>
  </si>
  <si>
    <t>SHP-00289</t>
  </si>
  <si>
    <t>ORD-00289</t>
  </si>
  <si>
    <t>SHP-00290</t>
  </si>
  <si>
    <t>ORD-00290</t>
  </si>
  <si>
    <t>SHP-00291</t>
  </si>
  <si>
    <t>ORD-00291</t>
  </si>
  <si>
    <t>SHP-00292</t>
  </si>
  <si>
    <t>ORD-00292</t>
  </si>
  <si>
    <t>SHP-00293</t>
  </si>
  <si>
    <t>ORD-00293</t>
  </si>
  <si>
    <t>SHP-00294</t>
  </si>
  <si>
    <t>ORD-00294</t>
  </si>
  <si>
    <t>SHP-00295</t>
  </si>
  <si>
    <t>ORD-00295</t>
  </si>
  <si>
    <t>SHP-00296</t>
  </si>
  <si>
    <t>ORD-00296</t>
  </si>
  <si>
    <t>SHP-00297</t>
  </si>
  <si>
    <t>ORD-00297</t>
  </si>
  <si>
    <t>SHP-00298</t>
  </si>
  <si>
    <t>ORD-00298</t>
  </si>
  <si>
    <t>SHP-00299</t>
  </si>
  <si>
    <t>ORD-00299</t>
  </si>
  <si>
    <t>SHP-00300</t>
  </si>
  <si>
    <t>ORD-00300</t>
  </si>
  <si>
    <t>SHP-00301</t>
  </si>
  <si>
    <t>ORD-00301</t>
  </si>
  <si>
    <t>SHP-00302</t>
  </si>
  <si>
    <t>ORD-00302</t>
  </si>
  <si>
    <t>SHP-00303</t>
  </si>
  <si>
    <t>ORD-00303</t>
  </si>
  <si>
    <t>SHP-00304</t>
  </si>
  <si>
    <t>ORD-00304</t>
  </si>
  <si>
    <t>SHP-00305</t>
  </si>
  <si>
    <t>ORD-00305</t>
  </si>
  <si>
    <t>SHP-00306</t>
  </si>
  <si>
    <t>ORD-00306</t>
  </si>
  <si>
    <t>SHP-00307</t>
  </si>
  <si>
    <t>ORD-00307</t>
  </si>
  <si>
    <t>SHP-00308</t>
  </si>
  <si>
    <t>ORD-00308</t>
  </si>
  <si>
    <t>SHP-00309</t>
  </si>
  <si>
    <t>ORD-00309</t>
  </si>
  <si>
    <t>SHP-00310</t>
  </si>
  <si>
    <t>ORD-00310</t>
  </si>
  <si>
    <t>SHP-00311</t>
  </si>
  <si>
    <t>ORD-00311</t>
  </si>
  <si>
    <t>SHP-00312</t>
  </si>
  <si>
    <t>ORD-00312</t>
  </si>
  <si>
    <t>SHP-00313</t>
  </si>
  <si>
    <t>ORD-00313</t>
  </si>
  <si>
    <t>SHP-00314</t>
  </si>
  <si>
    <t>ORD-00314</t>
  </si>
  <si>
    <t>SHP-00315</t>
  </si>
  <si>
    <t>ORD-00315</t>
  </si>
  <si>
    <t>SHP-00316</t>
  </si>
  <si>
    <t>ORD-00316</t>
  </si>
  <si>
    <t>SHP-00317</t>
  </si>
  <si>
    <t>ORD-00317</t>
  </si>
  <si>
    <t>SHP-00318</t>
  </si>
  <si>
    <t>ORD-00318</t>
  </si>
  <si>
    <t>SHP-00319</t>
  </si>
  <si>
    <t>ORD-00319</t>
  </si>
  <si>
    <t>SHP-00320</t>
  </si>
  <si>
    <t>ORD-00320</t>
  </si>
  <si>
    <t>SHP-00321</t>
  </si>
  <si>
    <t>ORD-00321</t>
  </si>
  <si>
    <t>SHP-00322</t>
  </si>
  <si>
    <t>ORD-00322</t>
  </si>
  <si>
    <t>SHP-00323</t>
  </si>
  <si>
    <t>ORD-00323</t>
  </si>
  <si>
    <t>SHP-00324</t>
  </si>
  <si>
    <t>ORD-00324</t>
  </si>
  <si>
    <t>SHP-00325</t>
  </si>
  <si>
    <t>ORD-00325</t>
  </si>
  <si>
    <t>SHP-00326</t>
  </si>
  <si>
    <t>ORD-00326</t>
  </si>
  <si>
    <t>SHP-00327</t>
  </si>
  <si>
    <t>ORD-00327</t>
  </si>
  <si>
    <t>SHP-00328</t>
  </si>
  <si>
    <t>ORD-00328</t>
  </si>
  <si>
    <t>SHP-00329</t>
  </si>
  <si>
    <t>ORD-00329</t>
  </si>
  <si>
    <t>SHP-00330</t>
  </si>
  <si>
    <t>ORD-00330</t>
  </si>
  <si>
    <t>SHP-00331</t>
  </si>
  <si>
    <t>ORD-00331</t>
  </si>
  <si>
    <t>SHP-00332</t>
  </si>
  <si>
    <t>ORD-00332</t>
  </si>
  <si>
    <t>SHP-00333</t>
  </si>
  <si>
    <t>ORD-00333</t>
  </si>
  <si>
    <t>SHP-00334</t>
  </si>
  <si>
    <t>ORD-00334</t>
  </si>
  <si>
    <t>SHP-00335</t>
  </si>
  <si>
    <t>ORD-00335</t>
  </si>
  <si>
    <t>SHP-00336</t>
  </si>
  <si>
    <t>ORD-00336</t>
  </si>
  <si>
    <t>SHP-00337</t>
  </si>
  <si>
    <t>ORD-00337</t>
  </si>
  <si>
    <t>SHP-00338</t>
  </si>
  <si>
    <t>ORD-00338</t>
  </si>
  <si>
    <t>SHP-00339</t>
  </si>
  <si>
    <t>ORD-00339</t>
  </si>
  <si>
    <t>SHP-00340</t>
  </si>
  <si>
    <t>ORD-00340</t>
  </si>
  <si>
    <t>SHP-00341</t>
  </si>
  <si>
    <t>ORD-00341</t>
  </si>
  <si>
    <t>SHP-00342</t>
  </si>
  <si>
    <t>ORD-00342</t>
  </si>
  <si>
    <t>SHP-00343</t>
  </si>
  <si>
    <t>ORD-00343</t>
  </si>
  <si>
    <t>SHP-00344</t>
  </si>
  <si>
    <t>ORD-00344</t>
  </si>
  <si>
    <t>SHP-00345</t>
  </si>
  <si>
    <t>ORD-00345</t>
  </si>
  <si>
    <t>SHP-00346</t>
  </si>
  <si>
    <t>ORD-00346</t>
  </si>
  <si>
    <t>SHP-00347</t>
  </si>
  <si>
    <t>ORD-00347</t>
  </si>
  <si>
    <t>SHP-00348</t>
  </si>
  <si>
    <t>ORD-00348</t>
  </si>
  <si>
    <t>SHP-00349</t>
  </si>
  <si>
    <t>ORD-00349</t>
  </si>
  <si>
    <t>SHP-00350</t>
  </si>
  <si>
    <t>ORD-00350</t>
  </si>
  <si>
    <t>SHP-00351</t>
  </si>
  <si>
    <t>ORD-00351</t>
  </si>
  <si>
    <t>SHP-00352</t>
  </si>
  <si>
    <t>ORD-00352</t>
  </si>
  <si>
    <t>SHP-00353</t>
  </si>
  <si>
    <t>ORD-00353</t>
  </si>
  <si>
    <t>SHP-00354</t>
  </si>
  <si>
    <t>ORD-00354</t>
  </si>
  <si>
    <t>SHP-00355</t>
  </si>
  <si>
    <t>ORD-00355</t>
  </si>
  <si>
    <t>SHP-00356</t>
  </si>
  <si>
    <t>ORD-00356</t>
  </si>
  <si>
    <t>SHP-00357</t>
  </si>
  <si>
    <t>ORD-00357</t>
  </si>
  <si>
    <t>SHP-00358</t>
  </si>
  <si>
    <t>ORD-00358</t>
  </si>
  <si>
    <t>SHP-00359</t>
  </si>
  <si>
    <t>ORD-00359</t>
  </si>
  <si>
    <t>SHP-00360</t>
  </si>
  <si>
    <t>ORD-00360</t>
  </si>
  <si>
    <t>SHP-00361</t>
  </si>
  <si>
    <t>ORD-00361</t>
  </si>
  <si>
    <t>SHP-00362</t>
  </si>
  <si>
    <t>ORD-00362</t>
  </si>
  <si>
    <t>SHP-00363</t>
  </si>
  <si>
    <t>ORD-00363</t>
  </si>
  <si>
    <t>SHP-00364</t>
  </si>
  <si>
    <t>ORD-00364</t>
  </si>
  <si>
    <t>SHP-00365</t>
  </si>
  <si>
    <t>ORD-00365</t>
  </si>
  <si>
    <t>SHP-00366</t>
  </si>
  <si>
    <t>ORD-00366</t>
  </si>
  <si>
    <t>SHP-00367</t>
  </si>
  <si>
    <t>ORD-00367</t>
  </si>
  <si>
    <t>SHP-00368</t>
  </si>
  <si>
    <t>ORD-00368</t>
  </si>
  <si>
    <t>SHP-00369</t>
  </si>
  <si>
    <t>ORD-00369</t>
  </si>
  <si>
    <t>SHP-00370</t>
  </si>
  <si>
    <t>ORD-00370</t>
  </si>
  <si>
    <t>SHP-00371</t>
  </si>
  <si>
    <t>ORD-00371</t>
  </si>
  <si>
    <t>SHP-00372</t>
  </si>
  <si>
    <t>ORD-00372</t>
  </si>
  <si>
    <t>SHP-00373</t>
  </si>
  <si>
    <t>ORD-00373</t>
  </si>
  <si>
    <t>SHP-00374</t>
  </si>
  <si>
    <t>ORD-00374</t>
  </si>
  <si>
    <t>SHP-00375</t>
  </si>
  <si>
    <t>ORD-00375</t>
  </si>
  <si>
    <t>SHP-00376</t>
  </si>
  <si>
    <t>ORD-00376</t>
  </si>
  <si>
    <t>SHP-00377</t>
  </si>
  <si>
    <t>ORD-00377</t>
  </si>
  <si>
    <t>SHP-00378</t>
  </si>
  <si>
    <t>ORD-00378</t>
  </si>
  <si>
    <t>SHP-00379</t>
  </si>
  <si>
    <t>ORD-00379</t>
  </si>
  <si>
    <t>SHP-00380</t>
  </si>
  <si>
    <t>ORD-00380</t>
  </si>
  <si>
    <t>SHP-00381</t>
  </si>
  <si>
    <t>ORD-00381</t>
  </si>
  <si>
    <t>SHP-00382</t>
  </si>
  <si>
    <t>ORD-00382</t>
  </si>
  <si>
    <t>SHP-00383</t>
  </si>
  <si>
    <t>ORD-00383</t>
  </si>
  <si>
    <t>SHP-00384</t>
  </si>
  <si>
    <t>ORD-00384</t>
  </si>
  <si>
    <t>SHP-00385</t>
  </si>
  <si>
    <t>ORD-00385</t>
  </si>
  <si>
    <t>SHP-00386</t>
  </si>
  <si>
    <t>ORD-00386</t>
  </si>
  <si>
    <t>SHP-00387</t>
  </si>
  <si>
    <t>ORD-00387</t>
  </si>
  <si>
    <t>SHP-00388</t>
  </si>
  <si>
    <t>ORD-00388</t>
  </si>
  <si>
    <t>SHP-00389</t>
  </si>
  <si>
    <t>ORD-00389</t>
  </si>
  <si>
    <t>SHP-00390</t>
  </si>
  <si>
    <t>ORD-00390</t>
  </si>
  <si>
    <t>SHP-00391</t>
  </si>
  <si>
    <t>ORD-00391</t>
  </si>
  <si>
    <t>SHP-00392</t>
  </si>
  <si>
    <t>ORD-00392</t>
  </si>
  <si>
    <t>SHP-00393</t>
  </si>
  <si>
    <t>ORD-00393</t>
  </si>
  <si>
    <t>SHP-00394</t>
  </si>
  <si>
    <t>ORD-00394</t>
  </si>
  <si>
    <t>SHP-00395</t>
  </si>
  <si>
    <t>ORD-00395</t>
  </si>
  <si>
    <t>SHP-00396</t>
  </si>
  <si>
    <t>ORD-00396</t>
  </si>
  <si>
    <t>SHP-00397</t>
  </si>
  <si>
    <t>ORD-00397</t>
  </si>
  <si>
    <t>SHP-00398</t>
  </si>
  <si>
    <t>ORD-00398</t>
  </si>
  <si>
    <t>SHP-00399</t>
  </si>
  <si>
    <t>ORD-00399</t>
  </si>
  <si>
    <t>SHP-00400</t>
  </si>
  <si>
    <t>ORD-00400</t>
  </si>
  <si>
    <t>SHP-00401</t>
  </si>
  <si>
    <t>ORD-00401</t>
  </si>
  <si>
    <t>SHP-00402</t>
  </si>
  <si>
    <t>ORD-00402</t>
  </si>
  <si>
    <t>SHP-00403</t>
  </si>
  <si>
    <t>ORD-00403</t>
  </si>
  <si>
    <t>SHP-00404</t>
  </si>
  <si>
    <t>ORD-00404</t>
  </si>
  <si>
    <t>SHP-00405</t>
  </si>
  <si>
    <t>ORD-00405</t>
  </si>
  <si>
    <t>SHP-00406</t>
  </si>
  <si>
    <t>ORD-00406</t>
  </si>
  <si>
    <t>SHP-00407</t>
  </si>
  <si>
    <t>ORD-00407</t>
  </si>
  <si>
    <t>SHP-00408</t>
  </si>
  <si>
    <t>ORD-00408</t>
  </si>
  <si>
    <t>SHP-00409</t>
  </si>
  <si>
    <t>ORD-00409</t>
  </si>
  <si>
    <t>SHP-00410</t>
  </si>
  <si>
    <t>ORD-00410</t>
  </si>
  <si>
    <t>SHP-00411</t>
  </si>
  <si>
    <t>ORD-00411</t>
  </si>
  <si>
    <t>SHP-00412</t>
  </si>
  <si>
    <t>ORD-00412</t>
  </si>
  <si>
    <t>SHP-00413</t>
  </si>
  <si>
    <t>ORD-00413</t>
  </si>
  <si>
    <t>SHP-00414</t>
  </si>
  <si>
    <t>ORD-00414</t>
  </si>
  <si>
    <t>SHP-00415</t>
  </si>
  <si>
    <t>ORD-00415</t>
  </si>
  <si>
    <t>SHP-00416</t>
  </si>
  <si>
    <t>ORD-00416</t>
  </si>
  <si>
    <t>SHP-00417</t>
  </si>
  <si>
    <t>ORD-00417</t>
  </si>
  <si>
    <t>SHP-00418</t>
  </si>
  <si>
    <t>ORD-00418</t>
  </si>
  <si>
    <t>SHP-00419</t>
  </si>
  <si>
    <t>ORD-00419</t>
  </si>
  <si>
    <t>SHP-00420</t>
  </si>
  <si>
    <t>ORD-00420</t>
  </si>
  <si>
    <t>SHP-00421</t>
  </si>
  <si>
    <t>ORD-00421</t>
  </si>
  <si>
    <t>SHP-00422</t>
  </si>
  <si>
    <t>ORD-00422</t>
  </si>
  <si>
    <t>SHP-00423</t>
  </si>
  <si>
    <t>ORD-00423</t>
  </si>
  <si>
    <t>SHP-00424</t>
  </si>
  <si>
    <t>ORD-00424</t>
  </si>
  <si>
    <t>SHP-00425</t>
  </si>
  <si>
    <t>ORD-00425</t>
  </si>
  <si>
    <t>SHP-00426</t>
  </si>
  <si>
    <t>ORD-00426</t>
  </si>
  <si>
    <t>SHP-00427</t>
  </si>
  <si>
    <t>ORD-00427</t>
  </si>
  <si>
    <t>SHP-00428</t>
  </si>
  <si>
    <t>ORD-00428</t>
  </si>
  <si>
    <t>SHP-00429</t>
  </si>
  <si>
    <t>ORD-00429</t>
  </si>
  <si>
    <t>SHP-00430</t>
  </si>
  <si>
    <t>ORD-00430</t>
  </si>
  <si>
    <t>SHP-00431</t>
  </si>
  <si>
    <t>ORD-00431</t>
  </si>
  <si>
    <t>SHP-00432</t>
  </si>
  <si>
    <t>ORD-00432</t>
  </si>
  <si>
    <t>SHP-00433</t>
  </si>
  <si>
    <t>ORD-00433</t>
  </si>
  <si>
    <t>SHP-00434</t>
  </si>
  <si>
    <t>ORD-00434</t>
  </si>
  <si>
    <t>SHP-00435</t>
  </si>
  <si>
    <t>ORD-00435</t>
  </si>
  <si>
    <t>SHP-00436</t>
  </si>
  <si>
    <t>ORD-00436</t>
  </si>
  <si>
    <t>SHP-00437</t>
  </si>
  <si>
    <t>ORD-00437</t>
  </si>
  <si>
    <t>SHP-00438</t>
  </si>
  <si>
    <t>ORD-00438</t>
  </si>
  <si>
    <t>SHP-00439</t>
  </si>
  <si>
    <t>ORD-00439</t>
  </si>
  <si>
    <t>SHP-00440</t>
  </si>
  <si>
    <t>ORD-00440</t>
  </si>
  <si>
    <t>SHP-00441</t>
  </si>
  <si>
    <t>ORD-00441</t>
  </si>
  <si>
    <t>SHP-00442</t>
  </si>
  <si>
    <t>ORD-00442</t>
  </si>
  <si>
    <t>SHP-00443</t>
  </si>
  <si>
    <t>ORD-00443</t>
  </si>
  <si>
    <t>SHP-00444</t>
  </si>
  <si>
    <t>ORD-00444</t>
  </si>
  <si>
    <t>SHP-00445</t>
  </si>
  <si>
    <t>ORD-00445</t>
  </si>
  <si>
    <t>SHP-00446</t>
  </si>
  <si>
    <t>ORD-00446</t>
  </si>
  <si>
    <t>SHP-00447</t>
  </si>
  <si>
    <t>ORD-00447</t>
  </si>
  <si>
    <t>SHP-00448</t>
  </si>
  <si>
    <t>ORD-00448</t>
  </si>
  <si>
    <t>SHP-00449</t>
  </si>
  <si>
    <t>ORD-00449</t>
  </si>
  <si>
    <t>SHP-00450</t>
  </si>
  <si>
    <t>ORD-00450</t>
  </si>
  <si>
    <t>SHP-00451</t>
  </si>
  <si>
    <t>ORD-00451</t>
  </si>
  <si>
    <t>SHP-00452</t>
  </si>
  <si>
    <t>ORD-00452</t>
  </si>
  <si>
    <t>SHP-00453</t>
  </si>
  <si>
    <t>ORD-00453</t>
  </si>
  <si>
    <t>SHP-00454</t>
  </si>
  <si>
    <t>ORD-00454</t>
  </si>
  <si>
    <t>SHP-00455</t>
  </si>
  <si>
    <t>ORD-00455</t>
  </si>
  <si>
    <t>SHP-00456</t>
  </si>
  <si>
    <t>ORD-00456</t>
  </si>
  <si>
    <t>SHP-00457</t>
  </si>
  <si>
    <t>ORD-00457</t>
  </si>
  <si>
    <t>SHP-00458</t>
  </si>
  <si>
    <t>ORD-00458</t>
  </si>
  <si>
    <t>SHP-00459</t>
  </si>
  <si>
    <t>ORD-00459</t>
  </si>
  <si>
    <t>SHP-00460</t>
  </si>
  <si>
    <t>ORD-00460</t>
  </si>
  <si>
    <t>SHP-00461</t>
  </si>
  <si>
    <t>ORD-00461</t>
  </si>
  <si>
    <t>SHP-00462</t>
  </si>
  <si>
    <t>ORD-00462</t>
  </si>
  <si>
    <t>SHP-00463</t>
  </si>
  <si>
    <t>ORD-00463</t>
  </si>
  <si>
    <t>SHP-00464</t>
  </si>
  <si>
    <t>ORD-00464</t>
  </si>
  <si>
    <t>SHP-00465</t>
  </si>
  <si>
    <t>ORD-00465</t>
  </si>
  <si>
    <t>SHP-00466</t>
  </si>
  <si>
    <t>ORD-00466</t>
  </si>
  <si>
    <t>SHP-00467</t>
  </si>
  <si>
    <t>ORD-00467</t>
  </si>
  <si>
    <t>SHP-00468</t>
  </si>
  <si>
    <t>ORD-00468</t>
  </si>
  <si>
    <t>SHP-00469</t>
  </si>
  <si>
    <t>ORD-00469</t>
  </si>
  <si>
    <t>SHP-00470</t>
  </si>
  <si>
    <t>ORD-00470</t>
  </si>
  <si>
    <t>SHP-00471</t>
  </si>
  <si>
    <t>ORD-00471</t>
  </si>
  <si>
    <t>SHP-00472</t>
  </si>
  <si>
    <t>ORD-00472</t>
  </si>
  <si>
    <t>SHP-00473</t>
  </si>
  <si>
    <t>ORD-00473</t>
  </si>
  <si>
    <t>SHP-00474</t>
  </si>
  <si>
    <t>ORD-00474</t>
  </si>
  <si>
    <t>SHP-00475</t>
  </si>
  <si>
    <t>ORD-00475</t>
  </si>
  <si>
    <t>SHP-00476</t>
  </si>
  <si>
    <t>ORD-00476</t>
  </si>
  <si>
    <t>SHP-00477</t>
  </si>
  <si>
    <t>ORD-00477</t>
  </si>
  <si>
    <t>SHP-00478</t>
  </si>
  <si>
    <t>ORD-00478</t>
  </si>
  <si>
    <t>SHP-00479</t>
  </si>
  <si>
    <t>ORD-00479</t>
  </si>
  <si>
    <t>SHP-00480</t>
  </si>
  <si>
    <t>ORD-00480</t>
  </si>
  <si>
    <t>SHP-00481</t>
  </si>
  <si>
    <t>ORD-00481</t>
  </si>
  <si>
    <t>SHP-00482</t>
  </si>
  <si>
    <t>ORD-00482</t>
  </si>
  <si>
    <t>SHP-00483</t>
  </si>
  <si>
    <t>ORD-00483</t>
  </si>
  <si>
    <t>SHP-00484</t>
  </si>
  <si>
    <t>ORD-00484</t>
  </si>
  <si>
    <t>SHP-00485</t>
  </si>
  <si>
    <t>ORD-00485</t>
  </si>
  <si>
    <t>SHP-00486</t>
  </si>
  <si>
    <t>ORD-00486</t>
  </si>
  <si>
    <t>SHP-00487</t>
  </si>
  <si>
    <t>ORD-00487</t>
  </si>
  <si>
    <t>SHP-00488</t>
  </si>
  <si>
    <t>ORD-00488</t>
  </si>
  <si>
    <t>SHP-00489</t>
  </si>
  <si>
    <t>ORD-00489</t>
  </si>
  <si>
    <t>SHP-00490</t>
  </si>
  <si>
    <t>ORD-00490</t>
  </si>
  <si>
    <t>SHP-00491</t>
  </si>
  <si>
    <t>ORD-00491</t>
  </si>
  <si>
    <t>SHP-00492</t>
  </si>
  <si>
    <t>ORD-00492</t>
  </si>
  <si>
    <t>SHP-00493</t>
  </si>
  <si>
    <t>ORD-00493</t>
  </si>
  <si>
    <t>SHP-00494</t>
  </si>
  <si>
    <t>ORD-00494</t>
  </si>
  <si>
    <t>SHP-00495</t>
  </si>
  <si>
    <t>ORD-00495</t>
  </si>
  <si>
    <t>SHP-00496</t>
  </si>
  <si>
    <t>ORD-00496</t>
  </si>
  <si>
    <t>SHP-00497</t>
  </si>
  <si>
    <t>ORD-00497</t>
  </si>
  <si>
    <t>SHP-00498</t>
  </si>
  <si>
    <t>ORD-00498</t>
  </si>
  <si>
    <t>SHP-00499</t>
  </si>
  <si>
    <t>ORD-00499</t>
  </si>
  <si>
    <t>SHP-00500</t>
  </si>
  <si>
    <t>ORD-00500</t>
  </si>
  <si>
    <t>SHP-00501</t>
  </si>
  <si>
    <t>ORD-00501</t>
  </si>
  <si>
    <t>SHP-00502</t>
  </si>
  <si>
    <t>ORD-00502</t>
  </si>
  <si>
    <t>SHP-00503</t>
  </si>
  <si>
    <t>ORD-00503</t>
  </si>
  <si>
    <t>SHP-00504</t>
  </si>
  <si>
    <t>ORD-00504</t>
  </si>
  <si>
    <t>SHP-00505</t>
  </si>
  <si>
    <t>ORD-00505</t>
  </si>
  <si>
    <t>SHP-00506</t>
  </si>
  <si>
    <t>ORD-00506</t>
  </si>
  <si>
    <t>SHP-00507</t>
  </si>
  <si>
    <t>ORD-00507</t>
  </si>
  <si>
    <t>SHP-00508</t>
  </si>
  <si>
    <t>ORD-00508</t>
  </si>
  <si>
    <t>SHP-00509</t>
  </si>
  <si>
    <t>ORD-00509</t>
  </si>
  <si>
    <t>SHP-00510</t>
  </si>
  <si>
    <t>ORD-00510</t>
  </si>
  <si>
    <t>SHP-00511</t>
  </si>
  <si>
    <t>ORD-00511</t>
  </si>
  <si>
    <t>SHP-00512</t>
  </si>
  <si>
    <t>ORD-00512</t>
  </si>
  <si>
    <t>SHP-00513</t>
  </si>
  <si>
    <t>ORD-00513</t>
  </si>
  <si>
    <t>SHP-00514</t>
  </si>
  <si>
    <t>ORD-00514</t>
  </si>
  <si>
    <t>SHP-00515</t>
  </si>
  <si>
    <t>ORD-00515</t>
  </si>
  <si>
    <t>SHP-00516</t>
  </si>
  <si>
    <t>ORD-00516</t>
  </si>
  <si>
    <t>SHP-00517</t>
  </si>
  <si>
    <t>ORD-00517</t>
  </si>
  <si>
    <t>SHP-00518</t>
  </si>
  <si>
    <t>ORD-00518</t>
  </si>
  <si>
    <t>SHP-00519</t>
  </si>
  <si>
    <t>ORD-00519</t>
  </si>
  <si>
    <t>SHP-00520</t>
  </si>
  <si>
    <t>ORD-00520</t>
  </si>
  <si>
    <t>SHP-00521</t>
  </si>
  <si>
    <t>ORD-00521</t>
  </si>
  <si>
    <t>SHP-00522</t>
  </si>
  <si>
    <t>ORD-00522</t>
  </si>
  <si>
    <t>SHP-00523</t>
  </si>
  <si>
    <t>ORD-00523</t>
  </si>
  <si>
    <t>SHP-00524</t>
  </si>
  <si>
    <t>ORD-00524</t>
  </si>
  <si>
    <t>SHP-00525</t>
  </si>
  <si>
    <t>ORD-00525</t>
  </si>
  <si>
    <t>SHP-00526</t>
  </si>
  <si>
    <t>ORD-00526</t>
  </si>
  <si>
    <t>SHP-00527</t>
  </si>
  <si>
    <t>ORD-00527</t>
  </si>
  <si>
    <t>SHP-00528</t>
  </si>
  <si>
    <t>ORD-00528</t>
  </si>
  <si>
    <t>SHP-00529</t>
  </si>
  <si>
    <t>ORD-00529</t>
  </si>
  <si>
    <t>SHP-00530</t>
  </si>
  <si>
    <t>ORD-00530</t>
  </si>
  <si>
    <t>SHP-00531</t>
  </si>
  <si>
    <t>ORD-00531</t>
  </si>
  <si>
    <t>SHP-00532</t>
  </si>
  <si>
    <t>ORD-00532</t>
  </si>
  <si>
    <t>SHP-00533</t>
  </si>
  <si>
    <t>ORD-00533</t>
  </si>
  <si>
    <t>SHP-00534</t>
  </si>
  <si>
    <t>ORD-00534</t>
  </si>
  <si>
    <t>SHP-00535</t>
  </si>
  <si>
    <t>ORD-00535</t>
  </si>
  <si>
    <t>SHP-00536</t>
  </si>
  <si>
    <t>ORD-00536</t>
  </si>
  <si>
    <t>SHP-00537</t>
  </si>
  <si>
    <t>ORD-00537</t>
  </si>
  <si>
    <t>SHP-00538</t>
  </si>
  <si>
    <t>ORD-00538</t>
  </si>
  <si>
    <t>SHP-00539</t>
  </si>
  <si>
    <t>ORD-00539</t>
  </si>
  <si>
    <t>SHP-00540</t>
  </si>
  <si>
    <t>ORD-00540</t>
  </si>
  <si>
    <t>SHP-00541</t>
  </si>
  <si>
    <t>ORD-00541</t>
  </si>
  <si>
    <t>SHP-00542</t>
  </si>
  <si>
    <t>ORD-00542</t>
  </si>
  <si>
    <t>SHP-00543</t>
  </si>
  <si>
    <t>ORD-00543</t>
  </si>
  <si>
    <t>SHP-00544</t>
  </si>
  <si>
    <t>ORD-00544</t>
  </si>
  <si>
    <t>SHP-00545</t>
  </si>
  <si>
    <t>ORD-00545</t>
  </si>
  <si>
    <t>SHP-00546</t>
  </si>
  <si>
    <t>ORD-00546</t>
  </si>
  <si>
    <t>SHP-00547</t>
  </si>
  <si>
    <t>ORD-00547</t>
  </si>
  <si>
    <t>SHP-00548</t>
  </si>
  <si>
    <t>ORD-00548</t>
  </si>
  <si>
    <t>SHP-00549</t>
  </si>
  <si>
    <t>ORD-00549</t>
  </si>
  <si>
    <t>SHP-00550</t>
  </si>
  <si>
    <t>ORD-00550</t>
  </si>
  <si>
    <t>SHP-00551</t>
  </si>
  <si>
    <t>ORD-00551</t>
  </si>
  <si>
    <t>SHP-00552</t>
  </si>
  <si>
    <t>ORD-00552</t>
  </si>
  <si>
    <t>SHP-00553</t>
  </si>
  <si>
    <t>ORD-00553</t>
  </si>
  <si>
    <t>SHP-00554</t>
  </si>
  <si>
    <t>ORD-00554</t>
  </si>
  <si>
    <t>SHP-00555</t>
  </si>
  <si>
    <t>ORD-00555</t>
  </si>
  <si>
    <t>SHP-00556</t>
  </si>
  <si>
    <t>ORD-00556</t>
  </si>
  <si>
    <t>SHP-00557</t>
  </si>
  <si>
    <t>ORD-00557</t>
  </si>
  <si>
    <t>SHP-00558</t>
  </si>
  <si>
    <t>ORD-00558</t>
  </si>
  <si>
    <t>SHP-00559</t>
  </si>
  <si>
    <t>ORD-00559</t>
  </si>
  <si>
    <t>SHP-00560</t>
  </si>
  <si>
    <t>ORD-00560</t>
  </si>
  <si>
    <t>SHP-00561</t>
  </si>
  <si>
    <t>ORD-00561</t>
  </si>
  <si>
    <t>SHP-00562</t>
  </si>
  <si>
    <t>ORD-00562</t>
  </si>
  <si>
    <t>SHP-00563</t>
  </si>
  <si>
    <t>ORD-00563</t>
  </si>
  <si>
    <t>SHP-00564</t>
  </si>
  <si>
    <t>ORD-00564</t>
  </si>
  <si>
    <t>SHP-00565</t>
  </si>
  <si>
    <t>ORD-00565</t>
  </si>
  <si>
    <t>SHP-00566</t>
  </si>
  <si>
    <t>ORD-00566</t>
  </si>
  <si>
    <t>SHP-00567</t>
  </si>
  <si>
    <t>ORD-00567</t>
  </si>
  <si>
    <t>SHP-00568</t>
  </si>
  <si>
    <t>ORD-00568</t>
  </si>
  <si>
    <t>SHP-00569</t>
  </si>
  <si>
    <t>ORD-00569</t>
  </si>
  <si>
    <t>SHP-00570</t>
  </si>
  <si>
    <t>ORD-00570</t>
  </si>
  <si>
    <t>SHP-00571</t>
  </si>
  <si>
    <t>ORD-00571</t>
  </si>
  <si>
    <t>SHP-00572</t>
  </si>
  <si>
    <t>ORD-00572</t>
  </si>
  <si>
    <t>SHP-00573</t>
  </si>
  <si>
    <t>ORD-00573</t>
  </si>
  <si>
    <t>SHP-00574</t>
  </si>
  <si>
    <t>ORD-00574</t>
  </si>
  <si>
    <t>SHP-00575</t>
  </si>
  <si>
    <t>ORD-00575</t>
  </si>
  <si>
    <t>SHP-00576</t>
  </si>
  <si>
    <t>ORD-00576</t>
  </si>
  <si>
    <t>SHP-00577</t>
  </si>
  <si>
    <t>ORD-00577</t>
  </si>
  <si>
    <t>SHP-00578</t>
  </si>
  <si>
    <t>ORD-00578</t>
  </si>
  <si>
    <t>SHP-00579</t>
  </si>
  <si>
    <t>ORD-00579</t>
  </si>
  <si>
    <t>SHP-00580</t>
  </si>
  <si>
    <t>ORD-00580</t>
  </si>
  <si>
    <t>SHP-00581</t>
  </si>
  <si>
    <t>ORD-00581</t>
  </si>
  <si>
    <t>SHP-00582</t>
  </si>
  <si>
    <t>ORD-00582</t>
  </si>
  <si>
    <t>SHP-00583</t>
  </si>
  <si>
    <t>ORD-00583</t>
  </si>
  <si>
    <t>SHP-00584</t>
  </si>
  <si>
    <t>ORD-00584</t>
  </si>
  <si>
    <t>SHP-00585</t>
  </si>
  <si>
    <t>ORD-00585</t>
  </si>
  <si>
    <t>SHP-00586</t>
  </si>
  <si>
    <t>ORD-00586</t>
  </si>
  <si>
    <t>SHP-00587</t>
  </si>
  <si>
    <t>ORD-00587</t>
  </si>
  <si>
    <t>SHP-00588</t>
  </si>
  <si>
    <t>ORD-00588</t>
  </si>
  <si>
    <t>SHP-00589</t>
  </si>
  <si>
    <t>ORD-00589</t>
  </si>
  <si>
    <t>SHP-00590</t>
  </si>
  <si>
    <t>ORD-00590</t>
  </si>
  <si>
    <t>SHP-00591</t>
  </si>
  <si>
    <t>ORD-00591</t>
  </si>
  <si>
    <t>SHP-00592</t>
  </si>
  <si>
    <t>ORD-00592</t>
  </si>
  <si>
    <t>SHP-00593</t>
  </si>
  <si>
    <t>ORD-00593</t>
  </si>
  <si>
    <t>SHP-00594</t>
  </si>
  <si>
    <t>ORD-00594</t>
  </si>
  <si>
    <t>SHP-00595</t>
  </si>
  <si>
    <t>ORD-00595</t>
  </si>
  <si>
    <t>SHP-00596</t>
  </si>
  <si>
    <t>ORD-00596</t>
  </si>
  <si>
    <t>SHP-00597</t>
  </si>
  <si>
    <t>ORD-00597</t>
  </si>
  <si>
    <t>SHP-00598</t>
  </si>
  <si>
    <t>ORD-00598</t>
  </si>
  <si>
    <t>SHP-00599</t>
  </si>
  <si>
    <t>ORD-00599</t>
  </si>
  <si>
    <t>SHP-00600</t>
  </si>
  <si>
    <t>ORD-00600</t>
  </si>
  <si>
    <t>SHP-00601</t>
  </si>
  <si>
    <t>ORD-00601</t>
  </si>
  <si>
    <t>SHP-00602</t>
  </si>
  <si>
    <t>ORD-00602</t>
  </si>
  <si>
    <t>SHP-00603</t>
  </si>
  <si>
    <t>ORD-00603</t>
  </si>
  <si>
    <t>SHP-00604</t>
  </si>
  <si>
    <t>ORD-00604</t>
  </si>
  <si>
    <t>SHP-00605</t>
  </si>
  <si>
    <t>ORD-00605</t>
  </si>
  <si>
    <t>SHP-00606</t>
  </si>
  <si>
    <t>ORD-00606</t>
  </si>
  <si>
    <t>SHP-00607</t>
  </si>
  <si>
    <t>ORD-00607</t>
  </si>
  <si>
    <t>SHP-00608</t>
  </si>
  <si>
    <t>ORD-00608</t>
  </si>
  <si>
    <t>SHP-00609</t>
  </si>
  <si>
    <t>ORD-00609</t>
  </si>
  <si>
    <t>SHP-00610</t>
  </si>
  <si>
    <t>ORD-00610</t>
  </si>
  <si>
    <t>SHP-00611</t>
  </si>
  <si>
    <t>ORD-00611</t>
  </si>
  <si>
    <t>SHP-00612</t>
  </si>
  <si>
    <t>ORD-00612</t>
  </si>
  <si>
    <t>SHP-00613</t>
  </si>
  <si>
    <t>ORD-00613</t>
  </si>
  <si>
    <t>SHP-00614</t>
  </si>
  <si>
    <t>ORD-00614</t>
  </si>
  <si>
    <t>SHP-00615</t>
  </si>
  <si>
    <t>ORD-00615</t>
  </si>
  <si>
    <t>SHP-00616</t>
  </si>
  <si>
    <t>ORD-00616</t>
  </si>
  <si>
    <t>SHP-00617</t>
  </si>
  <si>
    <t>ORD-00617</t>
  </si>
  <si>
    <t>SHP-00618</t>
  </si>
  <si>
    <t>ORD-00618</t>
  </si>
  <si>
    <t>SHP-00619</t>
  </si>
  <si>
    <t>ORD-00619</t>
  </si>
  <si>
    <t>SHP-00620</t>
  </si>
  <si>
    <t>ORD-00620</t>
  </si>
  <si>
    <t>SHP-00621</t>
  </si>
  <si>
    <t>ORD-00621</t>
  </si>
  <si>
    <t>SHP-00622</t>
  </si>
  <si>
    <t>ORD-00622</t>
  </si>
  <si>
    <t>SHP-00623</t>
  </si>
  <si>
    <t>ORD-00623</t>
  </si>
  <si>
    <t>SHP-00624</t>
  </si>
  <si>
    <t>ORD-00624</t>
  </si>
  <si>
    <t>SHP-00625</t>
  </si>
  <si>
    <t>ORD-00625</t>
  </si>
  <si>
    <t>SHP-00626</t>
  </si>
  <si>
    <t>ORD-00626</t>
  </si>
  <si>
    <t>SHP-00627</t>
  </si>
  <si>
    <t>ORD-00627</t>
  </si>
  <si>
    <t>SHP-00628</t>
  </si>
  <si>
    <t>ORD-00628</t>
  </si>
  <si>
    <t>SHP-00629</t>
  </si>
  <si>
    <t>ORD-00629</t>
  </si>
  <si>
    <t>SHP-00630</t>
  </si>
  <si>
    <t>ORD-00630</t>
  </si>
  <si>
    <t>SHP-00631</t>
  </si>
  <si>
    <t>ORD-00631</t>
  </si>
  <si>
    <t>SHP-00632</t>
  </si>
  <si>
    <t>ORD-00632</t>
  </si>
  <si>
    <t>SHP-00633</t>
  </si>
  <si>
    <t>ORD-00633</t>
  </si>
  <si>
    <t>SHP-00634</t>
  </si>
  <si>
    <t>ORD-00634</t>
  </si>
  <si>
    <t>SHP-00635</t>
  </si>
  <si>
    <t>ORD-00635</t>
  </si>
  <si>
    <t>SHP-00636</t>
  </si>
  <si>
    <t>ORD-00636</t>
  </si>
  <si>
    <t>SHP-00637</t>
  </si>
  <si>
    <t>ORD-00637</t>
  </si>
  <si>
    <t>SHP-00638</t>
  </si>
  <si>
    <t>ORD-00638</t>
  </si>
  <si>
    <t>SHP-00639</t>
  </si>
  <si>
    <t>ORD-00639</t>
  </si>
  <si>
    <t>SHP-00640</t>
  </si>
  <si>
    <t>ORD-00640</t>
  </si>
  <si>
    <t>SHP-00641</t>
  </si>
  <si>
    <t>ORD-00641</t>
  </si>
  <si>
    <t>SHP-00642</t>
  </si>
  <si>
    <t>ORD-00642</t>
  </si>
  <si>
    <t>SHP-00643</t>
  </si>
  <si>
    <t>ORD-00643</t>
  </si>
  <si>
    <t>SHP-00644</t>
  </si>
  <si>
    <t>ORD-00644</t>
  </si>
  <si>
    <t>SHP-00645</t>
  </si>
  <si>
    <t>ORD-00645</t>
  </si>
  <si>
    <t>SHP-00646</t>
  </si>
  <si>
    <t>ORD-00646</t>
  </si>
  <si>
    <t>SHP-00647</t>
  </si>
  <si>
    <t>ORD-00647</t>
  </si>
  <si>
    <t>SHP-00648</t>
  </si>
  <si>
    <t>ORD-00648</t>
  </si>
  <si>
    <t>SHP-00649</t>
  </si>
  <si>
    <t>ORD-00649</t>
  </si>
  <si>
    <t>SHP-00650</t>
  </si>
  <si>
    <t>ORD-00650</t>
  </si>
  <si>
    <t>SHP-00651</t>
  </si>
  <si>
    <t>ORD-00651</t>
  </si>
  <si>
    <t>SHP-00652</t>
  </si>
  <si>
    <t>ORD-00652</t>
  </si>
  <si>
    <t>SHP-00653</t>
  </si>
  <si>
    <t>ORD-00653</t>
  </si>
  <si>
    <t>SHP-00654</t>
  </si>
  <si>
    <t>ORD-00654</t>
  </si>
  <si>
    <t>SHP-00655</t>
  </si>
  <si>
    <t>ORD-00655</t>
  </si>
  <si>
    <t>SHP-00656</t>
  </si>
  <si>
    <t>ORD-00656</t>
  </si>
  <si>
    <t>SHP-00657</t>
  </si>
  <si>
    <t>ORD-00657</t>
  </si>
  <si>
    <t>SHP-00658</t>
  </si>
  <si>
    <t>ORD-00658</t>
  </si>
  <si>
    <t>SHP-00659</t>
  </si>
  <si>
    <t>ORD-00659</t>
  </si>
  <si>
    <t>SHP-00660</t>
  </si>
  <si>
    <t>ORD-00660</t>
  </si>
  <si>
    <t>SHP-00661</t>
  </si>
  <si>
    <t>ORD-00661</t>
  </si>
  <si>
    <t>SHP-00662</t>
  </si>
  <si>
    <t>ORD-00662</t>
  </si>
  <si>
    <t>SHP-00663</t>
  </si>
  <si>
    <t>ORD-00663</t>
  </si>
  <si>
    <t>SHP-00664</t>
  </si>
  <si>
    <t>ORD-00664</t>
  </si>
  <si>
    <t>SHP-00665</t>
  </si>
  <si>
    <t>ORD-00665</t>
  </si>
  <si>
    <t>SHP-00666</t>
  </si>
  <si>
    <t>ORD-00666</t>
  </si>
  <si>
    <t>SHP-00667</t>
  </si>
  <si>
    <t>ORD-00667</t>
  </si>
  <si>
    <t>SHP-00668</t>
  </si>
  <si>
    <t>ORD-00668</t>
  </si>
  <si>
    <t>SHP-00669</t>
  </si>
  <si>
    <t>ORD-00669</t>
  </si>
  <si>
    <t>SHP-00670</t>
  </si>
  <si>
    <t>ORD-00670</t>
  </si>
  <si>
    <t>SHP-00671</t>
  </si>
  <si>
    <t>ORD-00671</t>
  </si>
  <si>
    <t>SHP-00672</t>
  </si>
  <si>
    <t>ORD-00672</t>
  </si>
  <si>
    <t>SHP-00673</t>
  </si>
  <si>
    <t>ORD-00673</t>
  </si>
  <si>
    <t>SHP-00674</t>
  </si>
  <si>
    <t>ORD-00674</t>
  </si>
  <si>
    <t>SHP-00675</t>
  </si>
  <si>
    <t>ORD-00675</t>
  </si>
  <si>
    <t>SHP-00676</t>
  </si>
  <si>
    <t>ORD-00676</t>
  </si>
  <si>
    <t>SHP-00677</t>
  </si>
  <si>
    <t>ORD-00677</t>
  </si>
  <si>
    <t>SHP-00678</t>
  </si>
  <si>
    <t>ORD-00678</t>
  </si>
  <si>
    <t>SHP-00679</t>
  </si>
  <si>
    <t>ORD-00679</t>
  </si>
  <si>
    <t>SHP-00680</t>
  </si>
  <si>
    <t>ORD-00680</t>
  </si>
  <si>
    <t>SHP-00681</t>
  </si>
  <si>
    <t>ORD-00681</t>
  </si>
  <si>
    <t>SHP-00682</t>
  </si>
  <si>
    <t>ORD-00682</t>
  </si>
  <si>
    <t>SHP-00683</t>
  </si>
  <si>
    <t>ORD-00683</t>
  </si>
  <si>
    <t>SHP-00684</t>
  </si>
  <si>
    <t>ORD-00684</t>
  </si>
  <si>
    <t>SHP-00685</t>
  </si>
  <si>
    <t>ORD-00685</t>
  </si>
  <si>
    <t>SHP-00686</t>
  </si>
  <si>
    <t>ORD-00686</t>
  </si>
  <si>
    <t>SHP-00687</t>
  </si>
  <si>
    <t>ORD-00687</t>
  </si>
  <si>
    <t>SHP-00688</t>
  </si>
  <si>
    <t>ORD-00688</t>
  </si>
  <si>
    <t>SHP-00689</t>
  </si>
  <si>
    <t>ORD-00689</t>
  </si>
  <si>
    <t>SHP-00690</t>
  </si>
  <si>
    <t>ORD-00690</t>
  </si>
  <si>
    <t>SHP-00691</t>
  </si>
  <si>
    <t>ORD-00691</t>
  </si>
  <si>
    <t>SHP-00692</t>
  </si>
  <si>
    <t>ORD-00692</t>
  </si>
  <si>
    <t>SHP-00693</t>
  </si>
  <si>
    <t>ORD-00693</t>
  </si>
  <si>
    <t>SHP-00694</t>
  </si>
  <si>
    <t>ORD-00694</t>
  </si>
  <si>
    <t>SHP-00695</t>
  </si>
  <si>
    <t>ORD-00695</t>
  </si>
  <si>
    <t>SHP-00696</t>
  </si>
  <si>
    <t>ORD-00696</t>
  </si>
  <si>
    <t>SHP-00697</t>
  </si>
  <si>
    <t>ORD-00697</t>
  </si>
  <si>
    <t>SHP-00698</t>
  </si>
  <si>
    <t>ORD-00698</t>
  </si>
  <si>
    <t>SHP-00699</t>
  </si>
  <si>
    <t>ORD-00699</t>
  </si>
  <si>
    <t>SHP-00700</t>
  </si>
  <si>
    <t>ORD-00700</t>
  </si>
  <si>
    <t>SHP-00701</t>
  </si>
  <si>
    <t>ORD-00701</t>
  </si>
  <si>
    <t>SHP-00702</t>
  </si>
  <si>
    <t>ORD-00702</t>
  </si>
  <si>
    <t>SHP-00703</t>
  </si>
  <si>
    <t>ORD-00703</t>
  </si>
  <si>
    <t>SHP-00704</t>
  </si>
  <si>
    <t>ORD-00704</t>
  </si>
  <si>
    <t>SHP-00705</t>
  </si>
  <si>
    <t>ORD-00705</t>
  </si>
  <si>
    <t>SHP-00706</t>
  </si>
  <si>
    <t>ORD-00706</t>
  </si>
  <si>
    <t>SHP-00707</t>
  </si>
  <si>
    <t>ORD-00707</t>
  </si>
  <si>
    <t>SHP-00708</t>
  </si>
  <si>
    <t>ORD-00708</t>
  </si>
  <si>
    <t>SHP-00709</t>
  </si>
  <si>
    <t>ORD-00709</t>
  </si>
  <si>
    <t>SHP-00710</t>
  </si>
  <si>
    <t>ORD-00710</t>
  </si>
  <si>
    <t>SHP-00711</t>
  </si>
  <si>
    <t>ORD-00711</t>
  </si>
  <si>
    <t>SHP-00712</t>
  </si>
  <si>
    <t>ORD-00712</t>
  </si>
  <si>
    <t>SHP-00713</t>
  </si>
  <si>
    <t>ORD-00713</t>
  </si>
  <si>
    <t>SHP-00714</t>
  </si>
  <si>
    <t>ORD-00714</t>
  </si>
  <si>
    <t>SHP-00715</t>
  </si>
  <si>
    <t>ORD-00715</t>
  </si>
  <si>
    <t>SHP-00716</t>
  </si>
  <si>
    <t>ORD-00716</t>
  </si>
  <si>
    <t>SHP-00717</t>
  </si>
  <si>
    <t>ORD-00717</t>
  </si>
  <si>
    <t>SHP-00718</t>
  </si>
  <si>
    <t>ORD-00718</t>
  </si>
  <si>
    <t>SHP-00719</t>
  </si>
  <si>
    <t>ORD-00719</t>
  </si>
  <si>
    <t>SHP-00720</t>
  </si>
  <si>
    <t>ORD-00720</t>
  </si>
  <si>
    <t>SHP-00721</t>
  </si>
  <si>
    <t>ORD-00721</t>
  </si>
  <si>
    <t>SHP-00722</t>
  </si>
  <si>
    <t>ORD-00722</t>
  </si>
  <si>
    <t>SHP-00723</t>
  </si>
  <si>
    <t>ORD-00723</t>
  </si>
  <si>
    <t>SHP-00724</t>
  </si>
  <si>
    <t>ORD-00724</t>
  </si>
  <si>
    <t>SHP-00725</t>
  </si>
  <si>
    <t>ORD-00725</t>
  </si>
  <si>
    <t>SHP-00726</t>
  </si>
  <si>
    <t>ORD-00726</t>
  </si>
  <si>
    <t>SHP-00727</t>
  </si>
  <si>
    <t>ORD-00727</t>
  </si>
  <si>
    <t>SHP-00728</t>
  </si>
  <si>
    <t>ORD-00728</t>
  </si>
  <si>
    <t>SHP-00729</t>
  </si>
  <si>
    <t>ORD-00729</t>
  </si>
  <si>
    <t>SHP-00730</t>
  </si>
  <si>
    <t>ORD-00730</t>
  </si>
  <si>
    <t>SHP-00731</t>
  </si>
  <si>
    <t>ORD-00731</t>
  </si>
  <si>
    <t>SHP-00732</t>
  </si>
  <si>
    <t>ORD-00732</t>
  </si>
  <si>
    <t>SHP-00733</t>
  </si>
  <si>
    <t>ORD-00733</t>
  </si>
  <si>
    <t>SHP-00734</t>
  </si>
  <si>
    <t>ORD-00734</t>
  </si>
  <si>
    <t>SHP-00735</t>
  </si>
  <si>
    <t>ORD-00735</t>
  </si>
  <si>
    <t>SHP-00736</t>
  </si>
  <si>
    <t>ORD-00736</t>
  </si>
  <si>
    <t>SHP-00737</t>
  </si>
  <si>
    <t>ORD-00737</t>
  </si>
  <si>
    <t>SHP-00738</t>
  </si>
  <si>
    <t>ORD-00738</t>
  </si>
  <si>
    <t>SHP-00739</t>
  </si>
  <si>
    <t>ORD-00739</t>
  </si>
  <si>
    <t>SHP-00740</t>
  </si>
  <si>
    <t>ORD-00740</t>
  </si>
  <si>
    <t>SHP-00741</t>
  </si>
  <si>
    <t>ORD-00741</t>
  </si>
  <si>
    <t>SHP-00742</t>
  </si>
  <si>
    <t>ORD-00742</t>
  </si>
  <si>
    <t>SHP-00743</t>
  </si>
  <si>
    <t>ORD-00743</t>
  </si>
  <si>
    <t>SHP-00744</t>
  </si>
  <si>
    <t>ORD-00744</t>
  </si>
  <si>
    <t>SHP-00745</t>
  </si>
  <si>
    <t>ORD-00745</t>
  </si>
  <si>
    <t>SHP-00746</t>
  </si>
  <si>
    <t>ORD-00746</t>
  </si>
  <si>
    <t>SHP-00747</t>
  </si>
  <si>
    <t>ORD-00747</t>
  </si>
  <si>
    <t>SHP-00748</t>
  </si>
  <si>
    <t>ORD-00748</t>
  </si>
  <si>
    <t>SHP-00749</t>
  </si>
  <si>
    <t>ORD-00749</t>
  </si>
  <si>
    <t>SHP-00750</t>
  </si>
  <si>
    <t>ORD-00750</t>
  </si>
  <si>
    <t>SHP-00751</t>
  </si>
  <si>
    <t>ORD-00751</t>
  </si>
  <si>
    <t>SHP-00752</t>
  </si>
  <si>
    <t>ORD-00752</t>
  </si>
  <si>
    <t>SHP-00753</t>
  </si>
  <si>
    <t>ORD-00753</t>
  </si>
  <si>
    <t>SHP-00754</t>
  </si>
  <si>
    <t>ORD-00754</t>
  </si>
  <si>
    <t>SHP-00755</t>
  </si>
  <si>
    <t>ORD-00755</t>
  </si>
  <si>
    <t>SHP-00756</t>
  </si>
  <si>
    <t>ORD-00756</t>
  </si>
  <si>
    <t>SHP-00757</t>
  </si>
  <si>
    <t>ORD-00757</t>
  </si>
  <si>
    <t>SHP-00758</t>
  </si>
  <si>
    <t>ORD-00758</t>
  </si>
  <si>
    <t>SHP-00759</t>
  </si>
  <si>
    <t>ORD-00759</t>
  </si>
  <si>
    <t>SHP-00760</t>
  </si>
  <si>
    <t>ORD-00760</t>
  </si>
  <si>
    <t>SHP-00761</t>
  </si>
  <si>
    <t>ORD-00761</t>
  </si>
  <si>
    <t>SHP-00762</t>
  </si>
  <si>
    <t>ORD-00762</t>
  </si>
  <si>
    <t>SHP-00763</t>
  </si>
  <si>
    <t>ORD-00763</t>
  </si>
  <si>
    <t>SHP-00764</t>
  </si>
  <si>
    <t>ORD-00764</t>
  </si>
  <si>
    <t>SHP-00765</t>
  </si>
  <si>
    <t>ORD-00765</t>
  </si>
  <si>
    <t>SHP-00766</t>
  </si>
  <si>
    <t>ORD-00766</t>
  </si>
  <si>
    <t>SHP-00767</t>
  </si>
  <si>
    <t>ORD-00767</t>
  </si>
  <si>
    <t>SHP-00768</t>
  </si>
  <si>
    <t>ORD-00768</t>
  </si>
  <si>
    <t>SHP-00769</t>
  </si>
  <si>
    <t>ORD-00769</t>
  </si>
  <si>
    <t>SHP-00770</t>
  </si>
  <si>
    <t>ORD-00770</t>
  </si>
  <si>
    <t>SHP-00771</t>
  </si>
  <si>
    <t>ORD-00771</t>
  </si>
  <si>
    <t>SHP-00772</t>
  </si>
  <si>
    <t>ORD-00772</t>
  </si>
  <si>
    <t>SHP-00773</t>
  </si>
  <si>
    <t>ORD-00773</t>
  </si>
  <si>
    <t>SHP-00774</t>
  </si>
  <si>
    <t>ORD-00774</t>
  </si>
  <si>
    <t>SHP-00775</t>
  </si>
  <si>
    <t>ORD-00775</t>
  </si>
  <si>
    <t>SHP-00776</t>
  </si>
  <si>
    <t>ORD-00776</t>
  </si>
  <si>
    <t>SHP-00777</t>
  </si>
  <si>
    <t>ORD-00777</t>
  </si>
  <si>
    <t>SHP-00778</t>
  </si>
  <si>
    <t>ORD-00778</t>
  </si>
  <si>
    <t>SHP-00779</t>
  </si>
  <si>
    <t>ORD-00779</t>
  </si>
  <si>
    <t>SHP-00780</t>
  </si>
  <si>
    <t>ORD-00780</t>
  </si>
  <si>
    <t>SHP-00781</t>
  </si>
  <si>
    <t>ORD-00781</t>
  </si>
  <si>
    <t>SHP-00782</t>
  </si>
  <si>
    <t>ORD-00782</t>
  </si>
  <si>
    <t>SHP-00783</t>
  </si>
  <si>
    <t>ORD-00783</t>
  </si>
  <si>
    <t>SHP-00784</t>
  </si>
  <si>
    <t>ORD-00784</t>
  </si>
  <si>
    <t>SHP-00785</t>
  </si>
  <si>
    <t>ORD-00785</t>
  </si>
  <si>
    <t>SHP-00786</t>
  </si>
  <si>
    <t>ORD-00786</t>
  </si>
  <si>
    <t>SHP-00787</t>
  </si>
  <si>
    <t>ORD-00787</t>
  </si>
  <si>
    <t>SHP-00788</t>
  </si>
  <si>
    <t>ORD-00788</t>
  </si>
  <si>
    <t>SHP-00789</t>
  </si>
  <si>
    <t>ORD-00789</t>
  </si>
  <si>
    <t>SHP-00790</t>
  </si>
  <si>
    <t>ORD-00790</t>
  </si>
  <si>
    <t>SHP-00791</t>
  </si>
  <si>
    <t>ORD-00791</t>
  </si>
  <si>
    <t>SHP-00792</t>
  </si>
  <si>
    <t>ORD-00792</t>
  </si>
  <si>
    <t>SHP-00793</t>
  </si>
  <si>
    <t>ORD-00793</t>
  </si>
  <si>
    <t>SHP-00794</t>
  </si>
  <si>
    <t>ORD-00794</t>
  </si>
  <si>
    <t>SHP-00795</t>
  </si>
  <si>
    <t>ORD-00795</t>
  </si>
  <si>
    <t>SHP-00796</t>
  </si>
  <si>
    <t>ORD-00796</t>
  </si>
  <si>
    <t>SHP-00797</t>
  </si>
  <si>
    <t>ORD-00797</t>
  </si>
  <si>
    <t>SHP-00798</t>
  </si>
  <si>
    <t>ORD-00798</t>
  </si>
  <si>
    <t>SHP-00799</t>
  </si>
  <si>
    <t>ORD-00799</t>
  </si>
  <si>
    <t>SHP-00800</t>
  </si>
  <si>
    <t>ORD-00800</t>
  </si>
  <si>
    <t>SHP-00801</t>
  </si>
  <si>
    <t>ORD-00801</t>
  </si>
  <si>
    <t>SHP-00802</t>
  </si>
  <si>
    <t>ORD-00802</t>
  </si>
  <si>
    <t>SHP-00803</t>
  </si>
  <si>
    <t>ORD-00803</t>
  </si>
  <si>
    <t>SHP-00804</t>
  </si>
  <si>
    <t>ORD-00804</t>
  </si>
  <si>
    <t>SHP-00805</t>
  </si>
  <si>
    <t>ORD-00805</t>
  </si>
  <si>
    <t>SHP-00806</t>
  </si>
  <si>
    <t>ORD-00806</t>
  </si>
  <si>
    <t>SHP-00807</t>
  </si>
  <si>
    <t>ORD-00807</t>
  </si>
  <si>
    <t>SHP-00808</t>
  </si>
  <si>
    <t>ORD-00808</t>
  </si>
  <si>
    <t>SHP-00809</t>
  </si>
  <si>
    <t>ORD-00809</t>
  </si>
  <si>
    <t>SHP-00810</t>
  </si>
  <si>
    <t>ORD-00810</t>
  </si>
  <si>
    <t>SHP-00811</t>
  </si>
  <si>
    <t>ORD-00811</t>
  </si>
  <si>
    <t>SHP-00812</t>
  </si>
  <si>
    <t>ORD-00812</t>
  </si>
  <si>
    <t>SHP-00813</t>
  </si>
  <si>
    <t>ORD-00813</t>
  </si>
  <si>
    <t>SHP-00814</t>
  </si>
  <si>
    <t>ORD-00814</t>
  </si>
  <si>
    <t>SHP-00815</t>
  </si>
  <si>
    <t>ORD-00815</t>
  </si>
  <si>
    <t>SHP-00816</t>
  </si>
  <si>
    <t>ORD-00816</t>
  </si>
  <si>
    <t>SHP-00817</t>
  </si>
  <si>
    <t>ORD-00817</t>
  </si>
  <si>
    <t>SHP-00818</t>
  </si>
  <si>
    <t>ORD-00818</t>
  </si>
  <si>
    <t>SHP-00819</t>
  </si>
  <si>
    <t>ORD-00819</t>
  </si>
  <si>
    <t>SHP-00820</t>
  </si>
  <si>
    <t>ORD-00820</t>
  </si>
  <si>
    <t>SHP-00821</t>
  </si>
  <si>
    <t>ORD-00821</t>
  </si>
  <si>
    <t>SHP-00822</t>
  </si>
  <si>
    <t>ORD-00822</t>
  </si>
  <si>
    <t>SHP-00823</t>
  </si>
  <si>
    <t>ORD-00823</t>
  </si>
  <si>
    <t>SHP-00824</t>
  </si>
  <si>
    <t>ORD-00824</t>
  </si>
  <si>
    <t>SHP-00825</t>
  </si>
  <si>
    <t>ORD-00825</t>
  </si>
  <si>
    <t>SHP-00826</t>
  </si>
  <si>
    <t>ORD-00826</t>
  </si>
  <si>
    <t>SHP-00827</t>
  </si>
  <si>
    <t>ORD-00827</t>
  </si>
  <si>
    <t>SHP-00828</t>
  </si>
  <si>
    <t>ORD-00828</t>
  </si>
  <si>
    <t>SHP-00829</t>
  </si>
  <si>
    <t>ORD-00829</t>
  </si>
  <si>
    <t>SHP-00830</t>
  </si>
  <si>
    <t>ORD-00830</t>
  </si>
  <si>
    <t>SHP-00831</t>
  </si>
  <si>
    <t>ORD-00831</t>
  </si>
  <si>
    <t>SHP-00832</t>
  </si>
  <si>
    <t>ORD-00832</t>
  </si>
  <si>
    <t>SHP-00833</t>
  </si>
  <si>
    <t>ORD-00833</t>
  </si>
  <si>
    <t>SHP-00834</t>
  </si>
  <si>
    <t>ORD-00834</t>
  </si>
  <si>
    <t>SHP-00835</t>
  </si>
  <si>
    <t>ORD-00835</t>
  </si>
  <si>
    <t>SHP-00836</t>
  </si>
  <si>
    <t>ORD-00836</t>
  </si>
  <si>
    <t>SHP-00837</t>
  </si>
  <si>
    <t>ORD-00837</t>
  </si>
  <si>
    <t>SHP-00838</t>
  </si>
  <si>
    <t>ORD-00838</t>
  </si>
  <si>
    <t>SHP-00839</t>
  </si>
  <si>
    <t>ORD-00839</t>
  </si>
  <si>
    <t>SHP-00840</t>
  </si>
  <si>
    <t>ORD-00840</t>
  </si>
  <si>
    <t>SHP-00841</t>
  </si>
  <si>
    <t>ORD-00841</t>
  </si>
  <si>
    <t>SHP-00842</t>
  </si>
  <si>
    <t>ORD-00842</t>
  </si>
  <si>
    <t>SHP-00843</t>
  </si>
  <si>
    <t>ORD-00843</t>
  </si>
  <si>
    <t>SHP-00844</t>
  </si>
  <si>
    <t>ORD-00844</t>
  </si>
  <si>
    <t>SHP-00845</t>
  </si>
  <si>
    <t>ORD-00845</t>
  </si>
  <si>
    <t>SHP-00846</t>
  </si>
  <si>
    <t>ORD-00846</t>
  </si>
  <si>
    <t>SHP-00847</t>
  </si>
  <si>
    <t>ORD-00847</t>
  </si>
  <si>
    <t>SHP-00848</t>
  </si>
  <si>
    <t>ORD-00848</t>
  </si>
  <si>
    <t>SHP-00849</t>
  </si>
  <si>
    <t>ORD-00849</t>
  </si>
  <si>
    <t>SHP-00850</t>
  </si>
  <si>
    <t>ORD-00850</t>
  </si>
  <si>
    <t>SHP-00851</t>
  </si>
  <si>
    <t>ORD-00851</t>
  </si>
  <si>
    <t>SHP-00852</t>
  </si>
  <si>
    <t>ORD-00852</t>
  </si>
  <si>
    <t>SHP-00853</t>
  </si>
  <si>
    <t>ORD-00853</t>
  </si>
  <si>
    <t>SHP-00854</t>
  </si>
  <si>
    <t>ORD-00854</t>
  </si>
  <si>
    <t>SHP-00855</t>
  </si>
  <si>
    <t>ORD-00855</t>
  </si>
  <si>
    <t>SHP-00856</t>
  </si>
  <si>
    <t>ORD-00856</t>
  </si>
  <si>
    <t>SHP-00857</t>
  </si>
  <si>
    <t>ORD-00857</t>
  </si>
  <si>
    <t>SHP-00858</t>
  </si>
  <si>
    <t>ORD-00858</t>
  </si>
  <si>
    <t>SHP-00859</t>
  </si>
  <si>
    <t>ORD-00859</t>
  </si>
  <si>
    <t>SHP-00860</t>
  </si>
  <si>
    <t>ORD-00860</t>
  </si>
  <si>
    <t>SHP-00861</t>
  </si>
  <si>
    <t>ORD-00861</t>
  </si>
  <si>
    <t>SHP-00862</t>
  </si>
  <si>
    <t>ORD-00862</t>
  </si>
  <si>
    <t>SHP-00863</t>
  </si>
  <si>
    <t>ORD-00863</t>
  </si>
  <si>
    <t>SHP-00864</t>
  </si>
  <si>
    <t>ORD-00864</t>
  </si>
  <si>
    <t>SHP-00865</t>
  </si>
  <si>
    <t>ORD-00865</t>
  </si>
  <si>
    <t>SHP-00866</t>
  </si>
  <si>
    <t>ORD-00866</t>
  </si>
  <si>
    <t>SHP-00867</t>
  </si>
  <si>
    <t>ORD-00867</t>
  </si>
  <si>
    <t>SHP-00868</t>
  </si>
  <si>
    <t>ORD-00868</t>
  </si>
  <si>
    <t>SHP-00869</t>
  </si>
  <si>
    <t>ORD-00869</t>
  </si>
  <si>
    <t>SHP-00870</t>
  </si>
  <si>
    <t>ORD-00870</t>
  </si>
  <si>
    <t>SHP-00871</t>
  </si>
  <si>
    <t>ORD-00871</t>
  </si>
  <si>
    <t>SHP-00872</t>
  </si>
  <si>
    <t>ORD-00872</t>
  </si>
  <si>
    <t>SHP-00873</t>
  </si>
  <si>
    <t>ORD-00873</t>
  </si>
  <si>
    <t>SHP-00874</t>
  </si>
  <si>
    <t>ORD-00874</t>
  </si>
  <si>
    <t>SHP-00875</t>
  </si>
  <si>
    <t>ORD-00875</t>
  </si>
  <si>
    <t>SHP-00876</t>
  </si>
  <si>
    <t>ORD-00876</t>
  </si>
  <si>
    <t>SHP-00877</t>
  </si>
  <si>
    <t>ORD-00877</t>
  </si>
  <si>
    <t>SHP-00878</t>
  </si>
  <si>
    <t>ORD-00878</t>
  </si>
  <si>
    <t>SHP-00879</t>
  </si>
  <si>
    <t>ORD-00879</t>
  </si>
  <si>
    <t>SHP-00880</t>
  </si>
  <si>
    <t>ORD-00880</t>
  </si>
  <si>
    <t>SHP-00881</t>
  </si>
  <si>
    <t>ORD-00881</t>
  </si>
  <si>
    <t>SHP-00882</t>
  </si>
  <si>
    <t>ORD-00882</t>
  </si>
  <si>
    <t>SHP-00883</t>
  </si>
  <si>
    <t>ORD-00883</t>
  </si>
  <si>
    <t>SHP-00884</t>
  </si>
  <si>
    <t>ORD-00884</t>
  </si>
  <si>
    <t>SHP-00885</t>
  </si>
  <si>
    <t>ORD-00885</t>
  </si>
  <si>
    <t>SHP-00886</t>
  </si>
  <si>
    <t>ORD-00886</t>
  </si>
  <si>
    <t>SHP-00887</t>
  </si>
  <si>
    <t>ORD-00887</t>
  </si>
  <si>
    <t>SHP-00888</t>
  </si>
  <si>
    <t>ORD-00888</t>
  </si>
  <si>
    <t>SHP-00889</t>
  </si>
  <si>
    <t>ORD-00889</t>
  </si>
  <si>
    <t>SHP-00890</t>
  </si>
  <si>
    <t>ORD-00890</t>
  </si>
  <si>
    <t>SHP-00891</t>
  </si>
  <si>
    <t>ORD-00891</t>
  </si>
  <si>
    <t>SHP-00892</t>
  </si>
  <si>
    <t>ORD-00892</t>
  </si>
  <si>
    <t>SHP-00893</t>
  </si>
  <si>
    <t>ORD-00893</t>
  </si>
  <si>
    <t>SHP-00894</t>
  </si>
  <si>
    <t>ORD-00894</t>
  </si>
  <si>
    <t>SHP-00895</t>
  </si>
  <si>
    <t>ORD-00895</t>
  </si>
  <si>
    <t>SHP-00896</t>
  </si>
  <si>
    <t>ORD-00896</t>
  </si>
  <si>
    <t>SHP-00897</t>
  </si>
  <si>
    <t>ORD-00897</t>
  </si>
  <si>
    <t>SHP-00898</t>
  </si>
  <si>
    <t>ORD-00898</t>
  </si>
  <si>
    <t>SHP-00899</t>
  </si>
  <si>
    <t>ORD-00899</t>
  </si>
  <si>
    <t>SHP-00900</t>
  </si>
  <si>
    <t>ORD-00900</t>
  </si>
  <si>
    <t>SHP-00901</t>
  </si>
  <si>
    <t>ORD-00901</t>
  </si>
  <si>
    <t>SHP-00902</t>
  </si>
  <si>
    <t>ORD-00902</t>
  </si>
  <si>
    <t>SHP-00903</t>
  </si>
  <si>
    <t>ORD-00903</t>
  </si>
  <si>
    <t>SHP-00904</t>
  </si>
  <si>
    <t>ORD-00904</t>
  </si>
  <si>
    <t>SHP-00905</t>
  </si>
  <si>
    <t>ORD-00905</t>
  </si>
  <si>
    <t>SHP-00906</t>
  </si>
  <si>
    <t>ORD-00906</t>
  </si>
  <si>
    <t>SHP-00907</t>
  </si>
  <si>
    <t>ORD-00907</t>
  </si>
  <si>
    <t>SHP-00908</t>
  </si>
  <si>
    <t>ORD-00908</t>
  </si>
  <si>
    <t>SHP-00909</t>
  </si>
  <si>
    <t>ORD-00909</t>
  </si>
  <si>
    <t>SHP-00910</t>
  </si>
  <si>
    <t>ORD-00910</t>
  </si>
  <si>
    <t>SHP-00911</t>
  </si>
  <si>
    <t>ORD-00911</t>
  </si>
  <si>
    <t>SHP-00912</t>
  </si>
  <si>
    <t>ORD-00912</t>
  </si>
  <si>
    <t>SHP-00913</t>
  </si>
  <si>
    <t>ORD-00913</t>
  </si>
  <si>
    <t>SHP-00914</t>
  </si>
  <si>
    <t>ORD-00914</t>
  </si>
  <si>
    <t>SHP-00915</t>
  </si>
  <si>
    <t>ORD-00915</t>
  </si>
  <si>
    <t>SHP-00916</t>
  </si>
  <si>
    <t>ORD-00916</t>
  </si>
  <si>
    <t>SHP-00917</t>
  </si>
  <si>
    <t>ORD-00917</t>
  </si>
  <si>
    <t>SHP-00918</t>
  </si>
  <si>
    <t>ORD-00918</t>
  </si>
  <si>
    <t>SHP-00919</t>
  </si>
  <si>
    <t>ORD-00919</t>
  </si>
  <si>
    <t>SHP-00920</t>
  </si>
  <si>
    <t>ORD-00920</t>
  </si>
  <si>
    <t>SHP-00921</t>
  </si>
  <si>
    <t>ORD-00921</t>
  </si>
  <si>
    <t>SHP-00922</t>
  </si>
  <si>
    <t>ORD-00922</t>
  </si>
  <si>
    <t>SHP-00923</t>
  </si>
  <si>
    <t>ORD-00923</t>
  </si>
  <si>
    <t>SHP-00924</t>
  </si>
  <si>
    <t>ORD-00924</t>
  </si>
  <si>
    <t>SHP-00925</t>
  </si>
  <si>
    <t>ORD-00925</t>
  </si>
  <si>
    <t>SHP-00926</t>
  </si>
  <si>
    <t>ORD-00926</t>
  </si>
  <si>
    <t>SHP-00927</t>
  </si>
  <si>
    <t>ORD-00927</t>
  </si>
  <si>
    <t>SHP-00928</t>
  </si>
  <si>
    <t>ORD-00928</t>
  </si>
  <si>
    <t>SHP-00929</t>
  </si>
  <si>
    <t>ORD-00929</t>
  </si>
  <si>
    <t>SHP-00930</t>
  </si>
  <si>
    <t>ORD-00930</t>
  </si>
  <si>
    <t>SHP-00931</t>
  </si>
  <si>
    <t>ORD-00931</t>
  </si>
  <si>
    <t>SHP-00932</t>
  </si>
  <si>
    <t>ORD-00932</t>
  </si>
  <si>
    <t>SHP-00933</t>
  </si>
  <si>
    <t>ORD-00933</t>
  </si>
  <si>
    <t>SHP-00934</t>
  </si>
  <si>
    <t>ORD-00934</t>
  </si>
  <si>
    <t>SHP-00935</t>
  </si>
  <si>
    <t>ORD-00935</t>
  </si>
  <si>
    <t>SHP-00936</t>
  </si>
  <si>
    <t>ORD-00936</t>
  </si>
  <si>
    <t>SHP-00937</t>
  </si>
  <si>
    <t>ORD-00937</t>
  </si>
  <si>
    <t>SHP-00938</t>
  </si>
  <si>
    <t>ORD-00938</t>
  </si>
  <si>
    <t>SHP-00939</t>
  </si>
  <si>
    <t>ORD-00939</t>
  </si>
  <si>
    <t>SHP-00940</t>
  </si>
  <si>
    <t>ORD-00940</t>
  </si>
  <si>
    <t>SHP-00941</t>
  </si>
  <si>
    <t>ORD-00941</t>
  </si>
  <si>
    <t>SHP-00942</t>
  </si>
  <si>
    <t>ORD-00942</t>
  </si>
  <si>
    <t>SHP-00943</t>
  </si>
  <si>
    <t>ORD-00943</t>
  </si>
  <si>
    <t>SHP-00944</t>
  </si>
  <si>
    <t>ORD-00944</t>
  </si>
  <si>
    <t>SHP-00945</t>
  </si>
  <si>
    <t>ORD-00945</t>
  </si>
  <si>
    <t>SHP-00946</t>
  </si>
  <si>
    <t>ORD-00946</t>
  </si>
  <si>
    <t>SHP-00947</t>
  </si>
  <si>
    <t>ORD-00947</t>
  </si>
  <si>
    <t>SHP-00948</t>
  </si>
  <si>
    <t>ORD-00948</t>
  </si>
  <si>
    <t>SHP-00949</t>
  </si>
  <si>
    <t>ORD-00949</t>
  </si>
  <si>
    <t>SHP-00950</t>
  </si>
  <si>
    <t>ORD-00950</t>
  </si>
  <si>
    <t>SHP-00951</t>
  </si>
  <si>
    <t>ORD-00951</t>
  </si>
  <si>
    <t>SHP-00952</t>
  </si>
  <si>
    <t>ORD-00952</t>
  </si>
  <si>
    <t>SHP-00953</t>
  </si>
  <si>
    <t>ORD-00953</t>
  </si>
  <si>
    <t>SHP-00954</t>
  </si>
  <si>
    <t>ORD-00954</t>
  </si>
  <si>
    <t>SHP-00955</t>
  </si>
  <si>
    <t>ORD-00955</t>
  </si>
  <si>
    <t>SHP-00956</t>
  </si>
  <si>
    <t>ORD-00956</t>
  </si>
  <si>
    <t>SHP-00957</t>
  </si>
  <si>
    <t>ORD-00957</t>
  </si>
  <si>
    <t>SHP-00958</t>
  </si>
  <si>
    <t>ORD-00958</t>
  </si>
  <si>
    <t>SHP-00959</t>
  </si>
  <si>
    <t>ORD-00959</t>
  </si>
  <si>
    <t>SHP-00960</t>
  </si>
  <si>
    <t>ORD-00960</t>
  </si>
  <si>
    <t>SHP-00961</t>
  </si>
  <si>
    <t>ORD-00961</t>
  </si>
  <si>
    <t>SHP-00962</t>
  </si>
  <si>
    <t>ORD-00962</t>
  </si>
  <si>
    <t>SHP-00963</t>
  </si>
  <si>
    <t>ORD-00963</t>
  </si>
  <si>
    <t>SHP-00964</t>
  </si>
  <si>
    <t>ORD-00964</t>
  </si>
  <si>
    <t>SHP-00965</t>
  </si>
  <si>
    <t>ORD-00965</t>
  </si>
  <si>
    <t>SHP-00966</t>
  </si>
  <si>
    <t>ORD-00966</t>
  </si>
  <si>
    <t>SHP-00967</t>
  </si>
  <si>
    <t>ORD-00967</t>
  </si>
  <si>
    <t>SHP-00968</t>
  </si>
  <si>
    <t>ORD-00968</t>
  </si>
  <si>
    <t>SHP-00969</t>
  </si>
  <si>
    <t>ORD-00969</t>
  </si>
  <si>
    <t>SHP-00970</t>
  </si>
  <si>
    <t>ORD-00970</t>
  </si>
  <si>
    <t>SHP-00971</t>
  </si>
  <si>
    <t>ORD-00971</t>
  </si>
  <si>
    <t>SHP-00972</t>
  </si>
  <si>
    <t>ORD-00972</t>
  </si>
  <si>
    <t>SHP-00973</t>
  </si>
  <si>
    <t>ORD-00973</t>
  </si>
  <si>
    <t>SHP-00974</t>
  </si>
  <si>
    <t>ORD-00974</t>
  </si>
  <si>
    <t>SHP-00975</t>
  </si>
  <si>
    <t>ORD-00975</t>
  </si>
  <si>
    <t>SHP-00976</t>
  </si>
  <si>
    <t>ORD-00976</t>
  </si>
  <si>
    <t>SHP-00977</t>
  </si>
  <si>
    <t>ORD-00977</t>
  </si>
  <si>
    <t>SHP-00978</t>
  </si>
  <si>
    <t>ORD-00978</t>
  </si>
  <si>
    <t>SHP-00979</t>
  </si>
  <si>
    <t>ORD-00979</t>
  </si>
  <si>
    <t>SHP-00980</t>
  </si>
  <si>
    <t>ORD-00980</t>
  </si>
  <si>
    <t>SHP-00981</t>
  </si>
  <si>
    <t>ORD-00981</t>
  </si>
  <si>
    <t>SHP-00982</t>
  </si>
  <si>
    <t>ORD-00982</t>
  </si>
  <si>
    <t>SHP-00983</t>
  </si>
  <si>
    <t>ORD-00983</t>
  </si>
  <si>
    <t>SHP-00984</t>
  </si>
  <si>
    <t>ORD-00984</t>
  </si>
  <si>
    <t>SHP-00985</t>
  </si>
  <si>
    <t>ORD-00985</t>
  </si>
  <si>
    <t>SHP-00986</t>
  </si>
  <si>
    <t>ORD-00986</t>
  </si>
  <si>
    <t>SHP-00987</t>
  </si>
  <si>
    <t>ORD-00987</t>
  </si>
  <si>
    <t>SHP-00988</t>
  </si>
  <si>
    <t>ORD-00988</t>
  </si>
  <si>
    <t>SHP-00989</t>
  </si>
  <si>
    <t>ORD-00989</t>
  </si>
  <si>
    <t>SHP-00990</t>
  </si>
  <si>
    <t>ORD-00990</t>
  </si>
  <si>
    <t>SHP-00991</t>
  </si>
  <si>
    <t>ORD-00991</t>
  </si>
  <si>
    <t>SHP-00992</t>
  </si>
  <si>
    <t>ORD-00992</t>
  </si>
  <si>
    <t>SHP-00993</t>
  </si>
  <si>
    <t>ORD-00993</t>
  </si>
  <si>
    <t>SHP-00994</t>
  </si>
  <si>
    <t>ORD-00994</t>
  </si>
  <si>
    <t>SHP-00995</t>
  </si>
  <si>
    <t>ORD-00995</t>
  </si>
  <si>
    <t>SHP-00996</t>
  </si>
  <si>
    <t>ORD-00996</t>
  </si>
  <si>
    <t>SHP-00997</t>
  </si>
  <si>
    <t>ORD-00997</t>
  </si>
  <si>
    <t>SHP-00998</t>
  </si>
  <si>
    <t>ORD-00998</t>
  </si>
  <si>
    <t>SHP-00999</t>
  </si>
  <si>
    <t>ORD-00999</t>
  </si>
  <si>
    <t>SHP-01000</t>
  </si>
  <si>
    <t>ORD-01000</t>
  </si>
  <si>
    <t>SHP-01001</t>
  </si>
  <si>
    <t>ORD-01001</t>
  </si>
  <si>
    <t>SHP-01002</t>
  </si>
  <si>
    <t>ORD-01002</t>
  </si>
  <si>
    <t>SHP-01003</t>
  </si>
  <si>
    <t>ORD-01003</t>
  </si>
  <si>
    <t>SHP-01004</t>
  </si>
  <si>
    <t>ORD-01004</t>
  </si>
  <si>
    <t>SHP-01005</t>
  </si>
  <si>
    <t>ORD-01005</t>
  </si>
  <si>
    <t>SHP-01006</t>
  </si>
  <si>
    <t>ORD-01006</t>
  </si>
  <si>
    <t>SHP-01007</t>
  </si>
  <si>
    <t>ORD-01007</t>
  </si>
  <si>
    <t>SHP-01008</t>
  </si>
  <si>
    <t>ORD-01008</t>
  </si>
  <si>
    <t>SHP-01009</t>
  </si>
  <si>
    <t>ORD-01009</t>
  </si>
  <si>
    <t>SHP-01010</t>
  </si>
  <si>
    <t>ORD-01010</t>
  </si>
  <si>
    <t>SHP-01011</t>
  </si>
  <si>
    <t>ORD-01011</t>
  </si>
  <si>
    <t>SHP-01012</t>
  </si>
  <si>
    <t>ORD-01012</t>
  </si>
  <si>
    <t>SHP-01013</t>
  </si>
  <si>
    <t>ORD-01013</t>
  </si>
  <si>
    <t>SHP-01014</t>
  </si>
  <si>
    <t>ORD-01014</t>
  </si>
  <si>
    <t>SHP-01015</t>
  </si>
  <si>
    <t>ORD-01015</t>
  </si>
  <si>
    <t>SHP-01016</t>
  </si>
  <si>
    <t>ORD-01016</t>
  </si>
  <si>
    <t>SHP-01017</t>
  </si>
  <si>
    <t>ORD-01017</t>
  </si>
  <si>
    <t>SHP-01018</t>
  </si>
  <si>
    <t>ORD-01018</t>
  </si>
  <si>
    <t>SHP-01019</t>
  </si>
  <si>
    <t>ORD-01019</t>
  </si>
  <si>
    <t>SHP-01020</t>
  </si>
  <si>
    <t>ORD-01020</t>
  </si>
  <si>
    <t>SHP-01021</t>
  </si>
  <si>
    <t>ORD-01021</t>
  </si>
  <si>
    <t>SHP-01022</t>
  </si>
  <si>
    <t>ORD-01022</t>
  </si>
  <si>
    <t>SHP-01023</t>
  </si>
  <si>
    <t>ORD-01023</t>
  </si>
  <si>
    <t>SHP-01024</t>
  </si>
  <si>
    <t>ORD-01024</t>
  </si>
  <si>
    <t>SHP-01025</t>
  </si>
  <si>
    <t>ORD-01025</t>
  </si>
  <si>
    <t>SHP-01026</t>
  </si>
  <si>
    <t>ORD-01026</t>
  </si>
  <si>
    <t>SHP-01027</t>
  </si>
  <si>
    <t>ORD-01027</t>
  </si>
  <si>
    <t>SHP-01028</t>
  </si>
  <si>
    <t>ORD-01028</t>
  </si>
  <si>
    <t>SHP-01029</t>
  </si>
  <si>
    <t>ORD-01029</t>
  </si>
  <si>
    <t>SHP-01030</t>
  </si>
  <si>
    <t>ORD-01030</t>
  </si>
  <si>
    <t>SHP-01031</t>
  </si>
  <si>
    <t>ORD-01031</t>
  </si>
  <si>
    <t>SHP-01032</t>
  </si>
  <si>
    <t>ORD-01032</t>
  </si>
  <si>
    <t>SHP-01033</t>
  </si>
  <si>
    <t>ORD-01033</t>
  </si>
  <si>
    <t>SHP-01034</t>
  </si>
  <si>
    <t>ORD-01034</t>
  </si>
  <si>
    <t>SHP-01035</t>
  </si>
  <si>
    <t>ORD-01035</t>
  </si>
  <si>
    <t>SHP-01036</t>
  </si>
  <si>
    <t>ORD-01036</t>
  </si>
  <si>
    <t>SHP-01037</t>
  </si>
  <si>
    <t>ORD-01037</t>
  </si>
  <si>
    <t>SHP-01038</t>
  </si>
  <si>
    <t>ORD-01038</t>
  </si>
  <si>
    <t>SHP-01039</t>
  </si>
  <si>
    <t>ORD-01039</t>
  </si>
  <si>
    <t>SHP-01040</t>
  </si>
  <si>
    <t>ORD-01040</t>
  </si>
  <si>
    <t>SHP-01041</t>
  </si>
  <si>
    <t>ORD-01041</t>
  </si>
  <si>
    <t>SHP-01042</t>
  </si>
  <si>
    <t>ORD-01042</t>
  </si>
  <si>
    <t>SHP-01043</t>
  </si>
  <si>
    <t>ORD-01043</t>
  </si>
  <si>
    <t>SHP-01044</t>
  </si>
  <si>
    <t>ORD-01044</t>
  </si>
  <si>
    <t>SHP-01045</t>
  </si>
  <si>
    <t>ORD-01045</t>
  </si>
  <si>
    <t>SHP-01046</t>
  </si>
  <si>
    <t>ORD-01046</t>
  </si>
  <si>
    <t>SHP-01047</t>
  </si>
  <si>
    <t>ORD-01047</t>
  </si>
  <si>
    <t>SHP-01048</t>
  </si>
  <si>
    <t>ORD-01048</t>
  </si>
  <si>
    <t>SHP-01049</t>
  </si>
  <si>
    <t>ORD-01049</t>
  </si>
  <si>
    <t>SHP-01050</t>
  </si>
  <si>
    <t>ORD-01050</t>
  </si>
  <si>
    <t>SHP-01051</t>
  </si>
  <si>
    <t>ORD-01051</t>
  </si>
  <si>
    <t>SHP-01052</t>
  </si>
  <si>
    <t>ORD-01052</t>
  </si>
  <si>
    <t>SHP-01053</t>
  </si>
  <si>
    <t>ORD-01053</t>
  </si>
  <si>
    <t>SHP-01054</t>
  </si>
  <si>
    <t>ORD-01054</t>
  </si>
  <si>
    <t>SHP-01055</t>
  </si>
  <si>
    <t>ORD-01055</t>
  </si>
  <si>
    <t>SHP-01056</t>
  </si>
  <si>
    <t>ORD-01056</t>
  </si>
  <si>
    <t>SHP-01057</t>
  </si>
  <si>
    <t>ORD-01057</t>
  </si>
  <si>
    <t>SHP-01058</t>
  </si>
  <si>
    <t>ORD-01058</t>
  </si>
  <si>
    <t>SHP-01059</t>
  </si>
  <si>
    <t>ORD-01059</t>
  </si>
  <si>
    <t>SHP-01060</t>
  </si>
  <si>
    <t>ORD-01060</t>
  </si>
  <si>
    <t>SHP-01061</t>
  </si>
  <si>
    <t>ORD-01061</t>
  </si>
  <si>
    <t>SHP-01062</t>
  </si>
  <si>
    <t>ORD-01062</t>
  </si>
  <si>
    <t>SHP-01063</t>
  </si>
  <si>
    <t>ORD-01063</t>
  </si>
  <si>
    <t>SHP-01064</t>
  </si>
  <si>
    <t>ORD-01064</t>
  </si>
  <si>
    <t>SHP-01065</t>
  </si>
  <si>
    <t>ORD-01065</t>
  </si>
  <si>
    <t>SHP-01066</t>
  </si>
  <si>
    <t>ORD-01066</t>
  </si>
  <si>
    <t>SHP-01067</t>
  </si>
  <si>
    <t>ORD-01067</t>
  </si>
  <si>
    <t>SHP-01068</t>
  </si>
  <si>
    <t>ORD-01068</t>
  </si>
  <si>
    <t>SHP-01069</t>
  </si>
  <si>
    <t>ORD-01069</t>
  </si>
  <si>
    <t>SHP-01070</t>
  </si>
  <si>
    <t>ORD-01070</t>
  </si>
  <si>
    <t>SHP-01071</t>
  </si>
  <si>
    <t>ORD-01071</t>
  </si>
  <si>
    <t>SHP-01072</t>
  </si>
  <si>
    <t>ORD-01072</t>
  </si>
  <si>
    <t>SHP-01073</t>
  </si>
  <si>
    <t>ORD-01073</t>
  </si>
  <si>
    <t>SHP-01074</t>
  </si>
  <si>
    <t>ORD-01074</t>
  </si>
  <si>
    <t>SHP-01075</t>
  </si>
  <si>
    <t>ORD-01075</t>
  </si>
  <si>
    <t>SHP-01076</t>
  </si>
  <si>
    <t>ORD-01076</t>
  </si>
  <si>
    <t>SHP-01077</t>
  </si>
  <si>
    <t>ORD-01077</t>
  </si>
  <si>
    <t>SHP-01078</t>
  </si>
  <si>
    <t>ORD-01078</t>
  </si>
  <si>
    <t>SHP-01079</t>
  </si>
  <si>
    <t>ORD-01079</t>
  </si>
  <si>
    <t>SHP-01080</t>
  </si>
  <si>
    <t>ORD-01080</t>
  </si>
  <si>
    <t>SHP-01081</t>
  </si>
  <si>
    <t>ORD-01081</t>
  </si>
  <si>
    <t>SHP-01082</t>
  </si>
  <si>
    <t>ORD-01082</t>
  </si>
  <si>
    <t>SHP-01083</t>
  </si>
  <si>
    <t>ORD-01083</t>
  </si>
  <si>
    <t>SHP-01084</t>
  </si>
  <si>
    <t>ORD-01084</t>
  </si>
  <si>
    <t>SHP-01085</t>
  </si>
  <si>
    <t>ORD-01085</t>
  </si>
  <si>
    <t>SHP-01086</t>
  </si>
  <si>
    <t>ORD-01086</t>
  </si>
  <si>
    <t>SHP-01087</t>
  </si>
  <si>
    <t>ORD-01087</t>
  </si>
  <si>
    <t>SHP-01088</t>
  </si>
  <si>
    <t>ORD-01088</t>
  </si>
  <si>
    <t>SHP-01089</t>
  </si>
  <si>
    <t>ORD-01089</t>
  </si>
  <si>
    <t>SHP-01090</t>
  </si>
  <si>
    <t>ORD-01090</t>
  </si>
  <si>
    <t>SHP-01091</t>
  </si>
  <si>
    <t>ORD-01091</t>
  </si>
  <si>
    <t>SHP-01092</t>
  </si>
  <si>
    <t>ORD-01092</t>
  </si>
  <si>
    <t>SHP-01093</t>
  </si>
  <si>
    <t>ORD-01093</t>
  </si>
  <si>
    <t>SHP-01094</t>
  </si>
  <si>
    <t>ORD-01094</t>
  </si>
  <si>
    <t>SHP-01095</t>
  </si>
  <si>
    <t>ORD-01095</t>
  </si>
  <si>
    <t>SHP-01096</t>
  </si>
  <si>
    <t>ORD-01096</t>
  </si>
  <si>
    <t>SHP-01097</t>
  </si>
  <si>
    <t>ORD-01097</t>
  </si>
  <si>
    <t>SHP-01098</t>
  </si>
  <si>
    <t>ORD-01098</t>
  </si>
  <si>
    <t>SHP-01099</t>
  </si>
  <si>
    <t>ORD-01099</t>
  </si>
  <si>
    <t>SHP-01100</t>
  </si>
  <si>
    <t>ORD-01100</t>
  </si>
  <si>
    <t>SHP-01101</t>
  </si>
  <si>
    <t>ORD-01101</t>
  </si>
  <si>
    <t>SHP-01102</t>
  </si>
  <si>
    <t>ORD-01102</t>
  </si>
  <si>
    <t>SHP-01103</t>
  </si>
  <si>
    <t>ORD-01103</t>
  </si>
  <si>
    <t>SHP-01104</t>
  </si>
  <si>
    <t>ORD-01104</t>
  </si>
  <si>
    <t>SHP-01105</t>
  </si>
  <si>
    <t>ORD-01105</t>
  </si>
  <si>
    <t>SHP-01106</t>
  </si>
  <si>
    <t>ORD-01106</t>
  </si>
  <si>
    <t>SHP-01107</t>
  </si>
  <si>
    <t>ORD-01107</t>
  </si>
  <si>
    <t>SHP-01108</t>
  </si>
  <si>
    <t>ORD-01108</t>
  </si>
  <si>
    <t>SHP-01109</t>
  </si>
  <si>
    <t>ORD-01109</t>
  </si>
  <si>
    <t>SHP-01110</t>
  </si>
  <si>
    <t>ORD-01110</t>
  </si>
  <si>
    <t>SHP-01111</t>
  </si>
  <si>
    <t>ORD-01111</t>
  </si>
  <si>
    <t>SHP-01112</t>
  </si>
  <si>
    <t>ORD-01112</t>
  </si>
  <si>
    <t>SHP-01113</t>
  </si>
  <si>
    <t>ORD-01113</t>
  </si>
  <si>
    <t>SHP-01114</t>
  </si>
  <si>
    <t>ORD-01114</t>
  </si>
  <si>
    <t>SHP-01115</t>
  </si>
  <si>
    <t>ORD-01115</t>
  </si>
  <si>
    <t>SHP-01116</t>
  </si>
  <si>
    <t>ORD-01116</t>
  </si>
  <si>
    <t>SHP-01117</t>
  </si>
  <si>
    <t>ORD-01117</t>
  </si>
  <si>
    <t>SHP-01118</t>
  </si>
  <si>
    <t>ORD-01118</t>
  </si>
  <si>
    <t>SHP-01119</t>
  </si>
  <si>
    <t>ORD-01119</t>
  </si>
  <si>
    <t>SHP-01120</t>
  </si>
  <si>
    <t>ORD-01120</t>
  </si>
  <si>
    <t>SHP-01121</t>
  </si>
  <si>
    <t>ORD-01121</t>
  </si>
  <si>
    <t>SHP-01122</t>
  </si>
  <si>
    <t>ORD-01122</t>
  </si>
  <si>
    <t>SHP-01123</t>
  </si>
  <si>
    <t>ORD-01123</t>
  </si>
  <si>
    <t>SHP-01124</t>
  </si>
  <si>
    <t>ORD-01124</t>
  </si>
  <si>
    <t>SHP-01125</t>
  </si>
  <si>
    <t>ORD-01125</t>
  </si>
  <si>
    <t>SHP-01126</t>
  </si>
  <si>
    <t>ORD-01126</t>
  </si>
  <si>
    <t>SHP-01127</t>
  </si>
  <si>
    <t>ORD-01127</t>
  </si>
  <si>
    <t>SHP-01128</t>
  </si>
  <si>
    <t>ORD-01128</t>
  </si>
  <si>
    <t>SHP-01129</t>
  </si>
  <si>
    <t>ORD-01129</t>
  </si>
  <si>
    <t>SHP-01130</t>
  </si>
  <si>
    <t>ORD-01130</t>
  </si>
  <si>
    <t>SHP-01131</t>
  </si>
  <si>
    <t>ORD-01131</t>
  </si>
  <si>
    <t>SHP-01132</t>
  </si>
  <si>
    <t>ORD-01132</t>
  </si>
  <si>
    <t>SHP-01133</t>
  </si>
  <si>
    <t>ORD-01133</t>
  </si>
  <si>
    <t>SHP-01134</t>
  </si>
  <si>
    <t>ORD-01134</t>
  </si>
  <si>
    <t>SHP-01135</t>
  </si>
  <si>
    <t>ORD-01135</t>
  </si>
  <si>
    <t>SHP-01136</t>
  </si>
  <si>
    <t>ORD-01136</t>
  </si>
  <si>
    <t>SHP-01137</t>
  </si>
  <si>
    <t>ORD-01137</t>
  </si>
  <si>
    <t>SHP-01138</t>
  </si>
  <si>
    <t>ORD-01138</t>
  </si>
  <si>
    <t>SHP-01139</t>
  </si>
  <si>
    <t>ORD-01139</t>
  </si>
  <si>
    <t>SHP-01140</t>
  </si>
  <si>
    <t>ORD-01140</t>
  </si>
  <si>
    <t>SHP-01141</t>
  </si>
  <si>
    <t>ORD-01141</t>
  </si>
  <si>
    <t>SHP-01142</t>
  </si>
  <si>
    <t>ORD-01142</t>
  </si>
  <si>
    <t>SHP-01143</t>
  </si>
  <si>
    <t>ORD-01143</t>
  </si>
  <si>
    <t>SHP-01144</t>
  </si>
  <si>
    <t>ORD-01144</t>
  </si>
  <si>
    <t>SHP-01145</t>
  </si>
  <si>
    <t>ORD-01145</t>
  </si>
  <si>
    <t>SHP-01146</t>
  </si>
  <si>
    <t>ORD-01146</t>
  </si>
  <si>
    <t>SHP-01147</t>
  </si>
  <si>
    <t>ORD-01147</t>
  </si>
  <si>
    <t>SHP-01148</t>
  </si>
  <si>
    <t>ORD-01148</t>
  </si>
  <si>
    <t>SHP-01149</t>
  </si>
  <si>
    <t>ORD-01149</t>
  </si>
  <si>
    <t>SHP-01150</t>
  </si>
  <si>
    <t>ORD-01150</t>
  </si>
  <si>
    <t>SHP-01151</t>
  </si>
  <si>
    <t>ORD-01151</t>
  </si>
  <si>
    <t>SHP-01152</t>
  </si>
  <si>
    <t>ORD-01152</t>
  </si>
  <si>
    <t>SHP-01153</t>
  </si>
  <si>
    <t>ORD-01153</t>
  </si>
  <si>
    <t>SHP-01154</t>
  </si>
  <si>
    <t>ORD-01154</t>
  </si>
  <si>
    <t>SHP-01155</t>
  </si>
  <si>
    <t>ORD-01155</t>
  </si>
  <si>
    <t>SHP-01156</t>
  </si>
  <si>
    <t>ORD-01156</t>
  </si>
  <si>
    <t>SHP-01157</t>
  </si>
  <si>
    <t>ORD-01157</t>
  </si>
  <si>
    <t>SHP-01158</t>
  </si>
  <si>
    <t>ORD-01158</t>
  </si>
  <si>
    <t>SHP-01159</t>
  </si>
  <si>
    <t>ORD-01159</t>
  </si>
  <si>
    <t>SHP-01160</t>
  </si>
  <si>
    <t>ORD-01160</t>
  </si>
  <si>
    <t>SHP-01161</t>
  </si>
  <si>
    <t>ORD-01161</t>
  </si>
  <si>
    <t>SHP-01162</t>
  </si>
  <si>
    <t>ORD-01162</t>
  </si>
  <si>
    <t>SHP-01163</t>
  </si>
  <si>
    <t>ORD-01163</t>
  </si>
  <si>
    <t>SHP-01164</t>
  </si>
  <si>
    <t>ORD-01164</t>
  </si>
  <si>
    <t>SHP-01165</t>
  </si>
  <si>
    <t>ORD-01165</t>
  </si>
  <si>
    <t>SHP-01166</t>
  </si>
  <si>
    <t>ORD-01166</t>
  </si>
  <si>
    <t>SHP-01167</t>
  </si>
  <si>
    <t>ORD-01167</t>
  </si>
  <si>
    <t>SHP-01168</t>
  </si>
  <si>
    <t>ORD-01168</t>
  </si>
  <si>
    <t>SHP-01169</t>
  </si>
  <si>
    <t>ORD-01169</t>
  </si>
  <si>
    <t>SHP-01170</t>
  </si>
  <si>
    <t>ORD-01170</t>
  </si>
  <si>
    <t>SHP-01171</t>
  </si>
  <si>
    <t>ORD-01171</t>
  </si>
  <si>
    <t>SHP-01172</t>
  </si>
  <si>
    <t>ORD-01172</t>
  </si>
  <si>
    <t>SHP-01173</t>
  </si>
  <si>
    <t>ORD-01173</t>
  </si>
  <si>
    <t>SHP-01174</t>
  </si>
  <si>
    <t>ORD-01174</t>
  </si>
  <si>
    <t>SHP-01175</t>
  </si>
  <si>
    <t>ORD-01175</t>
  </si>
  <si>
    <t>SHP-01176</t>
  </si>
  <si>
    <t>ORD-01176</t>
  </si>
  <si>
    <t>SHP-01177</t>
  </si>
  <si>
    <t>ORD-01177</t>
  </si>
  <si>
    <t>SHP-01178</t>
  </si>
  <si>
    <t>ORD-01178</t>
  </si>
  <si>
    <t>SHP-01179</t>
  </si>
  <si>
    <t>ORD-01179</t>
  </si>
  <si>
    <t>SHP-01180</t>
  </si>
  <si>
    <t>ORD-01180</t>
  </si>
  <si>
    <t>SHP-01181</t>
  </si>
  <si>
    <t>ORD-01181</t>
  </si>
  <si>
    <t>SHP-01182</t>
  </si>
  <si>
    <t>ORD-01182</t>
  </si>
  <si>
    <t>SHP-01183</t>
  </si>
  <si>
    <t>ORD-01183</t>
  </si>
  <si>
    <t>SHP-01184</t>
  </si>
  <si>
    <t>ORD-01184</t>
  </si>
  <si>
    <t>SHP-01185</t>
  </si>
  <si>
    <t>ORD-01185</t>
  </si>
  <si>
    <t>SHP-01186</t>
  </si>
  <si>
    <t>ORD-01186</t>
  </si>
  <si>
    <t>SHP-01187</t>
  </si>
  <si>
    <t>ORD-01187</t>
  </si>
  <si>
    <t>SHP-01188</t>
  </si>
  <si>
    <t>ORD-01188</t>
  </si>
  <si>
    <t>SHP-01189</t>
  </si>
  <si>
    <t>ORD-01189</t>
  </si>
  <si>
    <t>SHP-01190</t>
  </si>
  <si>
    <t>ORD-01190</t>
  </si>
  <si>
    <t>SHP-01191</t>
  </si>
  <si>
    <t>ORD-01191</t>
  </si>
  <si>
    <t>SHP-01192</t>
  </si>
  <si>
    <t>ORD-01192</t>
  </si>
  <si>
    <t>SHP-01193</t>
  </si>
  <si>
    <t>ORD-01193</t>
  </si>
  <si>
    <t>SHP-01194</t>
  </si>
  <si>
    <t>ORD-01194</t>
  </si>
  <si>
    <t>SHP-01195</t>
  </si>
  <si>
    <t>ORD-01195</t>
  </si>
  <si>
    <t>SHP-01196</t>
  </si>
  <si>
    <t>ORD-01196</t>
  </si>
  <si>
    <t>SHP-01197</t>
  </si>
  <si>
    <t>ORD-01197</t>
  </si>
  <si>
    <t>SHP-01198</t>
  </si>
  <si>
    <t>ORD-01198</t>
  </si>
  <si>
    <t>SHP-01199</t>
  </si>
  <si>
    <t>ORD-01199</t>
  </si>
  <si>
    <t>SHP-01200</t>
  </si>
  <si>
    <t>ORD-01200</t>
  </si>
  <si>
    <t>SHP-01201</t>
  </si>
  <si>
    <t>ORD-01201</t>
  </si>
  <si>
    <t>SHP-01202</t>
  </si>
  <si>
    <t>ORD-01202</t>
  </si>
  <si>
    <t>SHP-01203</t>
  </si>
  <si>
    <t>ORD-01203</t>
  </si>
  <si>
    <t>SHP-01204</t>
  </si>
  <si>
    <t>ORD-01204</t>
  </si>
  <si>
    <t>SHP-01205</t>
  </si>
  <si>
    <t>ORD-01205</t>
  </si>
  <si>
    <t>SHP-01206</t>
  </si>
  <si>
    <t>ORD-01206</t>
  </si>
  <si>
    <t>SHP-01207</t>
  </si>
  <si>
    <t>ORD-01207</t>
  </si>
  <si>
    <t>SHP-01208</t>
  </si>
  <si>
    <t>ORD-01208</t>
  </si>
  <si>
    <t>SHP-01209</t>
  </si>
  <si>
    <t>ORD-01209</t>
  </si>
  <si>
    <t>SHP-01210</t>
  </si>
  <si>
    <t>ORD-01210</t>
  </si>
  <si>
    <t>SHP-01211</t>
  </si>
  <si>
    <t>ORD-01211</t>
  </si>
  <si>
    <t>SHP-01212</t>
  </si>
  <si>
    <t>ORD-01212</t>
  </si>
  <si>
    <t>SHP-01213</t>
  </si>
  <si>
    <t>ORD-01213</t>
  </si>
  <si>
    <t>SHP-01214</t>
  </si>
  <si>
    <t>ORD-01214</t>
  </si>
  <si>
    <t>SHP-01215</t>
  </si>
  <si>
    <t>ORD-01215</t>
  </si>
  <si>
    <t>SHP-01216</t>
  </si>
  <si>
    <t>ORD-01216</t>
  </si>
  <si>
    <t>SHP-01217</t>
  </si>
  <si>
    <t>ORD-01217</t>
  </si>
  <si>
    <t>SHP-01218</t>
  </si>
  <si>
    <t>ORD-01218</t>
  </si>
  <si>
    <t>SHP-01219</t>
  </si>
  <si>
    <t>ORD-01219</t>
  </si>
  <si>
    <t>SHP-01220</t>
  </si>
  <si>
    <t>ORD-01220</t>
  </si>
  <si>
    <t>SHP-01221</t>
  </si>
  <si>
    <t>ORD-01221</t>
  </si>
  <si>
    <t>SHP-01222</t>
  </si>
  <si>
    <t>ORD-01222</t>
  </si>
  <si>
    <t>SHP-01223</t>
  </si>
  <si>
    <t>ORD-01223</t>
  </si>
  <si>
    <t>SHP-01224</t>
  </si>
  <si>
    <t>ORD-01224</t>
  </si>
  <si>
    <t>SHP-01225</t>
  </si>
  <si>
    <t>ORD-01225</t>
  </si>
  <si>
    <t>SHP-01226</t>
  </si>
  <si>
    <t>ORD-01226</t>
  </si>
  <si>
    <t>SHP-01227</t>
  </si>
  <si>
    <t>ORD-01227</t>
  </si>
  <si>
    <t>SHP-01228</t>
  </si>
  <si>
    <t>ORD-01228</t>
  </si>
  <si>
    <t>SHP-01229</t>
  </si>
  <si>
    <t>ORD-01229</t>
  </si>
  <si>
    <t>SHP-01230</t>
  </si>
  <si>
    <t>ORD-01230</t>
  </si>
  <si>
    <t>SHP-01231</t>
  </si>
  <si>
    <t>ORD-01231</t>
  </si>
  <si>
    <t>SHP-01232</t>
  </si>
  <si>
    <t>ORD-01232</t>
  </si>
  <si>
    <t>SHP-01233</t>
  </si>
  <si>
    <t>ORD-01233</t>
  </si>
  <si>
    <t>SHP-01234</t>
  </si>
  <si>
    <t>ORD-01234</t>
  </si>
  <si>
    <t>SHP-01235</t>
  </si>
  <si>
    <t>ORD-01235</t>
  </si>
  <si>
    <t>SHP-01236</t>
  </si>
  <si>
    <t>ORD-01236</t>
  </si>
  <si>
    <t>SHP-01237</t>
  </si>
  <si>
    <t>ORD-01237</t>
  </si>
  <si>
    <t>SHP-01238</t>
  </si>
  <si>
    <t>ORD-01238</t>
  </si>
  <si>
    <t>SHP-01239</t>
  </si>
  <si>
    <t>ORD-01239</t>
  </si>
  <si>
    <t>SHP-01240</t>
  </si>
  <si>
    <t>ORD-01240</t>
  </si>
  <si>
    <t>SHP-01241</t>
  </si>
  <si>
    <t>ORD-01241</t>
  </si>
  <si>
    <t>SHP-01242</t>
  </si>
  <si>
    <t>ORD-01242</t>
  </si>
  <si>
    <t>SHP-01243</t>
  </si>
  <si>
    <t>ORD-01243</t>
  </si>
  <si>
    <t>SHP-01244</t>
  </si>
  <si>
    <t>ORD-01244</t>
  </si>
  <si>
    <t>SHP-01245</t>
  </si>
  <si>
    <t>ORD-01245</t>
  </si>
  <si>
    <t>SHP-01246</t>
  </si>
  <si>
    <t>ORD-01246</t>
  </si>
  <si>
    <t>SHP-01247</t>
  </si>
  <si>
    <t>ORD-01247</t>
  </si>
  <si>
    <t>SHP-01248</t>
  </si>
  <si>
    <t>ORD-01248</t>
  </si>
  <si>
    <t>SHP-01249</t>
  </si>
  <si>
    <t>ORD-01249</t>
  </si>
  <si>
    <t>SHP-01250</t>
  </si>
  <si>
    <t>ORD-01250</t>
  </si>
  <si>
    <t>SHP-01251</t>
  </si>
  <si>
    <t>ORD-01251</t>
  </si>
  <si>
    <t>SHP-01252</t>
  </si>
  <si>
    <t>ORD-01252</t>
  </si>
  <si>
    <t>SHP-01253</t>
  </si>
  <si>
    <t>ORD-01253</t>
  </si>
  <si>
    <t>SHP-01254</t>
  </si>
  <si>
    <t>ORD-01254</t>
  </si>
  <si>
    <t>SHP-01255</t>
  </si>
  <si>
    <t>ORD-01255</t>
  </si>
  <si>
    <t>SHP-01256</t>
  </si>
  <si>
    <t>ORD-01256</t>
  </si>
  <si>
    <t>SHP-01257</t>
  </si>
  <si>
    <t>ORD-01257</t>
  </si>
  <si>
    <t>SHP-01258</t>
  </si>
  <si>
    <t>ORD-01258</t>
  </si>
  <si>
    <t>SHP-01259</t>
  </si>
  <si>
    <t>ORD-01259</t>
  </si>
  <si>
    <t>SHP-01260</t>
  </si>
  <si>
    <t>ORD-01260</t>
  </si>
  <si>
    <t>SHP-01261</t>
  </si>
  <si>
    <t>ORD-01261</t>
  </si>
  <si>
    <t>SHP-01262</t>
  </si>
  <si>
    <t>ORD-01262</t>
  </si>
  <si>
    <t>SHP-01263</t>
  </si>
  <si>
    <t>ORD-01263</t>
  </si>
  <si>
    <t>SHP-01264</t>
  </si>
  <si>
    <t>ORD-01264</t>
  </si>
  <si>
    <t>SHP-01265</t>
  </si>
  <si>
    <t>ORD-01265</t>
  </si>
  <si>
    <t>SHP-01266</t>
  </si>
  <si>
    <t>ORD-01266</t>
  </si>
  <si>
    <t>SHP-01267</t>
  </si>
  <si>
    <t>ORD-01267</t>
  </si>
  <si>
    <t>SHP-01268</t>
  </si>
  <si>
    <t>ORD-01268</t>
  </si>
  <si>
    <t>SHP-01269</t>
  </si>
  <si>
    <t>ORD-01269</t>
  </si>
  <si>
    <t>SHP-01270</t>
  </si>
  <si>
    <t>ORD-01270</t>
  </si>
  <si>
    <t>SHP-01271</t>
  </si>
  <si>
    <t>ORD-01271</t>
  </si>
  <si>
    <t>SHP-01272</t>
  </si>
  <si>
    <t>ORD-01272</t>
  </si>
  <si>
    <t>SHP-01273</t>
  </si>
  <si>
    <t>ORD-01273</t>
  </si>
  <si>
    <t>SHP-01274</t>
  </si>
  <si>
    <t>ORD-01274</t>
  </si>
  <si>
    <t>SHP-01275</t>
  </si>
  <si>
    <t>ORD-01275</t>
  </si>
  <si>
    <t>SHP-01276</t>
  </si>
  <si>
    <t>ORD-01276</t>
  </si>
  <si>
    <t>SHP-01277</t>
  </si>
  <si>
    <t>ORD-01277</t>
  </si>
  <si>
    <t>SHP-01278</t>
  </si>
  <si>
    <t>ORD-01278</t>
  </si>
  <si>
    <t>SHP-01279</t>
  </si>
  <si>
    <t>ORD-01279</t>
  </si>
  <si>
    <t>SHP-01280</t>
  </si>
  <si>
    <t>ORD-01280</t>
  </si>
  <si>
    <t>SHP-01281</t>
  </si>
  <si>
    <t>ORD-01281</t>
  </si>
  <si>
    <t>SHP-01282</t>
  </si>
  <si>
    <t>ORD-01282</t>
  </si>
  <si>
    <t>SHP-01283</t>
  </si>
  <si>
    <t>ORD-01283</t>
  </si>
  <si>
    <t>SHP-01284</t>
  </si>
  <si>
    <t>ORD-01284</t>
  </si>
  <si>
    <t>SHP-01285</t>
  </si>
  <si>
    <t>ORD-01285</t>
  </si>
  <si>
    <t>SHP-01286</t>
  </si>
  <si>
    <t>ORD-01286</t>
  </si>
  <si>
    <t>SHP-01287</t>
  </si>
  <si>
    <t>ORD-01287</t>
  </si>
  <si>
    <t>SHP-01288</t>
  </si>
  <si>
    <t>ORD-01288</t>
  </si>
  <si>
    <t>SHP-01289</t>
  </si>
  <si>
    <t>ORD-01289</t>
  </si>
  <si>
    <t>SHP-01290</t>
  </si>
  <si>
    <t>ORD-01290</t>
  </si>
  <si>
    <t>SHP-01291</t>
  </si>
  <si>
    <t>ORD-01291</t>
  </si>
  <si>
    <t>SHP-01292</t>
  </si>
  <si>
    <t>ORD-01292</t>
  </si>
  <si>
    <t>SHP-01293</t>
  </si>
  <si>
    <t>ORD-01293</t>
  </si>
  <si>
    <t>SHP-01294</t>
  </si>
  <si>
    <t>ORD-01294</t>
  </si>
  <si>
    <t>SHP-01295</t>
  </si>
  <si>
    <t>ORD-01295</t>
  </si>
  <si>
    <t>SHP-01296</t>
  </si>
  <si>
    <t>ORD-01296</t>
  </si>
  <si>
    <t>SHP-01297</t>
  </si>
  <si>
    <t>ORD-01297</t>
  </si>
  <si>
    <t>SHP-01298</t>
  </si>
  <si>
    <t>ORD-01298</t>
  </si>
  <si>
    <t>SHP-01299</t>
  </si>
  <si>
    <t>ORD-01299</t>
  </si>
  <si>
    <t>SHP-01300</t>
  </si>
  <si>
    <t>ORD-01300</t>
  </si>
  <si>
    <t>SHP-01301</t>
  </si>
  <si>
    <t>ORD-01301</t>
  </si>
  <si>
    <t>SHP-01302</t>
  </si>
  <si>
    <t>ORD-01302</t>
  </si>
  <si>
    <t>SHP-01303</t>
  </si>
  <si>
    <t>ORD-01303</t>
  </si>
  <si>
    <t>SHP-01304</t>
  </si>
  <si>
    <t>ORD-01304</t>
  </si>
  <si>
    <t>SHP-01305</t>
  </si>
  <si>
    <t>ORD-01305</t>
  </si>
  <si>
    <t>SHP-01306</t>
  </si>
  <si>
    <t>ORD-01306</t>
  </si>
  <si>
    <t>SHP-01307</t>
  </si>
  <si>
    <t>ORD-01307</t>
  </si>
  <si>
    <t>SHP-01308</t>
  </si>
  <si>
    <t>ORD-01308</t>
  </si>
  <si>
    <t>SHP-01309</t>
  </si>
  <si>
    <t>ORD-01309</t>
  </si>
  <si>
    <t>SHP-01310</t>
  </si>
  <si>
    <t>ORD-01310</t>
  </si>
  <si>
    <t>SHP-01311</t>
  </si>
  <si>
    <t>ORD-01311</t>
  </si>
  <si>
    <t>SHP-01312</t>
  </si>
  <si>
    <t>ORD-01312</t>
  </si>
  <si>
    <t>SHP-01313</t>
  </si>
  <si>
    <t>ORD-01313</t>
  </si>
  <si>
    <t>SHP-01314</t>
  </si>
  <si>
    <t>ORD-01314</t>
  </si>
  <si>
    <t>SHP-01315</t>
  </si>
  <si>
    <t>ORD-01315</t>
  </si>
  <si>
    <t>SHP-01316</t>
  </si>
  <si>
    <t>ORD-01316</t>
  </si>
  <si>
    <t>SHP-01317</t>
  </si>
  <si>
    <t>ORD-01317</t>
  </si>
  <si>
    <t>SHP-01318</t>
  </si>
  <si>
    <t>ORD-01318</t>
  </si>
  <si>
    <t>SHP-01319</t>
  </si>
  <si>
    <t>ORD-01319</t>
  </si>
  <si>
    <t>SHP-01320</t>
  </si>
  <si>
    <t>ORD-01320</t>
  </si>
  <si>
    <t>SHP-01321</t>
  </si>
  <si>
    <t>ORD-01321</t>
  </si>
  <si>
    <t>SHP-01322</t>
  </si>
  <si>
    <t>ORD-01322</t>
  </si>
  <si>
    <t>SHP-01323</t>
  </si>
  <si>
    <t>ORD-01323</t>
  </si>
  <si>
    <t>SHP-01324</t>
  </si>
  <si>
    <t>ORD-01324</t>
  </si>
  <si>
    <t>SHP-01325</t>
  </si>
  <si>
    <t>ORD-01325</t>
  </si>
  <si>
    <t>SHP-01326</t>
  </si>
  <si>
    <t>ORD-01326</t>
  </si>
  <si>
    <t>SHP-01327</t>
  </si>
  <si>
    <t>ORD-01327</t>
  </si>
  <si>
    <t>SHP-01328</t>
  </si>
  <si>
    <t>ORD-01328</t>
  </si>
  <si>
    <t>SHP-01329</t>
  </si>
  <si>
    <t>ORD-01329</t>
  </si>
  <si>
    <t>SHP-01330</t>
  </si>
  <si>
    <t>ORD-01330</t>
  </si>
  <si>
    <t>SHP-01331</t>
  </si>
  <si>
    <t>ORD-01331</t>
  </si>
  <si>
    <t>SHP-01332</t>
  </si>
  <si>
    <t>ORD-01332</t>
  </si>
  <si>
    <t>SHP-01333</t>
  </si>
  <si>
    <t>ORD-01333</t>
  </si>
  <si>
    <t>SHP-01334</t>
  </si>
  <si>
    <t>ORD-01334</t>
  </si>
  <si>
    <t>SHP-01335</t>
  </si>
  <si>
    <t>ORD-01335</t>
  </si>
  <si>
    <t>SHP-01336</t>
  </si>
  <si>
    <t>ORD-01336</t>
  </si>
  <si>
    <t>SHP-01337</t>
  </si>
  <si>
    <t>ORD-01337</t>
  </si>
  <si>
    <t>SHP-01338</t>
  </si>
  <si>
    <t>ORD-01338</t>
  </si>
  <si>
    <t>SHP-01339</t>
  </si>
  <si>
    <t>ORD-01339</t>
  </si>
  <si>
    <t>SHP-01340</t>
  </si>
  <si>
    <t>ORD-01340</t>
  </si>
  <si>
    <t>SHP-01341</t>
  </si>
  <si>
    <t>ORD-01341</t>
  </si>
  <si>
    <t>SHP-01342</t>
  </si>
  <si>
    <t>ORD-01342</t>
  </si>
  <si>
    <t>SHP-01343</t>
  </si>
  <si>
    <t>ORD-01343</t>
  </si>
  <si>
    <t>SHP-01344</t>
  </si>
  <si>
    <t>ORD-01344</t>
  </si>
  <si>
    <t>SHP-01345</t>
  </si>
  <si>
    <t>ORD-01345</t>
  </si>
  <si>
    <t>SHP-01346</t>
  </si>
  <si>
    <t>ORD-01346</t>
  </si>
  <si>
    <t>SHP-01347</t>
  </si>
  <si>
    <t>ORD-01347</t>
  </si>
  <si>
    <t>SHP-01348</t>
  </si>
  <si>
    <t>ORD-01348</t>
  </si>
  <si>
    <t>SHP-01349</t>
  </si>
  <si>
    <t>ORD-01349</t>
  </si>
  <si>
    <t>SHP-01350</t>
  </si>
  <si>
    <t>ORD-01350</t>
  </si>
  <si>
    <t>SHP-01351</t>
  </si>
  <si>
    <t>ORD-01351</t>
  </si>
  <si>
    <t>SHP-01352</t>
  </si>
  <si>
    <t>ORD-01352</t>
  </si>
  <si>
    <t>SHP-01353</t>
  </si>
  <si>
    <t>ORD-01353</t>
  </si>
  <si>
    <t>SHP-01354</t>
  </si>
  <si>
    <t>ORD-01354</t>
  </si>
  <si>
    <t>SHP-01355</t>
  </si>
  <si>
    <t>ORD-01355</t>
  </si>
  <si>
    <t>SHP-01356</t>
  </si>
  <si>
    <t>ORD-01356</t>
  </si>
  <si>
    <t>SHP-01357</t>
  </si>
  <si>
    <t>ORD-01357</t>
  </si>
  <si>
    <t>SHP-01358</t>
  </si>
  <si>
    <t>ORD-01358</t>
  </si>
  <si>
    <t>SHP-01359</t>
  </si>
  <si>
    <t>ORD-01359</t>
  </si>
  <si>
    <t>SHP-01360</t>
  </si>
  <si>
    <t>ORD-01360</t>
  </si>
  <si>
    <t>SHP-01361</t>
  </si>
  <si>
    <t>ORD-01361</t>
  </si>
  <si>
    <t>SHP-01362</t>
  </si>
  <si>
    <t>ORD-01362</t>
  </si>
  <si>
    <t>SHP-01363</t>
  </si>
  <si>
    <t>ORD-01363</t>
  </si>
  <si>
    <t>SHP-01364</t>
  </si>
  <si>
    <t>ORD-01364</t>
  </si>
  <si>
    <t>SHP-01365</t>
  </si>
  <si>
    <t>ORD-01365</t>
  </si>
  <si>
    <t>SHP-01366</t>
  </si>
  <si>
    <t>ORD-01366</t>
  </si>
  <si>
    <t>SHP-01367</t>
  </si>
  <si>
    <t>ORD-01367</t>
  </si>
  <si>
    <t>SHP-01368</t>
  </si>
  <si>
    <t>ORD-01368</t>
  </si>
  <si>
    <t>SHP-01369</t>
  </si>
  <si>
    <t>ORD-01369</t>
  </si>
  <si>
    <t>SHP-01370</t>
  </si>
  <si>
    <t>ORD-01370</t>
  </si>
  <si>
    <t>SHP-01371</t>
  </si>
  <si>
    <t>ORD-01371</t>
  </si>
  <si>
    <t>SHP-01372</t>
  </si>
  <si>
    <t>ORD-01372</t>
  </si>
  <si>
    <t>SHP-01373</t>
  </si>
  <si>
    <t>ORD-01373</t>
  </si>
  <si>
    <t>SHP-01374</t>
  </si>
  <si>
    <t>ORD-01374</t>
  </si>
  <si>
    <t>SHP-01375</t>
  </si>
  <si>
    <t>ORD-01375</t>
  </si>
  <si>
    <t>SHP-01376</t>
  </si>
  <si>
    <t>ORD-01376</t>
  </si>
  <si>
    <t>SHP-01377</t>
  </si>
  <si>
    <t>ORD-01377</t>
  </si>
  <si>
    <t>SHP-01378</t>
  </si>
  <si>
    <t>ORD-01378</t>
  </si>
  <si>
    <t>SHP-01379</t>
  </si>
  <si>
    <t>ORD-01379</t>
  </si>
  <si>
    <t>SHP-01380</t>
  </si>
  <si>
    <t>ORD-01380</t>
  </si>
  <si>
    <t>SHP-01381</t>
  </si>
  <si>
    <t>ORD-01381</t>
  </si>
  <si>
    <t>SHP-01382</t>
  </si>
  <si>
    <t>ORD-01382</t>
  </si>
  <si>
    <t>SHP-01383</t>
  </si>
  <si>
    <t>ORD-01383</t>
  </si>
  <si>
    <t>SHP-01384</t>
  </si>
  <si>
    <t>ORD-01384</t>
  </si>
  <si>
    <t>SHP-01385</t>
  </si>
  <si>
    <t>ORD-01385</t>
  </si>
  <si>
    <t>SHP-01386</t>
  </si>
  <si>
    <t>ORD-01386</t>
  </si>
  <si>
    <t>SHP-01387</t>
  </si>
  <si>
    <t>ORD-01387</t>
  </si>
  <si>
    <t>SHP-01388</t>
  </si>
  <si>
    <t>ORD-01388</t>
  </si>
  <si>
    <t>SHP-01389</t>
  </si>
  <si>
    <t>ORD-01389</t>
  </si>
  <si>
    <t>SHP-01390</t>
  </si>
  <si>
    <t>ORD-01390</t>
  </si>
  <si>
    <t>SHP-01391</t>
  </si>
  <si>
    <t>ORD-01391</t>
  </si>
  <si>
    <t>SHP-01392</t>
  </si>
  <si>
    <t>ORD-01392</t>
  </si>
  <si>
    <t>SHP-01393</t>
  </si>
  <si>
    <t>ORD-01393</t>
  </si>
  <si>
    <t>SHP-01394</t>
  </si>
  <si>
    <t>ORD-01394</t>
  </si>
  <si>
    <t>SHP-01395</t>
  </si>
  <si>
    <t>ORD-01395</t>
  </si>
  <si>
    <t>SHP-01396</t>
  </si>
  <si>
    <t>ORD-01396</t>
  </si>
  <si>
    <t>SHP-01397</t>
  </si>
  <si>
    <t>ORD-01397</t>
  </si>
  <si>
    <t>SHP-01398</t>
  </si>
  <si>
    <t>ORD-01398</t>
  </si>
  <si>
    <t>SHP-01399</t>
  </si>
  <si>
    <t>ORD-01399</t>
  </si>
  <si>
    <t>SHP-01400</t>
  </si>
  <si>
    <t>ORD-01400</t>
  </si>
  <si>
    <t>SHP-01401</t>
  </si>
  <si>
    <t>ORD-01401</t>
  </si>
  <si>
    <t>SHP-01402</t>
  </si>
  <si>
    <t>ORD-01402</t>
  </si>
  <si>
    <t>SHP-01403</t>
  </si>
  <si>
    <t>ORD-01403</t>
  </si>
  <si>
    <t>SHP-01404</t>
  </si>
  <si>
    <t>ORD-01404</t>
  </si>
  <si>
    <t>SHP-01405</t>
  </si>
  <si>
    <t>ORD-01405</t>
  </si>
  <si>
    <t>SHP-01406</t>
  </si>
  <si>
    <t>ORD-01406</t>
  </si>
  <si>
    <t>SHP-01407</t>
  </si>
  <si>
    <t>ORD-01407</t>
  </si>
  <si>
    <t>SHP-01408</t>
  </si>
  <si>
    <t>ORD-01408</t>
  </si>
  <si>
    <t>SHP-01409</t>
  </si>
  <si>
    <t>ORD-01409</t>
  </si>
  <si>
    <t>SHP-01410</t>
  </si>
  <si>
    <t>ORD-01410</t>
  </si>
  <si>
    <t>SHP-01411</t>
  </si>
  <si>
    <t>ORD-01411</t>
  </si>
  <si>
    <t>SHP-01412</t>
  </si>
  <si>
    <t>ORD-01412</t>
  </si>
  <si>
    <t>SHP-01413</t>
  </si>
  <si>
    <t>ORD-01413</t>
  </si>
  <si>
    <t>SHP-01414</t>
  </si>
  <si>
    <t>ORD-01414</t>
  </si>
  <si>
    <t>SHP-01415</t>
  </si>
  <si>
    <t>ORD-01415</t>
  </si>
  <si>
    <t>SHP-01416</t>
  </si>
  <si>
    <t>ORD-01416</t>
  </si>
  <si>
    <t>SHP-01417</t>
  </si>
  <si>
    <t>ORD-01417</t>
  </si>
  <si>
    <t>SHP-01418</t>
  </si>
  <si>
    <t>ORD-01418</t>
  </si>
  <si>
    <t>SHP-01419</t>
  </si>
  <si>
    <t>ORD-01419</t>
  </si>
  <si>
    <t>SHP-01420</t>
  </si>
  <si>
    <t>ORD-01420</t>
  </si>
  <si>
    <t>SHP-01421</t>
  </si>
  <si>
    <t>ORD-01421</t>
  </si>
  <si>
    <t>SHP-01422</t>
  </si>
  <si>
    <t>ORD-01422</t>
  </si>
  <si>
    <t>SHP-01423</t>
  </si>
  <si>
    <t>ORD-01423</t>
  </si>
  <si>
    <t>SHP-01424</t>
  </si>
  <si>
    <t>ORD-01424</t>
  </si>
  <si>
    <t>SHP-01425</t>
  </si>
  <si>
    <t>ORD-01425</t>
  </si>
  <si>
    <t>SHP-01426</t>
  </si>
  <si>
    <t>ORD-01426</t>
  </si>
  <si>
    <t>SHP-01427</t>
  </si>
  <si>
    <t>ORD-01427</t>
  </si>
  <si>
    <t>SHP-01428</t>
  </si>
  <si>
    <t>ORD-01428</t>
  </si>
  <si>
    <t>SHP-01429</t>
  </si>
  <si>
    <t>ORD-01429</t>
  </si>
  <si>
    <t>SHP-01430</t>
  </si>
  <si>
    <t>ORD-01430</t>
  </si>
  <si>
    <t>SHP-01431</t>
  </si>
  <si>
    <t>ORD-01431</t>
  </si>
  <si>
    <t>SHP-01432</t>
  </si>
  <si>
    <t>ORD-01432</t>
  </si>
  <si>
    <t>SHP-01433</t>
  </si>
  <si>
    <t>ORD-01433</t>
  </si>
  <si>
    <t>SHP-01434</t>
  </si>
  <si>
    <t>ORD-01434</t>
  </si>
  <si>
    <t>SHP-01435</t>
  </si>
  <si>
    <t>ORD-01435</t>
  </si>
  <si>
    <t>SHP-01436</t>
  </si>
  <si>
    <t>ORD-01436</t>
  </si>
  <si>
    <t>SHP-01437</t>
  </si>
  <si>
    <t>ORD-01437</t>
  </si>
  <si>
    <t>SHP-01438</t>
  </si>
  <si>
    <t>ORD-01438</t>
  </si>
  <si>
    <t>SHP-01439</t>
  </si>
  <si>
    <t>ORD-01439</t>
  </si>
  <si>
    <t>SHP-01440</t>
  </si>
  <si>
    <t>ORD-01440</t>
  </si>
  <si>
    <t>SHP-01441</t>
  </si>
  <si>
    <t>ORD-01441</t>
  </si>
  <si>
    <t>SHP-01442</t>
  </si>
  <si>
    <t>ORD-01442</t>
  </si>
  <si>
    <t>SHP-01443</t>
  </si>
  <si>
    <t>ORD-01443</t>
  </si>
  <si>
    <t>SHP-01444</t>
  </si>
  <si>
    <t>ORD-01444</t>
  </si>
  <si>
    <t>SHP-01445</t>
  </si>
  <si>
    <t>ORD-01445</t>
  </si>
  <si>
    <t>SHP-01446</t>
  </si>
  <si>
    <t>ORD-01446</t>
  </si>
  <si>
    <t>SHP-01447</t>
  </si>
  <si>
    <t>ORD-01447</t>
  </si>
  <si>
    <t>SHP-01448</t>
  </si>
  <si>
    <t>ORD-01448</t>
  </si>
  <si>
    <t>SHP-01449</t>
  </si>
  <si>
    <t>ORD-01449</t>
  </si>
  <si>
    <t>SHP-01450</t>
  </si>
  <si>
    <t>ORD-01450</t>
  </si>
  <si>
    <t>SHP-01451</t>
  </si>
  <si>
    <t>ORD-01451</t>
  </si>
  <si>
    <t>SHP-01452</t>
  </si>
  <si>
    <t>ORD-01452</t>
  </si>
  <si>
    <t>SHP-01453</t>
  </si>
  <si>
    <t>ORD-01453</t>
  </si>
  <si>
    <t>SHP-01454</t>
  </si>
  <si>
    <t>ORD-01454</t>
  </si>
  <si>
    <t>SHP-01455</t>
  </si>
  <si>
    <t>ORD-01455</t>
  </si>
  <si>
    <t>SHP-01456</t>
  </si>
  <si>
    <t>ORD-01456</t>
  </si>
  <si>
    <t>SHP-01457</t>
  </si>
  <si>
    <t>ORD-01457</t>
  </si>
  <si>
    <t>SHP-01458</t>
  </si>
  <si>
    <t>ORD-01458</t>
  </si>
  <si>
    <t>SHP-01459</t>
  </si>
  <si>
    <t>ORD-01459</t>
  </si>
  <si>
    <t>SHP-01460</t>
  </si>
  <si>
    <t>ORD-01460</t>
  </si>
  <si>
    <t>SHP-01461</t>
  </si>
  <si>
    <t>ORD-01461</t>
  </si>
  <si>
    <t>SHP-01462</t>
  </si>
  <si>
    <t>ORD-01462</t>
  </si>
  <si>
    <t>SHP-01463</t>
  </si>
  <si>
    <t>ORD-01463</t>
  </si>
  <si>
    <t>SHP-01464</t>
  </si>
  <si>
    <t>ORD-01464</t>
  </si>
  <si>
    <t>SHP-01465</t>
  </si>
  <si>
    <t>ORD-01465</t>
  </si>
  <si>
    <t>SHP-01466</t>
  </si>
  <si>
    <t>ORD-01466</t>
  </si>
  <si>
    <t>SHP-01467</t>
  </si>
  <si>
    <t>ORD-01467</t>
  </si>
  <si>
    <t>SHP-01468</t>
  </si>
  <si>
    <t>ORD-01468</t>
  </si>
  <si>
    <t>SHP-01469</t>
  </si>
  <si>
    <t>ORD-01469</t>
  </si>
  <si>
    <t>SHP-01470</t>
  </si>
  <si>
    <t>ORD-01470</t>
  </si>
  <si>
    <t>SHP-01471</t>
  </si>
  <si>
    <t>ORD-01471</t>
  </si>
  <si>
    <t>SHP-01472</t>
  </si>
  <si>
    <t>ORD-01472</t>
  </si>
  <si>
    <t>SHP-01473</t>
  </si>
  <si>
    <t>ORD-01473</t>
  </si>
  <si>
    <t>SHP-01474</t>
  </si>
  <si>
    <t>ORD-01474</t>
  </si>
  <si>
    <t>SHP-01475</t>
  </si>
  <si>
    <t>ORD-01475</t>
  </si>
  <si>
    <t>SHP-01476</t>
  </si>
  <si>
    <t>ORD-01476</t>
  </si>
  <si>
    <t>SHP-01477</t>
  </si>
  <si>
    <t>ORD-01477</t>
  </si>
  <si>
    <t>SHP-01478</t>
  </si>
  <si>
    <t>ORD-01478</t>
  </si>
  <si>
    <t>SHP-01479</t>
  </si>
  <si>
    <t>ORD-01479</t>
  </si>
  <si>
    <t>SHP-01480</t>
  </si>
  <si>
    <t>ORD-01480</t>
  </si>
  <si>
    <t>SHP-01481</t>
  </si>
  <si>
    <t>ORD-01481</t>
  </si>
  <si>
    <t>SHP-01482</t>
  </si>
  <si>
    <t>ORD-01482</t>
  </si>
  <si>
    <t>SHP-01483</t>
  </si>
  <si>
    <t>ORD-01483</t>
  </si>
  <si>
    <t>SHP-01484</t>
  </si>
  <si>
    <t>ORD-01484</t>
  </si>
  <si>
    <t>SHP-01485</t>
  </si>
  <si>
    <t>ORD-01485</t>
  </si>
  <si>
    <t>SHP-01486</t>
  </si>
  <si>
    <t>ORD-01486</t>
  </si>
  <si>
    <t>SHP-01487</t>
  </si>
  <si>
    <t>ORD-01487</t>
  </si>
  <si>
    <t>SHP-01488</t>
  </si>
  <si>
    <t>ORD-01488</t>
  </si>
  <si>
    <t>SHP-01489</t>
  </si>
  <si>
    <t>ORD-01489</t>
  </si>
  <si>
    <t>SHP-01490</t>
  </si>
  <si>
    <t>ORD-01490</t>
  </si>
  <si>
    <t>SHP-01491</t>
  </si>
  <si>
    <t>ORD-01491</t>
  </si>
  <si>
    <t>SHP-01492</t>
  </si>
  <si>
    <t>ORD-01492</t>
  </si>
  <si>
    <t>SHP-01493</t>
  </si>
  <si>
    <t>ORD-01493</t>
  </si>
  <si>
    <t>SHP-01494</t>
  </si>
  <si>
    <t>ORD-01494</t>
  </si>
  <si>
    <t>SHP-01495</t>
  </si>
  <si>
    <t>ORD-01495</t>
  </si>
  <si>
    <t>SHP-01496</t>
  </si>
  <si>
    <t>ORD-01496</t>
  </si>
  <si>
    <t>SHP-01497</t>
  </si>
  <si>
    <t>ORD-01497</t>
  </si>
  <si>
    <t>SHP-01498</t>
  </si>
  <si>
    <t>ORD-01498</t>
  </si>
  <si>
    <t>SHP-01499</t>
  </si>
  <si>
    <t>ORD-01499</t>
  </si>
  <si>
    <t>SHP-01500</t>
  </si>
  <si>
    <t>ORD-01500</t>
  </si>
  <si>
    <t>SHP-01501</t>
  </si>
  <si>
    <t>ORD-01501</t>
  </si>
  <si>
    <t>SHP-01502</t>
  </si>
  <si>
    <t>ORD-01502</t>
  </si>
  <si>
    <t>SHP-01503</t>
  </si>
  <si>
    <t>ORD-01503</t>
  </si>
  <si>
    <t>SHP-01504</t>
  </si>
  <si>
    <t>ORD-01504</t>
  </si>
  <si>
    <t>SHP-01505</t>
  </si>
  <si>
    <t>ORD-01505</t>
  </si>
  <si>
    <t>SHP-01506</t>
  </si>
  <si>
    <t>ORD-01506</t>
  </si>
  <si>
    <t>SHP-01507</t>
  </si>
  <si>
    <t>ORD-01507</t>
  </si>
  <si>
    <t>SHP-01508</t>
  </si>
  <si>
    <t>ORD-01508</t>
  </si>
  <si>
    <t>SHP-01509</t>
  </si>
  <si>
    <t>ORD-01509</t>
  </si>
  <si>
    <t>SHP-01510</t>
  </si>
  <si>
    <t>ORD-01510</t>
  </si>
  <si>
    <t>SHP-01511</t>
  </si>
  <si>
    <t>ORD-01511</t>
  </si>
  <si>
    <t>SHP-01512</t>
  </si>
  <si>
    <t>ORD-01512</t>
  </si>
  <si>
    <t>SHP-01513</t>
  </si>
  <si>
    <t>ORD-01513</t>
  </si>
  <si>
    <t>SHP-01514</t>
  </si>
  <si>
    <t>ORD-01514</t>
  </si>
  <si>
    <t>SHP-01515</t>
  </si>
  <si>
    <t>ORD-01515</t>
  </si>
  <si>
    <t>SHP-01516</t>
  </si>
  <si>
    <t>ORD-01516</t>
  </si>
  <si>
    <t>SHP-01517</t>
  </si>
  <si>
    <t>ORD-01517</t>
  </si>
  <si>
    <t>SHP-01518</t>
  </si>
  <si>
    <t>ORD-01518</t>
  </si>
  <si>
    <t>SHP-01519</t>
  </si>
  <si>
    <t>ORD-01519</t>
  </si>
  <si>
    <t>SHP-01520</t>
  </si>
  <si>
    <t>ORD-01520</t>
  </si>
  <si>
    <t>SHP-01521</t>
  </si>
  <si>
    <t>ORD-01521</t>
  </si>
  <si>
    <t>SHP-01522</t>
  </si>
  <si>
    <t>ORD-01522</t>
  </si>
  <si>
    <t>SHP-01523</t>
  </si>
  <si>
    <t>ORD-01523</t>
  </si>
  <si>
    <t>SHP-01524</t>
  </si>
  <si>
    <t>ORD-01524</t>
  </si>
  <si>
    <t>SHP-01525</t>
  </si>
  <si>
    <t>ORD-01525</t>
  </si>
  <si>
    <t>SHP-01526</t>
  </si>
  <si>
    <t>ORD-01526</t>
  </si>
  <si>
    <t>SHP-01527</t>
  </si>
  <si>
    <t>ORD-01527</t>
  </si>
  <si>
    <t>SHP-01528</t>
  </si>
  <si>
    <t>ORD-01528</t>
  </si>
  <si>
    <t>SHP-01529</t>
  </si>
  <si>
    <t>ORD-01529</t>
  </si>
  <si>
    <t>SHP-01530</t>
  </si>
  <si>
    <t>ORD-01530</t>
  </si>
  <si>
    <t>SHP-01531</t>
  </si>
  <si>
    <t>ORD-01531</t>
  </si>
  <si>
    <t>SHP-01532</t>
  </si>
  <si>
    <t>ORD-01532</t>
  </si>
  <si>
    <t>SHP-01533</t>
  </si>
  <si>
    <t>ORD-01533</t>
  </si>
  <si>
    <t>SHP-01534</t>
  </si>
  <si>
    <t>ORD-01534</t>
  </si>
  <si>
    <t>SHP-01535</t>
  </si>
  <si>
    <t>ORD-01535</t>
  </si>
  <si>
    <t>SHP-01536</t>
  </si>
  <si>
    <t>ORD-01536</t>
  </si>
  <si>
    <t>SHP-01537</t>
  </si>
  <si>
    <t>ORD-01537</t>
  </si>
  <si>
    <t>SHP-01538</t>
  </si>
  <si>
    <t>ORD-01538</t>
  </si>
  <si>
    <t>SHP-01539</t>
  </si>
  <si>
    <t>ORD-01539</t>
  </si>
  <si>
    <t>SHP-01540</t>
  </si>
  <si>
    <t>ORD-01540</t>
  </si>
  <si>
    <t>SHP-01541</t>
  </si>
  <si>
    <t>ORD-01541</t>
  </si>
  <si>
    <t>SHP-01542</t>
  </si>
  <si>
    <t>ORD-01542</t>
  </si>
  <si>
    <t>SHP-01543</t>
  </si>
  <si>
    <t>ORD-01543</t>
  </si>
  <si>
    <t>SHP-01544</t>
  </si>
  <si>
    <t>ORD-01544</t>
  </si>
  <si>
    <t>SHP-01545</t>
  </si>
  <si>
    <t>ORD-01545</t>
  </si>
  <si>
    <t>SHP-01546</t>
  </si>
  <si>
    <t>ORD-01546</t>
  </si>
  <si>
    <t>SHP-01547</t>
  </si>
  <si>
    <t>ORD-01547</t>
  </si>
  <si>
    <t>SHP-01548</t>
  </si>
  <si>
    <t>ORD-01548</t>
  </si>
  <si>
    <t>SHP-01549</t>
  </si>
  <si>
    <t>ORD-01549</t>
  </si>
  <si>
    <t>SHP-01550</t>
  </si>
  <si>
    <t>ORD-01550</t>
  </si>
  <si>
    <t>SHP-01551</t>
  </si>
  <si>
    <t>ORD-01551</t>
  </si>
  <si>
    <t>SHP-01552</t>
  </si>
  <si>
    <t>ORD-01552</t>
  </si>
  <si>
    <t>SHP-01553</t>
  </si>
  <si>
    <t>ORD-01553</t>
  </si>
  <si>
    <t>SHP-01554</t>
  </si>
  <si>
    <t>ORD-01554</t>
  </si>
  <si>
    <t>SHP-01555</t>
  </si>
  <si>
    <t>ORD-01555</t>
  </si>
  <si>
    <t>SHP-01556</t>
  </si>
  <si>
    <t>ORD-01556</t>
  </si>
  <si>
    <t>SHP-01557</t>
  </si>
  <si>
    <t>ORD-01557</t>
  </si>
  <si>
    <t>SHP-01558</t>
  </si>
  <si>
    <t>ORD-01558</t>
  </si>
  <si>
    <t>SHP-01559</t>
  </si>
  <si>
    <t>ORD-01559</t>
  </si>
  <si>
    <t>SHP-01560</t>
  </si>
  <si>
    <t>ORD-01560</t>
  </si>
  <si>
    <t>SHP-01561</t>
  </si>
  <si>
    <t>ORD-01561</t>
  </si>
  <si>
    <t>SHP-01562</t>
  </si>
  <si>
    <t>ORD-01562</t>
  </si>
  <si>
    <t>SHP-01563</t>
  </si>
  <si>
    <t>ORD-01563</t>
  </si>
  <si>
    <t>SHP-01564</t>
  </si>
  <si>
    <t>ORD-01564</t>
  </si>
  <si>
    <t>SHP-01565</t>
  </si>
  <si>
    <t>ORD-01565</t>
  </si>
  <si>
    <t>SHP-01566</t>
  </si>
  <si>
    <t>ORD-01566</t>
  </si>
  <si>
    <t>SHP-01567</t>
  </si>
  <si>
    <t>ORD-01567</t>
  </si>
  <si>
    <t>SHP-01568</t>
  </si>
  <si>
    <t>ORD-01568</t>
  </si>
  <si>
    <t>SHP-01569</t>
  </si>
  <si>
    <t>ORD-01569</t>
  </si>
  <si>
    <t>SHP-01570</t>
  </si>
  <si>
    <t>ORD-01570</t>
  </si>
  <si>
    <t>SHP-01571</t>
  </si>
  <si>
    <t>ORD-01571</t>
  </si>
  <si>
    <t>SHP-01572</t>
  </si>
  <si>
    <t>ORD-01572</t>
  </si>
  <si>
    <t>SHP-01573</t>
  </si>
  <si>
    <t>ORD-01573</t>
  </si>
  <si>
    <t>SHP-01574</t>
  </si>
  <si>
    <t>ORD-01574</t>
  </si>
  <si>
    <t>SHP-01575</t>
  </si>
  <si>
    <t>ORD-01575</t>
  </si>
  <si>
    <t>SHP-01576</t>
  </si>
  <si>
    <t>ORD-01576</t>
  </si>
  <si>
    <t>SHP-01577</t>
  </si>
  <si>
    <t>ORD-01577</t>
  </si>
  <si>
    <t>SHP-01578</t>
  </si>
  <si>
    <t>ORD-01578</t>
  </si>
  <si>
    <t>SHP-01579</t>
  </si>
  <si>
    <t>ORD-01579</t>
  </si>
  <si>
    <t>SHP-01580</t>
  </si>
  <si>
    <t>ORD-01580</t>
  </si>
  <si>
    <t>SHP-01581</t>
  </si>
  <si>
    <t>ORD-01581</t>
  </si>
  <si>
    <t>SHP-01582</t>
  </si>
  <si>
    <t>ORD-01582</t>
  </si>
  <si>
    <t>SHP-01583</t>
  </si>
  <si>
    <t>ORD-01583</t>
  </si>
  <si>
    <t>SHP-01584</t>
  </si>
  <si>
    <t>ORD-01584</t>
  </si>
  <si>
    <t>SHP-01585</t>
  </si>
  <si>
    <t>ORD-01585</t>
  </si>
  <si>
    <t>SHP-01586</t>
  </si>
  <si>
    <t>ORD-01586</t>
  </si>
  <si>
    <t>SHP-01587</t>
  </si>
  <si>
    <t>ORD-01587</t>
  </si>
  <si>
    <t>SHP-01588</t>
  </si>
  <si>
    <t>ORD-01588</t>
  </si>
  <si>
    <t>SHP-01589</t>
  </si>
  <si>
    <t>ORD-01589</t>
  </si>
  <si>
    <t>SHP-01590</t>
  </si>
  <si>
    <t>ORD-01590</t>
  </si>
  <si>
    <t>SHP-01591</t>
  </si>
  <si>
    <t>ORD-01591</t>
  </si>
  <si>
    <t>SHP-01592</t>
  </si>
  <si>
    <t>ORD-01592</t>
  </si>
  <si>
    <t>SHP-01593</t>
  </si>
  <si>
    <t>ORD-01593</t>
  </si>
  <si>
    <t>SHP-01594</t>
  </si>
  <si>
    <t>ORD-01594</t>
  </si>
  <si>
    <t>SHP-01595</t>
  </si>
  <si>
    <t>ORD-01595</t>
  </si>
  <si>
    <t>SHP-01596</t>
  </si>
  <si>
    <t>ORD-01596</t>
  </si>
  <si>
    <t>SHP-01597</t>
  </si>
  <si>
    <t>ORD-01597</t>
  </si>
  <si>
    <t>SHP-01598</t>
  </si>
  <si>
    <t>ORD-01598</t>
  </si>
  <si>
    <t>SHP-01599</t>
  </si>
  <si>
    <t>ORD-01599</t>
  </si>
  <si>
    <t>SHP-01600</t>
  </si>
  <si>
    <t>ORD-01600</t>
  </si>
  <si>
    <t>SHP-01601</t>
  </si>
  <si>
    <t>ORD-01601</t>
  </si>
  <si>
    <t>SHP-01602</t>
  </si>
  <si>
    <t>ORD-01602</t>
  </si>
  <si>
    <t>SHP-01603</t>
  </si>
  <si>
    <t>ORD-01603</t>
  </si>
  <si>
    <t>SHP-01604</t>
  </si>
  <si>
    <t>ORD-01604</t>
  </si>
  <si>
    <t>SHP-01605</t>
  </si>
  <si>
    <t>ORD-01605</t>
  </si>
  <si>
    <t>SHP-01606</t>
  </si>
  <si>
    <t>ORD-01606</t>
  </si>
  <si>
    <t>SHP-01607</t>
  </si>
  <si>
    <t>ORD-01607</t>
  </si>
  <si>
    <t>SHP-01608</t>
  </si>
  <si>
    <t>ORD-01608</t>
  </si>
  <si>
    <t>SHP-01609</t>
  </si>
  <si>
    <t>ORD-01609</t>
  </si>
  <si>
    <t>SHP-01610</t>
  </si>
  <si>
    <t>ORD-01610</t>
  </si>
  <si>
    <t>SHP-01611</t>
  </si>
  <si>
    <t>ORD-01611</t>
  </si>
  <si>
    <t>SHP-01612</t>
  </si>
  <si>
    <t>ORD-01612</t>
  </si>
  <si>
    <t>SHP-01613</t>
  </si>
  <si>
    <t>ORD-01613</t>
  </si>
  <si>
    <t>SHP-01614</t>
  </si>
  <si>
    <t>ORD-01614</t>
  </si>
  <si>
    <t>SHP-01615</t>
  </si>
  <si>
    <t>ORD-01615</t>
  </si>
  <si>
    <t>SHP-01616</t>
  </si>
  <si>
    <t>ORD-01616</t>
  </si>
  <si>
    <t>SHP-01617</t>
  </si>
  <si>
    <t>ORD-01617</t>
  </si>
  <si>
    <t>SHP-01618</t>
  </si>
  <si>
    <t>ORD-01618</t>
  </si>
  <si>
    <t>SHP-01619</t>
  </si>
  <si>
    <t>ORD-01619</t>
  </si>
  <si>
    <t>SHP-01620</t>
  </si>
  <si>
    <t>ORD-01620</t>
  </si>
  <si>
    <t>SHP-01621</t>
  </si>
  <si>
    <t>ORD-01621</t>
  </si>
  <si>
    <t>SHP-01622</t>
  </si>
  <si>
    <t>ORD-01622</t>
  </si>
  <si>
    <t>SHP-01623</t>
  </si>
  <si>
    <t>ORD-01623</t>
  </si>
  <si>
    <t>SHP-01624</t>
  </si>
  <si>
    <t>ORD-01624</t>
  </si>
  <si>
    <t>SHP-01625</t>
  </si>
  <si>
    <t>ORD-01625</t>
  </si>
  <si>
    <t>SHP-01626</t>
  </si>
  <si>
    <t>ORD-01626</t>
  </si>
  <si>
    <t>SHP-01627</t>
  </si>
  <si>
    <t>ORD-01627</t>
  </si>
  <si>
    <t>SHP-01628</t>
  </si>
  <si>
    <t>ORD-01628</t>
  </si>
  <si>
    <t>SHP-01629</t>
  </si>
  <si>
    <t>ORD-01629</t>
  </si>
  <si>
    <t>SHP-01630</t>
  </si>
  <si>
    <t>ORD-01630</t>
  </si>
  <si>
    <t>SHP-01631</t>
  </si>
  <si>
    <t>ORD-01631</t>
  </si>
  <si>
    <t>SHP-01632</t>
  </si>
  <si>
    <t>ORD-01632</t>
  </si>
  <si>
    <t>SHP-01633</t>
  </si>
  <si>
    <t>ORD-01633</t>
  </si>
  <si>
    <t>SHP-01634</t>
  </si>
  <si>
    <t>ORD-01634</t>
  </si>
  <si>
    <t>SHP-01635</t>
  </si>
  <si>
    <t>ORD-01635</t>
  </si>
  <si>
    <t>SHP-01636</t>
  </si>
  <si>
    <t>ORD-01636</t>
  </si>
  <si>
    <t>SHP-01637</t>
  </si>
  <si>
    <t>ORD-01637</t>
  </si>
  <si>
    <t>SHP-01638</t>
  </si>
  <si>
    <t>ORD-01638</t>
  </si>
  <si>
    <t>SHP-01639</t>
  </si>
  <si>
    <t>ORD-01639</t>
  </si>
  <si>
    <t>SHP-01640</t>
  </si>
  <si>
    <t>ORD-01640</t>
  </si>
  <si>
    <t>SHP-01641</t>
  </si>
  <si>
    <t>ORD-01641</t>
  </si>
  <si>
    <t>SHP-01642</t>
  </si>
  <si>
    <t>ORD-01642</t>
  </si>
  <si>
    <t>SHP-01643</t>
  </si>
  <si>
    <t>ORD-01643</t>
  </si>
  <si>
    <t>SHP-01644</t>
  </si>
  <si>
    <t>ORD-01644</t>
  </si>
  <si>
    <t>SHP-01645</t>
  </si>
  <si>
    <t>ORD-01645</t>
  </si>
  <si>
    <t>SHP-01646</t>
  </si>
  <si>
    <t>ORD-01646</t>
  </si>
  <si>
    <t>SHP-01647</t>
  </si>
  <si>
    <t>ORD-01647</t>
  </si>
  <si>
    <t>SHP-01648</t>
  </si>
  <si>
    <t>ORD-01648</t>
  </si>
  <si>
    <t>SHP-01649</t>
  </si>
  <si>
    <t>ORD-01649</t>
  </si>
  <si>
    <t>SHP-01650</t>
  </si>
  <si>
    <t>ORD-01650</t>
  </si>
  <si>
    <t>SHP-01651</t>
  </si>
  <si>
    <t>ORD-01651</t>
  </si>
  <si>
    <t>SHP-01652</t>
  </si>
  <si>
    <t>ORD-01652</t>
  </si>
  <si>
    <t>SHP-01653</t>
  </si>
  <si>
    <t>ORD-01653</t>
  </si>
  <si>
    <t>SHP-01654</t>
  </si>
  <si>
    <t>ORD-01654</t>
  </si>
  <si>
    <t>SHP-01655</t>
  </si>
  <si>
    <t>ORD-01655</t>
  </si>
  <si>
    <t>SHP-01656</t>
  </si>
  <si>
    <t>ORD-01656</t>
  </si>
  <si>
    <t>SHP-01657</t>
  </si>
  <si>
    <t>ORD-01657</t>
  </si>
  <si>
    <t>SHP-01658</t>
  </si>
  <si>
    <t>ORD-01658</t>
  </si>
  <si>
    <t>SHP-01659</t>
  </si>
  <si>
    <t>ORD-01659</t>
  </si>
  <si>
    <t>SHP-01660</t>
  </si>
  <si>
    <t>ORD-01660</t>
  </si>
  <si>
    <t>SHP-01661</t>
  </si>
  <si>
    <t>ORD-01661</t>
  </si>
  <si>
    <t>SHP-01662</t>
  </si>
  <si>
    <t>ORD-01662</t>
  </si>
  <si>
    <t>SHP-01663</t>
  </si>
  <si>
    <t>ORD-01663</t>
  </si>
  <si>
    <t>SHP-01664</t>
  </si>
  <si>
    <t>ORD-01664</t>
  </si>
  <si>
    <t>SHP-01665</t>
  </si>
  <si>
    <t>ORD-01665</t>
  </si>
  <si>
    <t>SHP-01666</t>
  </si>
  <si>
    <t>ORD-01666</t>
  </si>
  <si>
    <t>SHP-01667</t>
  </si>
  <si>
    <t>ORD-01667</t>
  </si>
  <si>
    <t>SHP-01668</t>
  </si>
  <si>
    <t>ORD-01668</t>
  </si>
  <si>
    <t>SHP-01669</t>
  </si>
  <si>
    <t>ORD-01669</t>
  </si>
  <si>
    <t>SHP-01670</t>
  </si>
  <si>
    <t>ORD-01670</t>
  </si>
  <si>
    <t>SHP-01671</t>
  </si>
  <si>
    <t>ORD-01671</t>
  </si>
  <si>
    <t>SHP-01672</t>
  </si>
  <si>
    <t>ORD-01672</t>
  </si>
  <si>
    <t>SHP-01673</t>
  </si>
  <si>
    <t>ORD-01673</t>
  </si>
  <si>
    <t>SHP-01674</t>
  </si>
  <si>
    <t>ORD-01674</t>
  </si>
  <si>
    <t>SHP-01675</t>
  </si>
  <si>
    <t>ORD-01675</t>
  </si>
  <si>
    <t>SHP-01676</t>
  </si>
  <si>
    <t>ORD-01676</t>
  </si>
  <si>
    <t>SHP-01677</t>
  </si>
  <si>
    <t>ORD-01677</t>
  </si>
  <si>
    <t>SHP-01678</t>
  </si>
  <si>
    <t>ORD-01678</t>
  </si>
  <si>
    <t>SHP-01679</t>
  </si>
  <si>
    <t>ORD-01679</t>
  </si>
  <si>
    <t>SHP-01680</t>
  </si>
  <si>
    <t>ORD-01680</t>
  </si>
  <si>
    <t>SHP-01681</t>
  </si>
  <si>
    <t>ORD-01681</t>
  </si>
  <si>
    <t>SHP-01682</t>
  </si>
  <si>
    <t>ORD-01682</t>
  </si>
  <si>
    <t>SHP-01683</t>
  </si>
  <si>
    <t>ORD-01683</t>
  </si>
  <si>
    <t>SHP-01684</t>
  </si>
  <si>
    <t>ORD-01684</t>
  </si>
  <si>
    <t>SHP-01685</t>
  </si>
  <si>
    <t>ORD-01685</t>
  </si>
  <si>
    <t>SHP-01686</t>
  </si>
  <si>
    <t>ORD-01686</t>
  </si>
  <si>
    <t>SHP-01687</t>
  </si>
  <si>
    <t>ORD-01687</t>
  </si>
  <si>
    <t>SHP-01688</t>
  </si>
  <si>
    <t>ORD-01688</t>
  </si>
  <si>
    <t>SHP-01689</t>
  </si>
  <si>
    <t>ORD-01689</t>
  </si>
  <si>
    <t>SHP-01690</t>
  </si>
  <si>
    <t>ORD-01690</t>
  </si>
  <si>
    <t>SHP-01691</t>
  </si>
  <si>
    <t>ORD-01691</t>
  </si>
  <si>
    <t>SHP-01692</t>
  </si>
  <si>
    <t>ORD-01692</t>
  </si>
  <si>
    <t>SHP-01693</t>
  </si>
  <si>
    <t>ORD-01693</t>
  </si>
  <si>
    <t>SHP-01694</t>
  </si>
  <si>
    <t>ORD-01694</t>
  </si>
  <si>
    <t>SHP-01695</t>
  </si>
  <si>
    <t>ORD-01695</t>
  </si>
  <si>
    <t>SHP-01696</t>
  </si>
  <si>
    <t>ORD-01696</t>
  </si>
  <si>
    <t>SHP-01697</t>
  </si>
  <si>
    <t>ORD-01697</t>
  </si>
  <si>
    <t>SHP-01698</t>
  </si>
  <si>
    <t>ORD-01698</t>
  </si>
  <si>
    <t>SHP-01699</t>
  </si>
  <si>
    <t>ORD-01699</t>
  </si>
  <si>
    <t>SHP-01700</t>
  </si>
  <si>
    <t>ORD-01700</t>
  </si>
  <si>
    <t>SHP-01701</t>
  </si>
  <si>
    <t>ORD-01701</t>
  </si>
  <si>
    <t>SHP-01702</t>
  </si>
  <si>
    <t>ORD-01702</t>
  </si>
  <si>
    <t>SHP-01703</t>
  </si>
  <si>
    <t>ORD-01703</t>
  </si>
  <si>
    <t>SHP-01704</t>
  </si>
  <si>
    <t>ORD-01704</t>
  </si>
  <si>
    <t>SHP-01705</t>
  </si>
  <si>
    <t>ORD-01705</t>
  </si>
  <si>
    <t>SHP-01706</t>
  </si>
  <si>
    <t>ORD-01706</t>
  </si>
  <si>
    <t>SHP-01707</t>
  </si>
  <si>
    <t>ORD-01707</t>
  </si>
  <si>
    <t>SHP-01708</t>
  </si>
  <si>
    <t>ORD-01708</t>
  </si>
  <si>
    <t>SHP-01709</t>
  </si>
  <si>
    <t>ORD-01709</t>
  </si>
  <si>
    <t>SHP-01710</t>
  </si>
  <si>
    <t>ORD-01710</t>
  </si>
  <si>
    <t>SHP-01711</t>
  </si>
  <si>
    <t>ORD-01711</t>
  </si>
  <si>
    <t>SHP-01712</t>
  </si>
  <si>
    <t>ORD-01712</t>
  </si>
  <si>
    <t>SHP-01713</t>
  </si>
  <si>
    <t>ORD-01713</t>
  </si>
  <si>
    <t>SHP-01714</t>
  </si>
  <si>
    <t>ORD-01714</t>
  </si>
  <si>
    <t>SHP-01715</t>
  </si>
  <si>
    <t>ORD-01715</t>
  </si>
  <si>
    <t>SHP-01716</t>
  </si>
  <si>
    <t>ORD-01716</t>
  </si>
  <si>
    <t>SHP-01717</t>
  </si>
  <si>
    <t>ORD-01717</t>
  </si>
  <si>
    <t>SHP-01718</t>
  </si>
  <si>
    <t>ORD-01718</t>
  </si>
  <si>
    <t>SHP-01719</t>
  </si>
  <si>
    <t>ORD-01719</t>
  </si>
  <si>
    <t>SHP-01720</t>
  </si>
  <si>
    <t>ORD-01720</t>
  </si>
  <si>
    <t>SHP-01721</t>
  </si>
  <si>
    <t>ORD-01721</t>
  </si>
  <si>
    <t>SHP-01722</t>
  </si>
  <si>
    <t>ORD-01722</t>
  </si>
  <si>
    <t>SHP-01723</t>
  </si>
  <si>
    <t>ORD-01723</t>
  </si>
  <si>
    <t>SHP-01724</t>
  </si>
  <si>
    <t>ORD-01724</t>
  </si>
  <si>
    <t>SHP-01725</t>
  </si>
  <si>
    <t>ORD-01725</t>
  </si>
  <si>
    <t>SHP-01726</t>
  </si>
  <si>
    <t>ORD-01726</t>
  </si>
  <si>
    <t>SHP-01727</t>
  </si>
  <si>
    <t>ORD-01727</t>
  </si>
  <si>
    <t>SHP-01728</t>
  </si>
  <si>
    <t>ORD-01728</t>
  </si>
  <si>
    <t>SHP-01729</t>
  </si>
  <si>
    <t>ORD-01729</t>
  </si>
  <si>
    <t>SHP-01730</t>
  </si>
  <si>
    <t>ORD-01730</t>
  </si>
  <si>
    <t>SHP-01731</t>
  </si>
  <si>
    <t>ORD-01731</t>
  </si>
  <si>
    <t>SHP-01732</t>
  </si>
  <si>
    <t>ORD-01732</t>
  </si>
  <si>
    <t>SHP-01733</t>
  </si>
  <si>
    <t>ORD-01733</t>
  </si>
  <si>
    <t>SHP-01734</t>
  </si>
  <si>
    <t>ORD-01734</t>
  </si>
  <si>
    <t>SHP-01735</t>
  </si>
  <si>
    <t>ORD-01735</t>
  </si>
  <si>
    <t>SHP-01736</t>
  </si>
  <si>
    <t>ORD-01736</t>
  </si>
  <si>
    <t>SHP-01737</t>
  </si>
  <si>
    <t>ORD-01737</t>
  </si>
  <si>
    <t>SHP-01738</t>
  </si>
  <si>
    <t>ORD-01738</t>
  </si>
  <si>
    <t>SHP-01739</t>
  </si>
  <si>
    <t>ORD-01739</t>
  </si>
  <si>
    <t>SHP-01740</t>
  </si>
  <si>
    <t>ORD-01740</t>
  </si>
  <si>
    <t>SHP-01741</t>
  </si>
  <si>
    <t>ORD-01741</t>
  </si>
  <si>
    <t>SHP-01742</t>
  </si>
  <si>
    <t>ORD-01742</t>
  </si>
  <si>
    <t>SHP-01743</t>
  </si>
  <si>
    <t>ORD-01743</t>
  </si>
  <si>
    <t>SHP-01744</t>
  </si>
  <si>
    <t>ORD-01744</t>
  </si>
  <si>
    <t>SHP-01745</t>
  </si>
  <si>
    <t>ORD-01745</t>
  </si>
  <si>
    <t>SHP-01746</t>
  </si>
  <si>
    <t>ORD-01746</t>
  </si>
  <si>
    <t>SHP-01747</t>
  </si>
  <si>
    <t>ORD-01747</t>
  </si>
  <si>
    <t>SHP-01748</t>
  </si>
  <si>
    <t>ORD-01748</t>
  </si>
  <si>
    <t>SHP-01749</t>
  </si>
  <si>
    <t>ORD-01749</t>
  </si>
  <si>
    <t>SHP-01750</t>
  </si>
  <si>
    <t>ORD-01750</t>
  </si>
  <si>
    <t>SHP-01751</t>
  </si>
  <si>
    <t>ORD-01751</t>
  </si>
  <si>
    <t>SHP-01752</t>
  </si>
  <si>
    <t>ORD-01752</t>
  </si>
  <si>
    <t>SHP-01753</t>
  </si>
  <si>
    <t>ORD-01753</t>
  </si>
  <si>
    <t>SHP-01754</t>
  </si>
  <si>
    <t>ORD-01754</t>
  </si>
  <si>
    <t>SHP-01755</t>
  </si>
  <si>
    <t>ORD-01755</t>
  </si>
  <si>
    <t>SHP-01756</t>
  </si>
  <si>
    <t>ORD-01756</t>
  </si>
  <si>
    <t>SHP-01757</t>
  </si>
  <si>
    <t>ORD-01757</t>
  </si>
  <si>
    <t>SHP-01758</t>
  </si>
  <si>
    <t>ORD-01758</t>
  </si>
  <si>
    <t>SHP-01759</t>
  </si>
  <si>
    <t>ORD-01759</t>
  </si>
  <si>
    <t>SHP-01760</t>
  </si>
  <si>
    <t>ORD-01760</t>
  </si>
  <si>
    <t>SHP-01761</t>
  </si>
  <si>
    <t>ORD-01761</t>
  </si>
  <si>
    <t>SHP-01762</t>
  </si>
  <si>
    <t>ORD-01762</t>
  </si>
  <si>
    <t>SHP-01763</t>
  </si>
  <si>
    <t>ORD-01763</t>
  </si>
  <si>
    <t>SHP-01764</t>
  </si>
  <si>
    <t>ORD-01764</t>
  </si>
  <si>
    <t>SHP-01765</t>
  </si>
  <si>
    <t>ORD-01765</t>
  </si>
  <si>
    <t>SHP-01766</t>
  </si>
  <si>
    <t>ORD-01766</t>
  </si>
  <si>
    <t>SHP-01767</t>
  </si>
  <si>
    <t>ORD-01767</t>
  </si>
  <si>
    <t>SHP-01768</t>
  </si>
  <si>
    <t>ORD-01768</t>
  </si>
  <si>
    <t>SHP-01769</t>
  </si>
  <si>
    <t>ORD-01769</t>
  </si>
  <si>
    <t>SHP-01770</t>
  </si>
  <si>
    <t>ORD-01770</t>
  </si>
  <si>
    <t>SHP-01771</t>
  </si>
  <si>
    <t>ORD-01771</t>
  </si>
  <si>
    <t>SHP-01772</t>
  </si>
  <si>
    <t>ORD-01772</t>
  </si>
  <si>
    <t>SHP-01773</t>
  </si>
  <si>
    <t>ORD-01773</t>
  </si>
  <si>
    <t>SHP-01774</t>
  </si>
  <si>
    <t>ORD-01774</t>
  </si>
  <si>
    <t>SHP-01775</t>
  </si>
  <si>
    <t>ORD-01775</t>
  </si>
  <si>
    <t>SHP-01776</t>
  </si>
  <si>
    <t>ORD-01776</t>
  </si>
  <si>
    <t>SHP-01777</t>
  </si>
  <si>
    <t>ORD-01777</t>
  </si>
  <si>
    <t>SHP-01778</t>
  </si>
  <si>
    <t>ORD-01778</t>
  </si>
  <si>
    <t>SHP-01779</t>
  </si>
  <si>
    <t>ORD-01779</t>
  </si>
  <si>
    <t>SHP-01780</t>
  </si>
  <si>
    <t>ORD-01780</t>
  </si>
  <si>
    <t>SHP-01781</t>
  </si>
  <si>
    <t>ORD-01781</t>
  </si>
  <si>
    <t>SHP-01782</t>
  </si>
  <si>
    <t>ORD-01782</t>
  </si>
  <si>
    <t>SHP-01783</t>
  </si>
  <si>
    <t>ORD-01783</t>
  </si>
  <si>
    <t>SHP-01784</t>
  </si>
  <si>
    <t>ORD-01784</t>
  </si>
  <si>
    <t>SHP-01785</t>
  </si>
  <si>
    <t>ORD-01785</t>
  </si>
  <si>
    <t>SHP-01786</t>
  </si>
  <si>
    <t>ORD-01786</t>
  </si>
  <si>
    <t>SHP-01787</t>
  </si>
  <si>
    <t>ORD-01787</t>
  </si>
  <si>
    <t>SHP-01788</t>
  </si>
  <si>
    <t>ORD-01788</t>
  </si>
  <si>
    <t>SHP-01789</t>
  </si>
  <si>
    <t>ORD-01789</t>
  </si>
  <si>
    <t>SHP-01790</t>
  </si>
  <si>
    <t>ORD-01790</t>
  </si>
  <si>
    <t>SHP-01791</t>
  </si>
  <si>
    <t>ORD-01791</t>
  </si>
  <si>
    <t>SHP-01792</t>
  </si>
  <si>
    <t>ORD-01792</t>
  </si>
  <si>
    <t>SHP-01793</t>
  </si>
  <si>
    <t>ORD-01793</t>
  </si>
  <si>
    <t>SHP-01794</t>
  </si>
  <si>
    <t>ORD-01794</t>
  </si>
  <si>
    <t>SHP-01795</t>
  </si>
  <si>
    <t>ORD-01795</t>
  </si>
  <si>
    <t>SHP-01796</t>
  </si>
  <si>
    <t>ORD-01796</t>
  </si>
  <si>
    <t>SHP-01797</t>
  </si>
  <si>
    <t>ORD-01797</t>
  </si>
  <si>
    <t>SHP-01798</t>
  </si>
  <si>
    <t>ORD-01798</t>
  </si>
  <si>
    <t>SHP-01799</t>
  </si>
  <si>
    <t>ORD-01799</t>
  </si>
  <si>
    <t>SHP-01800</t>
  </si>
  <si>
    <t>ORD-01800</t>
  </si>
  <si>
    <t>SHP-01801</t>
  </si>
  <si>
    <t>ORD-01801</t>
  </si>
  <si>
    <t>SHP-01802</t>
  </si>
  <si>
    <t>ORD-01802</t>
  </si>
  <si>
    <t>SHP-01803</t>
  </si>
  <si>
    <t>ORD-01803</t>
  </si>
  <si>
    <t>SHP-01804</t>
  </si>
  <si>
    <t>ORD-01804</t>
  </si>
  <si>
    <t>SHP-01805</t>
  </si>
  <si>
    <t>ORD-01805</t>
  </si>
  <si>
    <t>SHP-01806</t>
  </si>
  <si>
    <t>ORD-01806</t>
  </si>
  <si>
    <t>SHP-01807</t>
  </si>
  <si>
    <t>ORD-01807</t>
  </si>
  <si>
    <t>SHP-01808</t>
  </si>
  <si>
    <t>ORD-01808</t>
  </si>
  <si>
    <t>SHP-01809</t>
  </si>
  <si>
    <t>ORD-01809</t>
  </si>
  <si>
    <t>SHP-01810</t>
  </si>
  <si>
    <t>ORD-01810</t>
  </si>
  <si>
    <t>SHP-01811</t>
  </si>
  <si>
    <t>ORD-01811</t>
  </si>
  <si>
    <t>SHP-01812</t>
  </si>
  <si>
    <t>ORD-01812</t>
  </si>
  <si>
    <t>SHP-01813</t>
  </si>
  <si>
    <t>ORD-01813</t>
  </si>
  <si>
    <t>SHP-01814</t>
  </si>
  <si>
    <t>ORD-01814</t>
  </si>
  <si>
    <t>SHP-01815</t>
  </si>
  <si>
    <t>ORD-01815</t>
  </si>
  <si>
    <t>SHP-01816</t>
  </si>
  <si>
    <t>ORD-01816</t>
  </si>
  <si>
    <t>SHP-01817</t>
  </si>
  <si>
    <t>ORD-01817</t>
  </si>
  <si>
    <t>SHP-01818</t>
  </si>
  <si>
    <t>ORD-01818</t>
  </si>
  <si>
    <t>SHP-01819</t>
  </si>
  <si>
    <t>ORD-01819</t>
  </si>
  <si>
    <t>SHP-01820</t>
  </si>
  <si>
    <t>ORD-01820</t>
  </si>
  <si>
    <t>SHP-01821</t>
  </si>
  <si>
    <t>ORD-01821</t>
  </si>
  <si>
    <t>SHP-01822</t>
  </si>
  <si>
    <t>ORD-01822</t>
  </si>
  <si>
    <t>SHP-01823</t>
  </si>
  <si>
    <t>ORD-01823</t>
  </si>
  <si>
    <t>SHP-01824</t>
  </si>
  <si>
    <t>ORD-01824</t>
  </si>
  <si>
    <t>SHP-01825</t>
  </si>
  <si>
    <t>ORD-01825</t>
  </si>
  <si>
    <t>SHP-01826</t>
  </si>
  <si>
    <t>ORD-01826</t>
  </si>
  <si>
    <t>SHP-01827</t>
  </si>
  <si>
    <t>ORD-01827</t>
  </si>
  <si>
    <t>SHP-01828</t>
  </si>
  <si>
    <t>ORD-01828</t>
  </si>
  <si>
    <t>SHP-01829</t>
  </si>
  <si>
    <t>ORD-01829</t>
  </si>
  <si>
    <t>SHP-01830</t>
  </si>
  <si>
    <t>ORD-01830</t>
  </si>
  <si>
    <t>SHP-01831</t>
  </si>
  <si>
    <t>ORD-01831</t>
  </si>
  <si>
    <t>SHP-01832</t>
  </si>
  <si>
    <t>ORD-01832</t>
  </si>
  <si>
    <t>SHP-01833</t>
  </si>
  <si>
    <t>ORD-01833</t>
  </si>
  <si>
    <t>SHP-01834</t>
  </si>
  <si>
    <t>ORD-01834</t>
  </si>
  <si>
    <t>SHP-01835</t>
  </si>
  <si>
    <t>ORD-01835</t>
  </si>
  <si>
    <t>SHP-01836</t>
  </si>
  <si>
    <t>ORD-01836</t>
  </si>
  <si>
    <t>SHP-01837</t>
  </si>
  <si>
    <t>ORD-01837</t>
  </si>
  <si>
    <t>SHP-01838</t>
  </si>
  <si>
    <t>ORD-01838</t>
  </si>
  <si>
    <t>SHP-01839</t>
  </si>
  <si>
    <t>ORD-01839</t>
  </si>
  <si>
    <t>SHP-01840</t>
  </si>
  <si>
    <t>ORD-01840</t>
  </si>
  <si>
    <t>SHP-01841</t>
  </si>
  <si>
    <t>ORD-01841</t>
  </si>
  <si>
    <t>SHP-01842</t>
  </si>
  <si>
    <t>ORD-01842</t>
  </si>
  <si>
    <t>SHP-01843</t>
  </si>
  <si>
    <t>ORD-01843</t>
  </si>
  <si>
    <t>SHP-01844</t>
  </si>
  <si>
    <t>ORD-01844</t>
  </si>
  <si>
    <t>SHP-01845</t>
  </si>
  <si>
    <t>ORD-01845</t>
  </si>
  <si>
    <t>SHP-01846</t>
  </si>
  <si>
    <t>ORD-01846</t>
  </si>
  <si>
    <t>SHP-01847</t>
  </si>
  <si>
    <t>ORD-01847</t>
  </si>
  <si>
    <t>SHP-01848</t>
  </si>
  <si>
    <t>ORD-01848</t>
  </si>
  <si>
    <t>SHP-01849</t>
  </si>
  <si>
    <t>ORD-01849</t>
  </si>
  <si>
    <t>SHP-01850</t>
  </si>
  <si>
    <t>ORD-01850</t>
  </si>
  <si>
    <t>SHP-01851</t>
  </si>
  <si>
    <t>ORD-01851</t>
  </si>
  <si>
    <t>SHP-01852</t>
  </si>
  <si>
    <t>ORD-01852</t>
  </si>
  <si>
    <t>SHP-01853</t>
  </si>
  <si>
    <t>ORD-01853</t>
  </si>
  <si>
    <t>SHP-01854</t>
  </si>
  <si>
    <t>ORD-01854</t>
  </si>
  <si>
    <t>SHP-01855</t>
  </si>
  <si>
    <t>ORD-01855</t>
  </si>
  <si>
    <t>SHP-01856</t>
  </si>
  <si>
    <t>ORD-01856</t>
  </si>
  <si>
    <t>SHP-01857</t>
  </si>
  <si>
    <t>ORD-01857</t>
  </si>
  <si>
    <t>SHP-01858</t>
  </si>
  <si>
    <t>ORD-01858</t>
  </si>
  <si>
    <t>SHP-01859</t>
  </si>
  <si>
    <t>ORD-01859</t>
  </si>
  <si>
    <t>SHP-01860</t>
  </si>
  <si>
    <t>ORD-01860</t>
  </si>
  <si>
    <t>SHP-01861</t>
  </si>
  <si>
    <t>ORD-01861</t>
  </si>
  <si>
    <t>SHP-01862</t>
  </si>
  <si>
    <t>ORD-01862</t>
  </si>
  <si>
    <t>SHP-01863</t>
  </si>
  <si>
    <t>ORD-01863</t>
  </si>
  <si>
    <t>SHP-01864</t>
  </si>
  <si>
    <t>ORD-01864</t>
  </si>
  <si>
    <t>SHP-01865</t>
  </si>
  <si>
    <t>ORD-01865</t>
  </si>
  <si>
    <t>SHP-01866</t>
  </si>
  <si>
    <t>ORD-01866</t>
  </si>
  <si>
    <t>SHP-01867</t>
  </si>
  <si>
    <t>ORD-01867</t>
  </si>
  <si>
    <t>SHP-01868</t>
  </si>
  <si>
    <t>ORD-01868</t>
  </si>
  <si>
    <t>SHP-01869</t>
  </si>
  <si>
    <t>ORD-01869</t>
  </si>
  <si>
    <t>SHP-01870</t>
  </si>
  <si>
    <t>ORD-01870</t>
  </si>
  <si>
    <t>SHP-01871</t>
  </si>
  <si>
    <t>ORD-01871</t>
  </si>
  <si>
    <t>SHP-01872</t>
  </si>
  <si>
    <t>ORD-01872</t>
  </si>
  <si>
    <t>SHP-01873</t>
  </si>
  <si>
    <t>ORD-01873</t>
  </si>
  <si>
    <t>SHP-01874</t>
  </si>
  <si>
    <t>ORD-01874</t>
  </si>
  <si>
    <t>SHP-01875</t>
  </si>
  <si>
    <t>ORD-01875</t>
  </si>
  <si>
    <t>SHP-01876</t>
  </si>
  <si>
    <t>ORD-01876</t>
  </si>
  <si>
    <t>SHP-01877</t>
  </si>
  <si>
    <t>ORD-01877</t>
  </si>
  <si>
    <t>SHP-01878</t>
  </si>
  <si>
    <t>ORD-01878</t>
  </si>
  <si>
    <t>SHP-01879</t>
  </si>
  <si>
    <t>ORD-01879</t>
  </si>
  <si>
    <t>SHP-01880</t>
  </si>
  <si>
    <t>ORD-01880</t>
  </si>
  <si>
    <t>SHP-01881</t>
  </si>
  <si>
    <t>ORD-01881</t>
  </si>
  <si>
    <t>SHP-01882</t>
  </si>
  <si>
    <t>ORD-01882</t>
  </si>
  <si>
    <t>SHP-01883</t>
  </si>
  <si>
    <t>ORD-01883</t>
  </si>
  <si>
    <t>SHP-01884</t>
  </si>
  <si>
    <t>ORD-01884</t>
  </si>
  <si>
    <t>SHP-01885</t>
  </si>
  <si>
    <t>ORD-01885</t>
  </si>
  <si>
    <t>SHP-01886</t>
  </si>
  <si>
    <t>ORD-01886</t>
  </si>
  <si>
    <t>SHP-01887</t>
  </si>
  <si>
    <t>ORD-01887</t>
  </si>
  <si>
    <t>SHP-01888</t>
  </si>
  <si>
    <t>ORD-01888</t>
  </si>
  <si>
    <t>SHP-01889</t>
  </si>
  <si>
    <t>ORD-01889</t>
  </si>
  <si>
    <t>SHP-01890</t>
  </si>
  <si>
    <t>ORD-01890</t>
  </si>
  <si>
    <t>SHP-01891</t>
  </si>
  <si>
    <t>ORD-01891</t>
  </si>
  <si>
    <t>SHP-01892</t>
  </si>
  <si>
    <t>ORD-01892</t>
  </si>
  <si>
    <t>SHP-01893</t>
  </si>
  <si>
    <t>ORD-01893</t>
  </si>
  <si>
    <t>SHP-01894</t>
  </si>
  <si>
    <t>ORD-01894</t>
  </si>
  <si>
    <t>SHP-01895</t>
  </si>
  <si>
    <t>ORD-01895</t>
  </si>
  <si>
    <t>SHP-01896</t>
  </si>
  <si>
    <t>ORD-01896</t>
  </si>
  <si>
    <t>SHP-01897</t>
  </si>
  <si>
    <t>ORD-01897</t>
  </si>
  <si>
    <t>SHP-01898</t>
  </si>
  <si>
    <t>ORD-01898</t>
  </si>
  <si>
    <t>SHP-01899</t>
  </si>
  <si>
    <t>ORD-01899</t>
  </si>
  <si>
    <t>SHP-01900</t>
  </si>
  <si>
    <t>ORD-01900</t>
  </si>
  <si>
    <t>SHP-01901</t>
  </si>
  <si>
    <t>ORD-01901</t>
  </si>
  <si>
    <t>SHP-01902</t>
  </si>
  <si>
    <t>ORD-01902</t>
  </si>
  <si>
    <t>SHP-01903</t>
  </si>
  <si>
    <t>ORD-01903</t>
  </si>
  <si>
    <t>SHP-01904</t>
  </si>
  <si>
    <t>ORD-01904</t>
  </si>
  <si>
    <t>SHP-01905</t>
  </si>
  <si>
    <t>ORD-01905</t>
  </si>
  <si>
    <t>SHP-01906</t>
  </si>
  <si>
    <t>ORD-01906</t>
  </si>
  <si>
    <t>SHP-01907</t>
  </si>
  <si>
    <t>ORD-01907</t>
  </si>
  <si>
    <t>SHP-01908</t>
  </si>
  <si>
    <t>ORD-01908</t>
  </si>
  <si>
    <t>SHP-01909</t>
  </si>
  <si>
    <t>ORD-01909</t>
  </si>
  <si>
    <t>SHP-01910</t>
  </si>
  <si>
    <t>ORD-01910</t>
  </si>
  <si>
    <t>SHP-01911</t>
  </si>
  <si>
    <t>ORD-01911</t>
  </si>
  <si>
    <t>SHP-01912</t>
  </si>
  <si>
    <t>ORD-01912</t>
  </si>
  <si>
    <t>SHP-01913</t>
  </si>
  <si>
    <t>ORD-01913</t>
  </si>
  <si>
    <t>SHP-01914</t>
  </si>
  <si>
    <t>ORD-01914</t>
  </si>
  <si>
    <t>SHP-01915</t>
  </si>
  <si>
    <t>ORD-01915</t>
  </si>
  <si>
    <t>SHP-01916</t>
  </si>
  <si>
    <t>ORD-01916</t>
  </si>
  <si>
    <t>SHP-01917</t>
  </si>
  <si>
    <t>ORD-01917</t>
  </si>
  <si>
    <t>SHP-01918</t>
  </si>
  <si>
    <t>ORD-01918</t>
  </si>
  <si>
    <t>SHP-01919</t>
  </si>
  <si>
    <t>ORD-01919</t>
  </si>
  <si>
    <t>SHP-01920</t>
  </si>
  <si>
    <t>ORD-01920</t>
  </si>
  <si>
    <t>SHP-01921</t>
  </si>
  <si>
    <t>ORD-01921</t>
  </si>
  <si>
    <t>SHP-01922</t>
  </si>
  <si>
    <t>ORD-01922</t>
  </si>
  <si>
    <t>SHP-01923</t>
  </si>
  <si>
    <t>ORD-01923</t>
  </si>
  <si>
    <t>SHP-01924</t>
  </si>
  <si>
    <t>ORD-01924</t>
  </si>
  <si>
    <t>SHP-01925</t>
  </si>
  <si>
    <t>ORD-01925</t>
  </si>
  <si>
    <t>SHP-01926</t>
  </si>
  <si>
    <t>ORD-01926</t>
  </si>
  <si>
    <t>SHP-01927</t>
  </si>
  <si>
    <t>ORD-01927</t>
  </si>
  <si>
    <t>SHP-01928</t>
  </si>
  <si>
    <t>ORD-01928</t>
  </si>
  <si>
    <t>SHP-01929</t>
  </si>
  <si>
    <t>ORD-01929</t>
  </si>
  <si>
    <t>SHP-01930</t>
  </si>
  <si>
    <t>ORD-01930</t>
  </si>
  <si>
    <t>SHP-01931</t>
  </si>
  <si>
    <t>ORD-01931</t>
  </si>
  <si>
    <t>SHP-01932</t>
  </si>
  <si>
    <t>ORD-01932</t>
  </si>
  <si>
    <t>SHP-01933</t>
  </si>
  <si>
    <t>ORD-01933</t>
  </si>
  <si>
    <t>SHP-01934</t>
  </si>
  <si>
    <t>ORD-01934</t>
  </si>
  <si>
    <t>SHP-01935</t>
  </si>
  <si>
    <t>ORD-01935</t>
  </si>
  <si>
    <t>SHP-01936</t>
  </si>
  <si>
    <t>ORD-01936</t>
  </si>
  <si>
    <t>SHP-01937</t>
  </si>
  <si>
    <t>ORD-01937</t>
  </si>
  <si>
    <t>SHP-01938</t>
  </si>
  <si>
    <t>ORD-01938</t>
  </si>
  <si>
    <t>SHP-01939</t>
  </si>
  <si>
    <t>ORD-01939</t>
  </si>
  <si>
    <t>SHP-01940</t>
  </si>
  <si>
    <t>ORD-01940</t>
  </si>
  <si>
    <t>SHP-01941</t>
  </si>
  <si>
    <t>ORD-01941</t>
  </si>
  <si>
    <t>SHP-01942</t>
  </si>
  <si>
    <t>ORD-01942</t>
  </si>
  <si>
    <t>SHP-01943</t>
  </si>
  <si>
    <t>ORD-01943</t>
  </si>
  <si>
    <t>SHP-01944</t>
  </si>
  <si>
    <t>ORD-01944</t>
  </si>
  <si>
    <t>SHP-01945</t>
  </si>
  <si>
    <t>ORD-01945</t>
  </si>
  <si>
    <t>SHP-01946</t>
  </si>
  <si>
    <t>ORD-01946</t>
  </si>
  <si>
    <t>SHP-01947</t>
  </si>
  <si>
    <t>ORD-01947</t>
  </si>
  <si>
    <t>SHP-01948</t>
  </si>
  <si>
    <t>ORD-01948</t>
  </si>
  <si>
    <t>SHP-01949</t>
  </si>
  <si>
    <t>ORD-01949</t>
  </si>
  <si>
    <t>SHP-01950</t>
  </si>
  <si>
    <t>ORD-01950</t>
  </si>
  <si>
    <t>SHP-01951</t>
  </si>
  <si>
    <t>ORD-01951</t>
  </si>
  <si>
    <t>SHP-01952</t>
  </si>
  <si>
    <t>ORD-01952</t>
  </si>
  <si>
    <t>SHP-01953</t>
  </si>
  <si>
    <t>ORD-01953</t>
  </si>
  <si>
    <t>SHP-01954</t>
  </si>
  <si>
    <t>ORD-01954</t>
  </si>
  <si>
    <t>SHP-01955</t>
  </si>
  <si>
    <t>ORD-01955</t>
  </si>
  <si>
    <t>SHP-01956</t>
  </si>
  <si>
    <t>ORD-01956</t>
  </si>
  <si>
    <t>SHP-01957</t>
  </si>
  <si>
    <t>ORD-01957</t>
  </si>
  <si>
    <t>SHP-01958</t>
  </si>
  <si>
    <t>ORD-01958</t>
  </si>
  <si>
    <t>SHP-01959</t>
  </si>
  <si>
    <t>ORD-01959</t>
  </si>
  <si>
    <t>SHP-01960</t>
  </si>
  <si>
    <t>ORD-01960</t>
  </si>
  <si>
    <t>SHP-01961</t>
  </si>
  <si>
    <t>ORD-01961</t>
  </si>
  <si>
    <t>SHP-01962</t>
  </si>
  <si>
    <t>ORD-01962</t>
  </si>
  <si>
    <t>SHP-01963</t>
  </si>
  <si>
    <t>ORD-01963</t>
  </si>
  <si>
    <t>SHP-01964</t>
  </si>
  <si>
    <t>ORD-01964</t>
  </si>
  <si>
    <t>SHP-01965</t>
  </si>
  <si>
    <t>ORD-01965</t>
  </si>
  <si>
    <t>SHP-01966</t>
  </si>
  <si>
    <t>ORD-01966</t>
  </si>
  <si>
    <t>SHP-01967</t>
  </si>
  <si>
    <t>ORD-01967</t>
  </si>
  <si>
    <t>SHP-01968</t>
  </si>
  <si>
    <t>ORD-01968</t>
  </si>
  <si>
    <t>SHP-01969</t>
  </si>
  <si>
    <t>ORD-01969</t>
  </si>
  <si>
    <t>SHP-01970</t>
  </si>
  <si>
    <t>ORD-01970</t>
  </si>
  <si>
    <t>SHP-01971</t>
  </si>
  <si>
    <t>ORD-01971</t>
  </si>
  <si>
    <t>SHP-01972</t>
  </si>
  <si>
    <t>ORD-01972</t>
  </si>
  <si>
    <t>SHP-01973</t>
  </si>
  <si>
    <t>ORD-01973</t>
  </si>
  <si>
    <t>SHP-01974</t>
  </si>
  <si>
    <t>ORD-01974</t>
  </si>
  <si>
    <t>SHP-01975</t>
  </si>
  <si>
    <t>ORD-01975</t>
  </si>
  <si>
    <t>SHP-01976</t>
  </si>
  <si>
    <t>ORD-01976</t>
  </si>
  <si>
    <t>SHP-01977</t>
  </si>
  <si>
    <t>ORD-01977</t>
  </si>
  <si>
    <t>SHP-01978</t>
  </si>
  <si>
    <t>ORD-01978</t>
  </si>
  <si>
    <t>SHP-01979</t>
  </si>
  <si>
    <t>ORD-01979</t>
  </si>
  <si>
    <t>SHP-01980</t>
  </si>
  <si>
    <t>ORD-01980</t>
  </si>
  <si>
    <t>SHP-01981</t>
  </si>
  <si>
    <t>ORD-01981</t>
  </si>
  <si>
    <t>SHP-01982</t>
  </si>
  <si>
    <t>ORD-01982</t>
  </si>
  <si>
    <t>SHP-01983</t>
  </si>
  <si>
    <t>ORD-01983</t>
  </si>
  <si>
    <t>SHP-01984</t>
  </si>
  <si>
    <t>ORD-01984</t>
  </si>
  <si>
    <t>SHP-01985</t>
  </si>
  <si>
    <t>ORD-01985</t>
  </si>
  <si>
    <t>SHP-01986</t>
  </si>
  <si>
    <t>ORD-01986</t>
  </si>
  <si>
    <t>SHP-01987</t>
  </si>
  <si>
    <t>ORD-01987</t>
  </si>
  <si>
    <t>SHP-01988</t>
  </si>
  <si>
    <t>ORD-01988</t>
  </si>
  <si>
    <t>SHP-01989</t>
  </si>
  <si>
    <t>ORD-01989</t>
  </si>
  <si>
    <t>SHP-01990</t>
  </si>
  <si>
    <t>ORD-01990</t>
  </si>
  <si>
    <t>SHP-01991</t>
  </si>
  <si>
    <t>ORD-01991</t>
  </si>
  <si>
    <t>SHP-01992</t>
  </si>
  <si>
    <t>ORD-01992</t>
  </si>
  <si>
    <t>SHP-01993</t>
  </si>
  <si>
    <t>ORD-01993</t>
  </si>
  <si>
    <t>SHP-01994</t>
  </si>
  <si>
    <t>ORD-01994</t>
  </si>
  <si>
    <t>SHP-01995</t>
  </si>
  <si>
    <t>ORD-01995</t>
  </si>
  <si>
    <t>SHP-01996</t>
  </si>
  <si>
    <t>ORD-01996</t>
  </si>
  <si>
    <t>SHP-01997</t>
  </si>
  <si>
    <t>ORD-01997</t>
  </si>
  <si>
    <t>SHP-01998</t>
  </si>
  <si>
    <t>ORD-01998</t>
  </si>
  <si>
    <t>SHP-01999</t>
  </si>
  <si>
    <t>ORD-01999</t>
  </si>
  <si>
    <t>SHP-02000</t>
  </si>
  <si>
    <t>ORD-02000</t>
  </si>
  <si>
    <t>SHP-02001</t>
  </si>
  <si>
    <t>ORD-02001</t>
  </si>
  <si>
    <t>SHP-02002</t>
  </si>
  <si>
    <t>ORD-02002</t>
  </si>
  <si>
    <t>SHP-02003</t>
  </si>
  <si>
    <t>ORD-02003</t>
  </si>
  <si>
    <t>SHP-02004</t>
  </si>
  <si>
    <t>ORD-02004</t>
  </si>
  <si>
    <t>SHP-02005</t>
  </si>
  <si>
    <t>ORD-02005</t>
  </si>
  <si>
    <t>SHP-02006</t>
  </si>
  <si>
    <t>ORD-02006</t>
  </si>
  <si>
    <t>SHP-02007</t>
  </si>
  <si>
    <t>ORD-02007</t>
  </si>
  <si>
    <t>SHP-02008</t>
  </si>
  <si>
    <t>ORD-02008</t>
  </si>
  <si>
    <t>SHP-02009</t>
  </si>
  <si>
    <t>ORD-02009</t>
  </si>
  <si>
    <t>SHP-02010</t>
  </si>
  <si>
    <t>ORD-02010</t>
  </si>
  <si>
    <t>SHP-02011</t>
  </si>
  <si>
    <t>ORD-02011</t>
  </si>
  <si>
    <t>SHP-02012</t>
  </si>
  <si>
    <t>ORD-02012</t>
  </si>
  <si>
    <t>SHP-02013</t>
  </si>
  <si>
    <t>ORD-02013</t>
  </si>
  <si>
    <t>SHP-02014</t>
  </si>
  <si>
    <t>ORD-02014</t>
  </si>
  <si>
    <t>SHP-02015</t>
  </si>
  <si>
    <t>ORD-02015</t>
  </si>
  <si>
    <t>SHP-02016</t>
  </si>
  <si>
    <t>ORD-02016</t>
  </si>
  <si>
    <t>SHP-02017</t>
  </si>
  <si>
    <t>ORD-02017</t>
  </si>
  <si>
    <t>SHP-02018</t>
  </si>
  <si>
    <t>ORD-02018</t>
  </si>
  <si>
    <t>SHP-02019</t>
  </si>
  <si>
    <t>ORD-02019</t>
  </si>
  <si>
    <t>SHP-02020</t>
  </si>
  <si>
    <t>ORD-02020</t>
  </si>
  <si>
    <t>SHP-02021</t>
  </si>
  <si>
    <t>ORD-02021</t>
  </si>
  <si>
    <t>SHP-02022</t>
  </si>
  <si>
    <t>ORD-02022</t>
  </si>
  <si>
    <t>SHP-02023</t>
  </si>
  <si>
    <t>ORD-02023</t>
  </si>
  <si>
    <t>SHP-02024</t>
  </si>
  <si>
    <t>ORD-02024</t>
  </si>
  <si>
    <t>SHP-02025</t>
  </si>
  <si>
    <t>ORD-02025</t>
  </si>
  <si>
    <t>SHP-02026</t>
  </si>
  <si>
    <t>ORD-02026</t>
  </si>
  <si>
    <t>SHP-02027</t>
  </si>
  <si>
    <t>ORD-02027</t>
  </si>
  <si>
    <t>SHP-02028</t>
  </si>
  <si>
    <t>ORD-02028</t>
  </si>
  <si>
    <t>SHP-02029</t>
  </si>
  <si>
    <t>ORD-02029</t>
  </si>
  <si>
    <t>SHP-02030</t>
  </si>
  <si>
    <t>ORD-02030</t>
  </si>
  <si>
    <t>SHP-02031</t>
  </si>
  <si>
    <t>ORD-02031</t>
  </si>
  <si>
    <t>SHP-02032</t>
  </si>
  <si>
    <t>ORD-02032</t>
  </si>
  <si>
    <t>SHP-02033</t>
  </si>
  <si>
    <t>ORD-02033</t>
  </si>
  <si>
    <t>SHP-02034</t>
  </si>
  <si>
    <t>ORD-02034</t>
  </si>
  <si>
    <t>SHP-02035</t>
  </si>
  <si>
    <t>ORD-02035</t>
  </si>
  <si>
    <t>SHP-02036</t>
  </si>
  <si>
    <t>ORD-02036</t>
  </si>
  <si>
    <t>SHP-02037</t>
  </si>
  <si>
    <t>ORD-02037</t>
  </si>
  <si>
    <t>SHP-02038</t>
  </si>
  <si>
    <t>ORD-02038</t>
  </si>
  <si>
    <t>SHP-02039</t>
  </si>
  <si>
    <t>ORD-02039</t>
  </si>
  <si>
    <t>SHP-02040</t>
  </si>
  <si>
    <t>ORD-02040</t>
  </si>
  <si>
    <t>SHP-02041</t>
  </si>
  <si>
    <t>ORD-02041</t>
  </si>
  <si>
    <t>SHP-02042</t>
  </si>
  <si>
    <t>ORD-02042</t>
  </si>
  <si>
    <t>SHP-02043</t>
  </si>
  <si>
    <t>ORD-02043</t>
  </si>
  <si>
    <t>SHP-02044</t>
  </si>
  <si>
    <t>ORD-02044</t>
  </si>
  <si>
    <t>SHP-02045</t>
  </si>
  <si>
    <t>ORD-02045</t>
  </si>
  <si>
    <t>SHP-02046</t>
  </si>
  <si>
    <t>ORD-02046</t>
  </si>
  <si>
    <t>SHP-02047</t>
  </si>
  <si>
    <t>ORD-02047</t>
  </si>
  <si>
    <t>SHP-02048</t>
  </si>
  <si>
    <t>ORD-02048</t>
  </si>
  <si>
    <t>SHP-02049</t>
  </si>
  <si>
    <t>ORD-02049</t>
  </si>
  <si>
    <t>SHP-02050</t>
  </si>
  <si>
    <t>ORD-02050</t>
  </si>
  <si>
    <t>SHP-02051</t>
  </si>
  <si>
    <t>ORD-02051</t>
  </si>
  <si>
    <t>SHP-02052</t>
  </si>
  <si>
    <t>ORD-02052</t>
  </si>
  <si>
    <t>SHP-02053</t>
  </si>
  <si>
    <t>ORD-02053</t>
  </si>
  <si>
    <t>SHP-02054</t>
  </si>
  <si>
    <t>ORD-02054</t>
  </si>
  <si>
    <t>SHP-02055</t>
  </si>
  <si>
    <t>ORD-02055</t>
  </si>
  <si>
    <t>SHP-02056</t>
  </si>
  <si>
    <t>ORD-02056</t>
  </si>
  <si>
    <t>SHP-02057</t>
  </si>
  <si>
    <t>ORD-02057</t>
  </si>
  <si>
    <t>SHP-02058</t>
  </si>
  <si>
    <t>ORD-02058</t>
  </si>
  <si>
    <t>SHP-02059</t>
  </si>
  <si>
    <t>ORD-02059</t>
  </si>
  <si>
    <t>SHP-02060</t>
  </si>
  <si>
    <t>ORD-02060</t>
  </si>
  <si>
    <t>SHP-02061</t>
  </si>
  <si>
    <t>ORD-02061</t>
  </si>
  <si>
    <t>SHP-02062</t>
  </si>
  <si>
    <t>ORD-02062</t>
  </si>
  <si>
    <t>SHP-02063</t>
  </si>
  <si>
    <t>ORD-02063</t>
  </si>
  <si>
    <t>SHP-02064</t>
  </si>
  <si>
    <t>ORD-02064</t>
  </si>
  <si>
    <t>SHP-02065</t>
  </si>
  <si>
    <t>ORD-02065</t>
  </si>
  <si>
    <t>SHP-02066</t>
  </si>
  <si>
    <t>ORD-02066</t>
  </si>
  <si>
    <t>SHP-02067</t>
  </si>
  <si>
    <t>ORD-02067</t>
  </si>
  <si>
    <t>SHP-02068</t>
  </si>
  <si>
    <t>ORD-02068</t>
  </si>
  <si>
    <t>SHP-02069</t>
  </si>
  <si>
    <t>ORD-02069</t>
  </si>
  <si>
    <t>SHP-02070</t>
  </si>
  <si>
    <t>ORD-02070</t>
  </si>
  <si>
    <t>SHP-02071</t>
  </si>
  <si>
    <t>ORD-02071</t>
  </si>
  <si>
    <t>SHP-02072</t>
  </si>
  <si>
    <t>ORD-02072</t>
  </si>
  <si>
    <t>SHP-02073</t>
  </si>
  <si>
    <t>ORD-02073</t>
  </si>
  <si>
    <t>SHP-02074</t>
  </si>
  <si>
    <t>ORD-02074</t>
  </si>
  <si>
    <t>SHP-02075</t>
  </si>
  <si>
    <t>ORD-02075</t>
  </si>
  <si>
    <t>SHP-02076</t>
  </si>
  <si>
    <t>ORD-02076</t>
  </si>
  <si>
    <t>SHP-02077</t>
  </si>
  <si>
    <t>ORD-02077</t>
  </si>
  <si>
    <t>SHP-02078</t>
  </si>
  <si>
    <t>ORD-02078</t>
  </si>
  <si>
    <t>SHP-02079</t>
  </si>
  <si>
    <t>ORD-02079</t>
  </si>
  <si>
    <t>SHP-02080</t>
  </si>
  <si>
    <t>ORD-02080</t>
  </si>
  <si>
    <t>SHP-02081</t>
  </si>
  <si>
    <t>ORD-02081</t>
  </si>
  <si>
    <t>SHP-02082</t>
  </si>
  <si>
    <t>ORD-02082</t>
  </si>
  <si>
    <t>SHP-02083</t>
  </si>
  <si>
    <t>ORD-02083</t>
  </si>
  <si>
    <t>SHP-02084</t>
  </si>
  <si>
    <t>ORD-02084</t>
  </si>
  <si>
    <t>SHP-02085</t>
  </si>
  <si>
    <t>ORD-02085</t>
  </si>
  <si>
    <t>SHP-02086</t>
  </si>
  <si>
    <t>ORD-02086</t>
  </si>
  <si>
    <t>SHP-02087</t>
  </si>
  <si>
    <t>ORD-02087</t>
  </si>
  <si>
    <t>SHP-02088</t>
  </si>
  <si>
    <t>ORD-02088</t>
  </si>
  <si>
    <t>SHP-02089</t>
  </si>
  <si>
    <t>ORD-02089</t>
  </si>
  <si>
    <t>SHP-02090</t>
  </si>
  <si>
    <t>ORD-02090</t>
  </si>
  <si>
    <t>SHP-02091</t>
  </si>
  <si>
    <t>ORD-02091</t>
  </si>
  <si>
    <t>SHP-02092</t>
  </si>
  <si>
    <t>ORD-02092</t>
  </si>
  <si>
    <t>SHP-02093</t>
  </si>
  <si>
    <t>ORD-02093</t>
  </si>
  <si>
    <t>SHP-02094</t>
  </si>
  <si>
    <t>ORD-02094</t>
  </si>
  <si>
    <t>SHP-02095</t>
  </si>
  <si>
    <t>ORD-02095</t>
  </si>
  <si>
    <t>SHP-02096</t>
  </si>
  <si>
    <t>ORD-02096</t>
  </si>
  <si>
    <t>SHP-02097</t>
  </si>
  <si>
    <t>ORD-02097</t>
  </si>
  <si>
    <t>SHP-02098</t>
  </si>
  <si>
    <t>ORD-02098</t>
  </si>
  <si>
    <t>SHP-02099</t>
  </si>
  <si>
    <t>ORD-02099</t>
  </si>
  <si>
    <t>SHP-02100</t>
  </si>
  <si>
    <t>ORD-02100</t>
  </si>
  <si>
    <t>SHP-02101</t>
  </si>
  <si>
    <t>ORD-02101</t>
  </si>
  <si>
    <t>SHP-02102</t>
  </si>
  <si>
    <t>ORD-02102</t>
  </si>
  <si>
    <t>SHP-02103</t>
  </si>
  <si>
    <t>ORD-02103</t>
  </si>
  <si>
    <t>SHP-02104</t>
  </si>
  <si>
    <t>ORD-02104</t>
  </si>
  <si>
    <t>SHP-02105</t>
  </si>
  <si>
    <t>ORD-02105</t>
  </si>
  <si>
    <t>SHP-02106</t>
  </si>
  <si>
    <t>ORD-02106</t>
  </si>
  <si>
    <t>SHP-02107</t>
  </si>
  <si>
    <t>ORD-02107</t>
  </si>
  <si>
    <t>SHP-02108</t>
  </si>
  <si>
    <t>ORD-02108</t>
  </si>
  <si>
    <t>SHP-02109</t>
  </si>
  <si>
    <t>ORD-02109</t>
  </si>
  <si>
    <t>SHP-02110</t>
  </si>
  <si>
    <t>ORD-02110</t>
  </si>
  <si>
    <t>SHP-02111</t>
  </si>
  <si>
    <t>ORD-02111</t>
  </si>
  <si>
    <t>SHP-02112</t>
  </si>
  <si>
    <t>ORD-02112</t>
  </si>
  <si>
    <t>SHP-02113</t>
  </si>
  <si>
    <t>ORD-02113</t>
  </si>
  <si>
    <t>SHP-02114</t>
  </si>
  <si>
    <t>ORD-02114</t>
  </si>
  <si>
    <t>SHP-02115</t>
  </si>
  <si>
    <t>ORD-02115</t>
  </si>
  <si>
    <t>SHP-02116</t>
  </si>
  <si>
    <t>ORD-02116</t>
  </si>
  <si>
    <t>SHP-02117</t>
  </si>
  <si>
    <t>ORD-02117</t>
  </si>
  <si>
    <t>SHP-02118</t>
  </si>
  <si>
    <t>ORD-02118</t>
  </si>
  <si>
    <t>SHP-02119</t>
  </si>
  <si>
    <t>ORD-02119</t>
  </si>
  <si>
    <t>SHP-02120</t>
  </si>
  <si>
    <t>ORD-02120</t>
  </si>
  <si>
    <t>SHP-02121</t>
  </si>
  <si>
    <t>ORD-02121</t>
  </si>
  <si>
    <t>SHP-02122</t>
  </si>
  <si>
    <t>ORD-02122</t>
  </si>
  <si>
    <t>SHP-02123</t>
  </si>
  <si>
    <t>ORD-02123</t>
  </si>
  <si>
    <t>SHP-02124</t>
  </si>
  <si>
    <t>ORD-02124</t>
  </si>
  <si>
    <t>SHP-02125</t>
  </si>
  <si>
    <t>ORD-02125</t>
  </si>
  <si>
    <t>SHP-02126</t>
  </si>
  <si>
    <t>ORD-02126</t>
  </si>
  <si>
    <t>SHP-02127</t>
  </si>
  <si>
    <t>ORD-02127</t>
  </si>
  <si>
    <t>SHP-02128</t>
  </si>
  <si>
    <t>ORD-02128</t>
  </si>
  <si>
    <t>SHP-02129</t>
  </si>
  <si>
    <t>ORD-02129</t>
  </si>
  <si>
    <t>SHP-02130</t>
  </si>
  <si>
    <t>ORD-02130</t>
  </si>
  <si>
    <t>SHP-02131</t>
  </si>
  <si>
    <t>ORD-02131</t>
  </si>
  <si>
    <t>SHP-02132</t>
  </si>
  <si>
    <t>ORD-02132</t>
  </si>
  <si>
    <t>SHP-02133</t>
  </si>
  <si>
    <t>ORD-02133</t>
  </si>
  <si>
    <t>SHP-02134</t>
  </si>
  <si>
    <t>ORD-02134</t>
  </si>
  <si>
    <t>SHP-02135</t>
  </si>
  <si>
    <t>ORD-02135</t>
  </si>
  <si>
    <t>SHP-02136</t>
  </si>
  <si>
    <t>ORD-02136</t>
  </si>
  <si>
    <t>SHP-02137</t>
  </si>
  <si>
    <t>ORD-02137</t>
  </si>
  <si>
    <t>SHP-02138</t>
  </si>
  <si>
    <t>ORD-02138</t>
  </si>
  <si>
    <t>SHP-02139</t>
  </si>
  <si>
    <t>ORD-02139</t>
  </si>
  <si>
    <t>SHP-02140</t>
  </si>
  <si>
    <t>ORD-02140</t>
  </si>
  <si>
    <t>SHP-02141</t>
  </si>
  <si>
    <t>ORD-02141</t>
  </si>
  <si>
    <t>SHP-02142</t>
  </si>
  <si>
    <t>ORD-02142</t>
  </si>
  <si>
    <t>SHP-02143</t>
  </si>
  <si>
    <t>ORD-02143</t>
  </si>
  <si>
    <t>SHP-02144</t>
  </si>
  <si>
    <t>ORD-02144</t>
  </si>
  <si>
    <t>SHP-02145</t>
  </si>
  <si>
    <t>ORD-02145</t>
  </si>
  <si>
    <t>SHP-02146</t>
  </si>
  <si>
    <t>ORD-02146</t>
  </si>
  <si>
    <t>SHP-02147</t>
  </si>
  <si>
    <t>ORD-02147</t>
  </si>
  <si>
    <t>SHP-02148</t>
  </si>
  <si>
    <t>ORD-02148</t>
  </si>
  <si>
    <t>SHP-02149</t>
  </si>
  <si>
    <t>ORD-02149</t>
  </si>
  <si>
    <t>SHP-02150</t>
  </si>
  <si>
    <t>ORD-02150</t>
  </si>
  <si>
    <t>SHP-02151</t>
  </si>
  <si>
    <t>ORD-02151</t>
  </si>
  <si>
    <t>SHP-02152</t>
  </si>
  <si>
    <t>ORD-02152</t>
  </si>
  <si>
    <t>SHP-02153</t>
  </si>
  <si>
    <t>ORD-02153</t>
  </si>
  <si>
    <t>SHP-02154</t>
  </si>
  <si>
    <t>ORD-02154</t>
  </si>
  <si>
    <t>SHP-02155</t>
  </si>
  <si>
    <t>ORD-02155</t>
  </si>
  <si>
    <t>SHP-02156</t>
  </si>
  <si>
    <t>ORD-02156</t>
  </si>
  <si>
    <t>SHP-02157</t>
  </si>
  <si>
    <t>ORD-02157</t>
  </si>
  <si>
    <t>SHP-02158</t>
  </si>
  <si>
    <t>ORD-02158</t>
  </si>
  <si>
    <t>SHP-02159</t>
  </si>
  <si>
    <t>ORD-02159</t>
  </si>
  <si>
    <t>SHP-02160</t>
  </si>
  <si>
    <t>ORD-02160</t>
  </si>
  <si>
    <t>SHP-02161</t>
  </si>
  <si>
    <t>ORD-02161</t>
  </si>
  <si>
    <t>SHP-02162</t>
  </si>
  <si>
    <t>ORD-02162</t>
  </si>
  <si>
    <t>SHP-02163</t>
  </si>
  <si>
    <t>ORD-02163</t>
  </si>
  <si>
    <t>SHP-02164</t>
  </si>
  <si>
    <t>ORD-02164</t>
  </si>
  <si>
    <t>SHP-02165</t>
  </si>
  <si>
    <t>ORD-02165</t>
  </si>
  <si>
    <t>SHP-02166</t>
  </si>
  <si>
    <t>ORD-02166</t>
  </si>
  <si>
    <t>SHP-02167</t>
  </si>
  <si>
    <t>ORD-02167</t>
  </si>
  <si>
    <t>SHP-02168</t>
  </si>
  <si>
    <t>ORD-02168</t>
  </si>
  <si>
    <t>SHP-02169</t>
  </si>
  <si>
    <t>ORD-02169</t>
  </si>
  <si>
    <t>SHP-02170</t>
  </si>
  <si>
    <t>ORD-02170</t>
  </si>
  <si>
    <t>SHP-02171</t>
  </si>
  <si>
    <t>ORD-02171</t>
  </si>
  <si>
    <t>SHP-02172</t>
  </si>
  <si>
    <t>ORD-02172</t>
  </si>
  <si>
    <t>SHP-02173</t>
  </si>
  <si>
    <t>ORD-02173</t>
  </si>
  <si>
    <t>SHP-02174</t>
  </si>
  <si>
    <t>ORD-02174</t>
  </si>
  <si>
    <t>SHP-02175</t>
  </si>
  <si>
    <t>ORD-02175</t>
  </si>
  <si>
    <t>SHP-02176</t>
  </si>
  <si>
    <t>ORD-02176</t>
  </si>
  <si>
    <t>SHP-02177</t>
  </si>
  <si>
    <t>ORD-02177</t>
  </si>
  <si>
    <t>SHP-02178</t>
  </si>
  <si>
    <t>ORD-02178</t>
  </si>
  <si>
    <t>SHP-02179</t>
  </si>
  <si>
    <t>ORD-02179</t>
  </si>
  <si>
    <t>SHP-02180</t>
  </si>
  <si>
    <t>ORD-02180</t>
  </si>
  <si>
    <t>SHP-02181</t>
  </si>
  <si>
    <t>ORD-02181</t>
  </si>
  <si>
    <t>SHP-02182</t>
  </si>
  <si>
    <t>ORD-02182</t>
  </si>
  <si>
    <t>SHP-02183</t>
  </si>
  <si>
    <t>ORD-02183</t>
  </si>
  <si>
    <t>SHP-02184</t>
  </si>
  <si>
    <t>ORD-02184</t>
  </si>
  <si>
    <t>SHP-02185</t>
  </si>
  <si>
    <t>ORD-02185</t>
  </si>
  <si>
    <t>SHP-02186</t>
  </si>
  <si>
    <t>ORD-02186</t>
  </si>
  <si>
    <t>SHP-02187</t>
  </si>
  <si>
    <t>ORD-02187</t>
  </si>
  <si>
    <t>SHP-02188</t>
  </si>
  <si>
    <t>ORD-02188</t>
  </si>
  <si>
    <t>SHP-02189</t>
  </si>
  <si>
    <t>ORD-02189</t>
  </si>
  <si>
    <t>SHP-02190</t>
  </si>
  <si>
    <t>ORD-02190</t>
  </si>
  <si>
    <t>SHP-02191</t>
  </si>
  <si>
    <t>ORD-02191</t>
  </si>
  <si>
    <t>SHP-02192</t>
  </si>
  <si>
    <t>ORD-02192</t>
  </si>
  <si>
    <t>SHP-02193</t>
  </si>
  <si>
    <t>ORD-02193</t>
  </si>
  <si>
    <t>SHP-02194</t>
  </si>
  <si>
    <t>ORD-02194</t>
  </si>
  <si>
    <t>SHP-02195</t>
  </si>
  <si>
    <t>ORD-02195</t>
  </si>
  <si>
    <t>SHP-02196</t>
  </si>
  <si>
    <t>ORD-02196</t>
  </si>
  <si>
    <t>SHP-02197</t>
  </si>
  <si>
    <t>ORD-02197</t>
  </si>
  <si>
    <t>SHP-02198</t>
  </si>
  <si>
    <t>ORD-02198</t>
  </si>
  <si>
    <t>SHP-02199</t>
  </si>
  <si>
    <t>ORD-02199</t>
  </si>
  <si>
    <t>SHP-02200</t>
  </si>
  <si>
    <t>ORD-02200</t>
  </si>
  <si>
    <t>SHP-02201</t>
  </si>
  <si>
    <t>ORD-02201</t>
  </si>
  <si>
    <t>SHP-02202</t>
  </si>
  <si>
    <t>ORD-02202</t>
  </si>
  <si>
    <t>SHP-02203</t>
  </si>
  <si>
    <t>ORD-02203</t>
  </si>
  <si>
    <t>SHP-02204</t>
  </si>
  <si>
    <t>ORD-02204</t>
  </si>
  <si>
    <t>SHP-02205</t>
  </si>
  <si>
    <t>ORD-02205</t>
  </si>
  <si>
    <t>SHP-02206</t>
  </si>
  <si>
    <t>ORD-02206</t>
  </si>
  <si>
    <t>SHP-02207</t>
  </si>
  <si>
    <t>ORD-02207</t>
  </si>
  <si>
    <t>SHP-02208</t>
  </si>
  <si>
    <t>ORD-02208</t>
  </si>
  <si>
    <t>SHP-02209</t>
  </si>
  <si>
    <t>ORD-02209</t>
  </si>
  <si>
    <t>SHP-02210</t>
  </si>
  <si>
    <t>ORD-02210</t>
  </si>
  <si>
    <t>SHP-02211</t>
  </si>
  <si>
    <t>ORD-02211</t>
  </si>
  <si>
    <t>SHP-02212</t>
  </si>
  <si>
    <t>ORD-02212</t>
  </si>
  <si>
    <t>SHP-02213</t>
  </si>
  <si>
    <t>ORD-02213</t>
  </si>
  <si>
    <t>SHP-02214</t>
  </si>
  <si>
    <t>ORD-02214</t>
  </si>
  <si>
    <t>SHP-02215</t>
  </si>
  <si>
    <t>ORD-02215</t>
  </si>
  <si>
    <t>SHP-02216</t>
  </si>
  <si>
    <t>ORD-02216</t>
  </si>
  <si>
    <t>SHP-02217</t>
  </si>
  <si>
    <t>ORD-02217</t>
  </si>
  <si>
    <t>SHP-02218</t>
  </si>
  <si>
    <t>ORD-02218</t>
  </si>
  <si>
    <t>SHP-02219</t>
  </si>
  <si>
    <t>ORD-02219</t>
  </si>
  <si>
    <t>SHP-02220</t>
  </si>
  <si>
    <t>ORD-02220</t>
  </si>
  <si>
    <t>SHP-02221</t>
  </si>
  <si>
    <t>ORD-02221</t>
  </si>
  <si>
    <t>SHP-02222</t>
  </si>
  <si>
    <t>ORD-02222</t>
  </si>
  <si>
    <t>SHP-02223</t>
  </si>
  <si>
    <t>ORD-02223</t>
  </si>
  <si>
    <t>SHP-02224</t>
  </si>
  <si>
    <t>ORD-02224</t>
  </si>
  <si>
    <t>SHP-02225</t>
  </si>
  <si>
    <t>ORD-02225</t>
  </si>
  <si>
    <t>SHP-02226</t>
  </si>
  <si>
    <t>ORD-02226</t>
  </si>
  <si>
    <t>SHP-02227</t>
  </si>
  <si>
    <t>ORD-02227</t>
  </si>
  <si>
    <t>SHP-02228</t>
  </si>
  <si>
    <t>ORD-02228</t>
  </si>
  <si>
    <t>SHP-02229</t>
  </si>
  <si>
    <t>ORD-02229</t>
  </si>
  <si>
    <t>SHP-02230</t>
  </si>
  <si>
    <t>ORD-02230</t>
  </si>
  <si>
    <t>SHP-02231</t>
  </si>
  <si>
    <t>ORD-02231</t>
  </si>
  <si>
    <t>SHP-02232</t>
  </si>
  <si>
    <t>ORD-02232</t>
  </si>
  <si>
    <t>SHP-02233</t>
  </si>
  <si>
    <t>ORD-02233</t>
  </si>
  <si>
    <t>SHP-02234</t>
  </si>
  <si>
    <t>ORD-02234</t>
  </si>
  <si>
    <t>SHP-02235</t>
  </si>
  <si>
    <t>ORD-02235</t>
  </si>
  <si>
    <t>SHP-02236</t>
  </si>
  <si>
    <t>ORD-02236</t>
  </si>
  <si>
    <t>SHP-02237</t>
  </si>
  <si>
    <t>ORD-02237</t>
  </si>
  <si>
    <t>SHP-02238</t>
  </si>
  <si>
    <t>ORD-02238</t>
  </si>
  <si>
    <t>SHP-02239</t>
  </si>
  <si>
    <t>ORD-02239</t>
  </si>
  <si>
    <t>SHP-02240</t>
  </si>
  <si>
    <t>ORD-02240</t>
  </si>
  <si>
    <t>SHP-02241</t>
  </si>
  <si>
    <t>ORD-02241</t>
  </si>
  <si>
    <t>SHP-02242</t>
  </si>
  <si>
    <t>ORD-02242</t>
  </si>
  <si>
    <t>SHP-02243</t>
  </si>
  <si>
    <t>ORD-02243</t>
  </si>
  <si>
    <t>SHP-02244</t>
  </si>
  <si>
    <t>ORD-02244</t>
  </si>
  <si>
    <t>SHP-02245</t>
  </si>
  <si>
    <t>ORD-02245</t>
  </si>
  <si>
    <t>SHP-02246</t>
  </si>
  <si>
    <t>ORD-02246</t>
  </si>
  <si>
    <t>SHP-02247</t>
  </si>
  <si>
    <t>ORD-02247</t>
  </si>
  <si>
    <t>SHP-02248</t>
  </si>
  <si>
    <t>ORD-02248</t>
  </si>
  <si>
    <t>SHP-02249</t>
  </si>
  <si>
    <t>ORD-02249</t>
  </si>
  <si>
    <t>SHP-02250</t>
  </si>
  <si>
    <t>ORD-02250</t>
  </si>
  <si>
    <t>SHP-02251</t>
  </si>
  <si>
    <t>ORD-02251</t>
  </si>
  <si>
    <t>SHP-02252</t>
  </si>
  <si>
    <t>ORD-02252</t>
  </si>
  <si>
    <t>SHP-02253</t>
  </si>
  <si>
    <t>ORD-02253</t>
  </si>
  <si>
    <t>SHP-02254</t>
  </si>
  <si>
    <t>ORD-02254</t>
  </si>
  <si>
    <t>SHP-02255</t>
  </si>
  <si>
    <t>ORD-02255</t>
  </si>
  <si>
    <t>SHP-02256</t>
  </si>
  <si>
    <t>ORD-02256</t>
  </si>
  <si>
    <t>SHP-02257</t>
  </si>
  <si>
    <t>ORD-02257</t>
  </si>
  <si>
    <t>SHP-02258</t>
  </si>
  <si>
    <t>ORD-02258</t>
  </si>
  <si>
    <t>SHP-02259</t>
  </si>
  <si>
    <t>ORD-02259</t>
  </si>
  <si>
    <t>SHP-02260</t>
  </si>
  <si>
    <t>ORD-02260</t>
  </si>
  <si>
    <t>SHP-02261</t>
  </si>
  <si>
    <t>ORD-02261</t>
  </si>
  <si>
    <t>SHP-02262</t>
  </si>
  <si>
    <t>ORD-02262</t>
  </si>
  <si>
    <t>SHP-02263</t>
  </si>
  <si>
    <t>ORD-02263</t>
  </si>
  <si>
    <t>SHP-02264</t>
  </si>
  <si>
    <t>ORD-02264</t>
  </si>
  <si>
    <t>SHP-02265</t>
  </si>
  <si>
    <t>ORD-02265</t>
  </si>
  <si>
    <t>SHP-02266</t>
  </si>
  <si>
    <t>ORD-02266</t>
  </si>
  <si>
    <t>SHP-02267</t>
  </si>
  <si>
    <t>ORD-02267</t>
  </si>
  <si>
    <t>SHP-02268</t>
  </si>
  <si>
    <t>ORD-02268</t>
  </si>
  <si>
    <t>SHP-02269</t>
  </si>
  <si>
    <t>ORD-02269</t>
  </si>
  <si>
    <t>SHP-02270</t>
  </si>
  <si>
    <t>ORD-02270</t>
  </si>
  <si>
    <t>SHP-02271</t>
  </si>
  <si>
    <t>ORD-02271</t>
  </si>
  <si>
    <t>SHP-02272</t>
  </si>
  <si>
    <t>ORD-02272</t>
  </si>
  <si>
    <t>SHP-02273</t>
  </si>
  <si>
    <t>ORD-02273</t>
  </si>
  <si>
    <t>SHP-02274</t>
  </si>
  <si>
    <t>ORD-02274</t>
  </si>
  <si>
    <t>SHP-02275</t>
  </si>
  <si>
    <t>ORD-02275</t>
  </si>
  <si>
    <t>SHP-02276</t>
  </si>
  <si>
    <t>ORD-02276</t>
  </si>
  <si>
    <t>SHP-02277</t>
  </si>
  <si>
    <t>ORD-02277</t>
  </si>
  <si>
    <t>SHP-02278</t>
  </si>
  <si>
    <t>ORD-02278</t>
  </si>
  <si>
    <t>SHP-02279</t>
  </si>
  <si>
    <t>ORD-02279</t>
  </si>
  <si>
    <t>SHP-02280</t>
  </si>
  <si>
    <t>ORD-02280</t>
  </si>
  <si>
    <t>SHP-02281</t>
  </si>
  <si>
    <t>ORD-02281</t>
  </si>
  <si>
    <t>SHP-02282</t>
  </si>
  <si>
    <t>ORD-02282</t>
  </si>
  <si>
    <t>SHP-02283</t>
  </si>
  <si>
    <t>ORD-02283</t>
  </si>
  <si>
    <t>SHP-02284</t>
  </si>
  <si>
    <t>ORD-02284</t>
  </si>
  <si>
    <t>SHP-02285</t>
  </si>
  <si>
    <t>ORD-02285</t>
  </si>
  <si>
    <t>SHP-02286</t>
  </si>
  <si>
    <t>ORD-02286</t>
  </si>
  <si>
    <t>SHP-02287</t>
  </si>
  <si>
    <t>ORD-02287</t>
  </si>
  <si>
    <t>SHP-02288</t>
  </si>
  <si>
    <t>ORD-02288</t>
  </si>
  <si>
    <t>SHP-02289</t>
  </si>
  <si>
    <t>ORD-02289</t>
  </si>
  <si>
    <t>SHP-02290</t>
  </si>
  <si>
    <t>ORD-02290</t>
  </si>
  <si>
    <t>SHP-02291</t>
  </si>
  <si>
    <t>ORD-02291</t>
  </si>
  <si>
    <t>SHP-02292</t>
  </si>
  <si>
    <t>ORD-02292</t>
  </si>
  <si>
    <t>SHP-02293</t>
  </si>
  <si>
    <t>ORD-02293</t>
  </si>
  <si>
    <t>SHP-02294</t>
  </si>
  <si>
    <t>ORD-02294</t>
  </si>
  <si>
    <t>SHP-02295</t>
  </si>
  <si>
    <t>ORD-02295</t>
  </si>
  <si>
    <t>SHP-02296</t>
  </si>
  <si>
    <t>ORD-02296</t>
  </si>
  <si>
    <t>SHP-02297</t>
  </si>
  <si>
    <t>ORD-02297</t>
  </si>
  <si>
    <t>SHP-02298</t>
  </si>
  <si>
    <t>ORD-02298</t>
  </si>
  <si>
    <t>SHP-02299</t>
  </si>
  <si>
    <t>ORD-02299</t>
  </si>
  <si>
    <t>SHP-02300</t>
  </si>
  <si>
    <t>ORD-02300</t>
  </si>
  <si>
    <t>SHP-02301</t>
  </si>
  <si>
    <t>ORD-02301</t>
  </si>
  <si>
    <t>SHP-02302</t>
  </si>
  <si>
    <t>ORD-02302</t>
  </si>
  <si>
    <t>SHP-02303</t>
  </si>
  <si>
    <t>ORD-02303</t>
  </si>
  <si>
    <t>SHP-02304</t>
  </si>
  <si>
    <t>ORD-02304</t>
  </si>
  <si>
    <t>SHP-02305</t>
  </si>
  <si>
    <t>ORD-02305</t>
  </si>
  <si>
    <t>SHP-02306</t>
  </si>
  <si>
    <t>ORD-02306</t>
  </si>
  <si>
    <t>SHP-02307</t>
  </si>
  <si>
    <t>ORD-02307</t>
  </si>
  <si>
    <t>SHP-02308</t>
  </si>
  <si>
    <t>ORD-02308</t>
  </si>
  <si>
    <t>SHP-02309</t>
  </si>
  <si>
    <t>ORD-02309</t>
  </si>
  <si>
    <t>SHP-02310</t>
  </si>
  <si>
    <t>ORD-02310</t>
  </si>
  <si>
    <t>SHP-02311</t>
  </si>
  <si>
    <t>ORD-02311</t>
  </si>
  <si>
    <t>SHP-02312</t>
  </si>
  <si>
    <t>ORD-02312</t>
  </si>
  <si>
    <t>SHP-02313</t>
  </si>
  <si>
    <t>ORD-02313</t>
  </si>
  <si>
    <t>SHP-02314</t>
  </si>
  <si>
    <t>ORD-02314</t>
  </si>
  <si>
    <t>SHP-02315</t>
  </si>
  <si>
    <t>ORD-02315</t>
  </si>
  <si>
    <t>SHP-02316</t>
  </si>
  <si>
    <t>ORD-02316</t>
  </si>
  <si>
    <t>SHP-02317</t>
  </si>
  <si>
    <t>ORD-02317</t>
  </si>
  <si>
    <t>SHP-02318</t>
  </si>
  <si>
    <t>ORD-02318</t>
  </si>
  <si>
    <t>SHP-02319</t>
  </si>
  <si>
    <t>ORD-02319</t>
  </si>
  <si>
    <t>SHP-02320</t>
  </si>
  <si>
    <t>ORD-02320</t>
  </si>
  <si>
    <t>SHP-02321</t>
  </si>
  <si>
    <t>ORD-02321</t>
  </si>
  <si>
    <t>SHP-02322</t>
  </si>
  <si>
    <t>ORD-02322</t>
  </si>
  <si>
    <t>SHP-02323</t>
  </si>
  <si>
    <t>ORD-02323</t>
  </si>
  <si>
    <t>SHP-02324</t>
  </si>
  <si>
    <t>ORD-02324</t>
  </si>
  <si>
    <t>SHP-02325</t>
  </si>
  <si>
    <t>ORD-02325</t>
  </si>
  <si>
    <t>SHP-02326</t>
  </si>
  <si>
    <t>ORD-02326</t>
  </si>
  <si>
    <t>SHP-02327</t>
  </si>
  <si>
    <t>ORD-02327</t>
  </si>
  <si>
    <t>SHP-02328</t>
  </si>
  <si>
    <t>ORD-02328</t>
  </si>
  <si>
    <t>SHP-02329</t>
  </si>
  <si>
    <t>ORD-02329</t>
  </si>
  <si>
    <t>SHP-02330</t>
  </si>
  <si>
    <t>ORD-02330</t>
  </si>
  <si>
    <t>SHP-02331</t>
  </si>
  <si>
    <t>ORD-02331</t>
  </si>
  <si>
    <t>SHP-02332</t>
  </si>
  <si>
    <t>ORD-02332</t>
  </si>
  <si>
    <t>SHP-02333</t>
  </si>
  <si>
    <t>ORD-02333</t>
  </si>
  <si>
    <t>SHP-02334</t>
  </si>
  <si>
    <t>ORD-02334</t>
  </si>
  <si>
    <t>SHP-02335</t>
  </si>
  <si>
    <t>ORD-02335</t>
  </si>
  <si>
    <t>SHP-02336</t>
  </si>
  <si>
    <t>ORD-02336</t>
  </si>
  <si>
    <t>SHP-02337</t>
  </si>
  <si>
    <t>ORD-02337</t>
  </si>
  <si>
    <t>SHP-02338</t>
  </si>
  <si>
    <t>ORD-02338</t>
  </si>
  <si>
    <t>SHP-02339</t>
  </si>
  <si>
    <t>ORD-02339</t>
  </si>
  <si>
    <t>SHP-02340</t>
  </si>
  <si>
    <t>ORD-02340</t>
  </si>
  <si>
    <t>SHP-02341</t>
  </si>
  <si>
    <t>ORD-02341</t>
  </si>
  <si>
    <t>SHP-02342</t>
  </si>
  <si>
    <t>ORD-02342</t>
  </si>
  <si>
    <t>SHP-02343</t>
  </si>
  <si>
    <t>ORD-02343</t>
  </si>
  <si>
    <t>SHP-02344</t>
  </si>
  <si>
    <t>ORD-02344</t>
  </si>
  <si>
    <t>SHP-02345</t>
  </si>
  <si>
    <t>ORD-02345</t>
  </si>
  <si>
    <t>SHP-02346</t>
  </si>
  <si>
    <t>ORD-02346</t>
  </si>
  <si>
    <t>SHP-02347</t>
  </si>
  <si>
    <t>ORD-02347</t>
  </si>
  <si>
    <t>SHP-02348</t>
  </si>
  <si>
    <t>ORD-02348</t>
  </si>
  <si>
    <t>SHP-02349</t>
  </si>
  <si>
    <t>ORD-02349</t>
  </si>
  <si>
    <t>SHP-02350</t>
  </si>
  <si>
    <t>ORD-02350</t>
  </si>
  <si>
    <t>SHP-02351</t>
  </si>
  <si>
    <t>ORD-02351</t>
  </si>
  <si>
    <t>SHP-02352</t>
  </si>
  <si>
    <t>ORD-02352</t>
  </si>
  <si>
    <t>SHP-02353</t>
  </si>
  <si>
    <t>ORD-02353</t>
  </si>
  <si>
    <t>SHP-02354</t>
  </si>
  <si>
    <t>ORD-02354</t>
  </si>
  <si>
    <t>SHP-02355</t>
  </si>
  <si>
    <t>ORD-02355</t>
  </si>
  <si>
    <t>SHP-02356</t>
  </si>
  <si>
    <t>ORD-02356</t>
  </si>
  <si>
    <t>SHP-02357</t>
  </si>
  <si>
    <t>ORD-02357</t>
  </si>
  <si>
    <t>SHP-02358</t>
  </si>
  <si>
    <t>ORD-02358</t>
  </si>
  <si>
    <t>SHP-02359</t>
  </si>
  <si>
    <t>ORD-02359</t>
  </si>
  <si>
    <t>SHP-02360</t>
  </si>
  <si>
    <t>ORD-02360</t>
  </si>
  <si>
    <t>SHP-02361</t>
  </si>
  <si>
    <t>ORD-02361</t>
  </si>
  <si>
    <t>SHP-02362</t>
  </si>
  <si>
    <t>ORD-02362</t>
  </si>
  <si>
    <t>SHP-02363</t>
  </si>
  <si>
    <t>ORD-02363</t>
  </si>
  <si>
    <t>SHP-02364</t>
  </si>
  <si>
    <t>ORD-02364</t>
  </si>
  <si>
    <t>SHP-02365</t>
  </si>
  <si>
    <t>ORD-02365</t>
  </si>
  <si>
    <t>SHP-02366</t>
  </si>
  <si>
    <t>ORD-02366</t>
  </si>
  <si>
    <t>SHP-02367</t>
  </si>
  <si>
    <t>ORD-02367</t>
  </si>
  <si>
    <t>SHP-02368</t>
  </si>
  <si>
    <t>ORD-02368</t>
  </si>
  <si>
    <t>SHP-02369</t>
  </si>
  <si>
    <t>ORD-02369</t>
  </si>
  <si>
    <t>SHP-02370</t>
  </si>
  <si>
    <t>ORD-02370</t>
  </si>
  <si>
    <t>SHP-02371</t>
  </si>
  <si>
    <t>ORD-02371</t>
  </si>
  <si>
    <t>SHP-02372</t>
  </si>
  <si>
    <t>ORD-02372</t>
  </si>
  <si>
    <t>SHP-02373</t>
  </si>
  <si>
    <t>ORD-02373</t>
  </si>
  <si>
    <t>SHP-02374</t>
  </si>
  <si>
    <t>ORD-02374</t>
  </si>
  <si>
    <t>SHP-02375</t>
  </si>
  <si>
    <t>ORD-02375</t>
  </si>
  <si>
    <t>SHP-02376</t>
  </si>
  <si>
    <t>ORD-02376</t>
  </si>
  <si>
    <t>SHP-02377</t>
  </si>
  <si>
    <t>ORD-02377</t>
  </si>
  <si>
    <t>SHP-02378</t>
  </si>
  <si>
    <t>ORD-02378</t>
  </si>
  <si>
    <t>SHP-02379</t>
  </si>
  <si>
    <t>ORD-02379</t>
  </si>
  <si>
    <t>SHP-02380</t>
  </si>
  <si>
    <t>ORD-02380</t>
  </si>
  <si>
    <t>SHP-02381</t>
  </si>
  <si>
    <t>ORD-02381</t>
  </si>
  <si>
    <t>SHP-02382</t>
  </si>
  <si>
    <t>ORD-02382</t>
  </si>
  <si>
    <t>SHP-02383</t>
  </si>
  <si>
    <t>ORD-02383</t>
  </si>
  <si>
    <t>SHP-02384</t>
  </si>
  <si>
    <t>ORD-02384</t>
  </si>
  <si>
    <t>SHP-02385</t>
  </si>
  <si>
    <t>ORD-02385</t>
  </si>
  <si>
    <t>SHP-02386</t>
  </si>
  <si>
    <t>ORD-02386</t>
  </si>
  <si>
    <t>SHP-02387</t>
  </si>
  <si>
    <t>ORD-02387</t>
  </si>
  <si>
    <t>SHP-02388</t>
  </si>
  <si>
    <t>ORD-02388</t>
  </si>
  <si>
    <t>SHP-02389</t>
  </si>
  <si>
    <t>ORD-02389</t>
  </si>
  <si>
    <t>SHP-02390</t>
  </si>
  <si>
    <t>ORD-02390</t>
  </si>
  <si>
    <t>SHP-02391</t>
  </si>
  <si>
    <t>ORD-02391</t>
  </si>
  <si>
    <t>SHP-02392</t>
  </si>
  <si>
    <t>ORD-02392</t>
  </si>
  <si>
    <t>SHP-02393</t>
  </si>
  <si>
    <t>ORD-02393</t>
  </si>
  <si>
    <t>SHP-02394</t>
  </si>
  <si>
    <t>ORD-02394</t>
  </si>
  <si>
    <t>SHP-02395</t>
  </si>
  <si>
    <t>ORD-02395</t>
  </si>
  <si>
    <t>SHP-02396</t>
  </si>
  <si>
    <t>ORD-02396</t>
  </si>
  <si>
    <t>SHP-02397</t>
  </si>
  <si>
    <t>ORD-02397</t>
  </si>
  <si>
    <t>SHP-02398</t>
  </si>
  <si>
    <t>ORD-02398</t>
  </si>
  <si>
    <t>SHP-02399</t>
  </si>
  <si>
    <t>ORD-02399</t>
  </si>
  <si>
    <t>SHP-02400</t>
  </si>
  <si>
    <t>ORD-02400</t>
  </si>
  <si>
    <t>SHP-02401</t>
  </si>
  <si>
    <t>ORD-02401</t>
  </si>
  <si>
    <t>SHP-02402</t>
  </si>
  <si>
    <t>ORD-02402</t>
  </si>
  <si>
    <t>SHP-02403</t>
  </si>
  <si>
    <t>ORD-02403</t>
  </si>
  <si>
    <t>SHP-02404</t>
  </si>
  <si>
    <t>ORD-02404</t>
  </si>
  <si>
    <t>SHP-02405</t>
  </si>
  <si>
    <t>ORD-02405</t>
  </si>
  <si>
    <t>SHP-02406</t>
  </si>
  <si>
    <t>ORD-02406</t>
  </si>
  <si>
    <t>SHP-02407</t>
  </si>
  <si>
    <t>ORD-02407</t>
  </si>
  <si>
    <t>SHP-02408</t>
  </si>
  <si>
    <t>ORD-02408</t>
  </si>
  <si>
    <t>SHP-02409</t>
  </si>
  <si>
    <t>ORD-02409</t>
  </si>
  <si>
    <t>SHP-02410</t>
  </si>
  <si>
    <t>ORD-02410</t>
  </si>
  <si>
    <t>SHP-02411</t>
  </si>
  <si>
    <t>ORD-02411</t>
  </si>
  <si>
    <t>SHP-02412</t>
  </si>
  <si>
    <t>ORD-02412</t>
  </si>
  <si>
    <t>SHP-02413</t>
  </si>
  <si>
    <t>ORD-02413</t>
  </si>
  <si>
    <t>SHP-02414</t>
  </si>
  <si>
    <t>ORD-02414</t>
  </si>
  <si>
    <t>SHP-02415</t>
  </si>
  <si>
    <t>ORD-02415</t>
  </si>
  <si>
    <t>SHP-02416</t>
  </si>
  <si>
    <t>ORD-02416</t>
  </si>
  <si>
    <t>SHP-02417</t>
  </si>
  <si>
    <t>ORD-02417</t>
  </si>
  <si>
    <t>SHP-02418</t>
  </si>
  <si>
    <t>ORD-02418</t>
  </si>
  <si>
    <t>SHP-02419</t>
  </si>
  <si>
    <t>ORD-02419</t>
  </si>
  <si>
    <t>SHP-02420</t>
  </si>
  <si>
    <t>ORD-02420</t>
  </si>
  <si>
    <t>SHP-02421</t>
  </si>
  <si>
    <t>ORD-02421</t>
  </si>
  <si>
    <t>SHP-02422</t>
  </si>
  <si>
    <t>ORD-02422</t>
  </si>
  <si>
    <t>SHP-02423</t>
  </si>
  <si>
    <t>ORD-02423</t>
  </si>
  <si>
    <t>SHP-02424</t>
  </si>
  <si>
    <t>ORD-02424</t>
  </si>
  <si>
    <t>SHP-02425</t>
  </si>
  <si>
    <t>ORD-02425</t>
  </si>
  <si>
    <t>SHP-02426</t>
  </si>
  <si>
    <t>ORD-02426</t>
  </si>
  <si>
    <t>SHP-02427</t>
  </si>
  <si>
    <t>ORD-02427</t>
  </si>
  <si>
    <t>SHP-02428</t>
  </si>
  <si>
    <t>ORD-02428</t>
  </si>
  <si>
    <t>SHP-02429</t>
  </si>
  <si>
    <t>ORD-02429</t>
  </si>
  <si>
    <t>Lead_Time</t>
  </si>
  <si>
    <t>Delay</t>
  </si>
  <si>
    <t>OT</t>
  </si>
  <si>
    <t>IF</t>
  </si>
  <si>
    <t>QuantityOrdered</t>
  </si>
  <si>
    <t>ONIF</t>
  </si>
  <si>
    <t>KPI</t>
  </si>
  <si>
    <t>Value</t>
  </si>
  <si>
    <t>Total Shipments</t>
  </si>
  <si>
    <t>On-Time Delivery %</t>
  </si>
  <si>
    <t>In-Full %</t>
  </si>
  <si>
    <t>OTIF %</t>
  </si>
  <si>
    <t>Average Lead Time (Days)</t>
  </si>
  <si>
    <t>Average Delay (Days)</t>
  </si>
  <si>
    <t>Shipment &amp; Delivery Performance KPI Analysis</t>
  </si>
  <si>
    <t>ON-TIME DELIVERY</t>
  </si>
  <si>
    <t>Delivery Status</t>
  </si>
  <si>
    <t>Shipments</t>
  </si>
  <si>
    <t>On-Time</t>
  </si>
  <si>
    <t>Late</t>
  </si>
  <si>
    <t>Fulfillment Status</t>
  </si>
  <si>
    <t>In-Full</t>
  </si>
  <si>
    <t>Not In-Full</t>
  </si>
  <si>
    <t>OTIF Status</t>
  </si>
  <si>
    <t>OTIF</t>
  </si>
  <si>
    <t>NOT OTIF</t>
  </si>
  <si>
    <t>KEY BUSINESS INSIGHTS</t>
  </si>
  <si>
    <t>• On-Time Delivery is only 23%, indicating significant delivery delays.</t>
  </si>
  <si>
    <t>• 82% of shipments were fulfilled in full, showing strong order fulfillment.</t>
  </si>
  <si>
    <t>• OTIF performance is only 20%, highlighting an overall service-level gap.</t>
  </si>
  <si>
    <t>• Average shipment delay is 6.92 days, indicating a major opportunity to improve delivery efficiency.</t>
  </si>
  <si>
    <t>• Average lead time is 10.42 days, indicating scope to improve overall delivery speed.</t>
  </si>
  <si>
    <t>OTIF Failure Type</t>
  </si>
  <si>
    <t>Late + In-Full</t>
  </si>
  <si>
    <t>On-Time + Not In-Full</t>
  </si>
  <si>
    <t>Avg Delay</t>
  </si>
  <si>
    <t>• Delhivery has the lowest OTIF performance (18%) and highest average delay (5.19 days), indicating a potential carrier-level performance issue.</t>
  </si>
  <si>
    <t>Rank</t>
  </si>
  <si>
    <t>Business Finding</t>
  </si>
  <si>
    <t>Recommendation</t>
  </si>
  <si>
    <t>Late delivery is the main OTIF failure</t>
  </si>
  <si>
    <t>Focus on reducing delivery delays and improving carrier turnaround time</t>
  </si>
  <si>
    <t>Delhivery has the lowest OTIF</t>
  </si>
  <si>
    <t>Review Delhivery's delivery performance and investigate recurring delays</t>
  </si>
  <si>
    <t>Average delay is 6.92 days overall</t>
  </si>
  <si>
    <t>Identify major delay drivers and establish corrective actions</t>
  </si>
  <si>
    <t>• Late delivery is the primary driver of OTIF failures, with 1,506 shipments being Late + In-Full.</t>
  </si>
  <si>
    <t>1. Improve delivery timeliness</t>
  </si>
  <si>
    <t>2. Review Delhivery performance</t>
  </si>
  <si>
    <t>3. Focus on Late + In-Full shipments</t>
  </si>
  <si>
    <t>4. Reduce overall lead time</t>
  </si>
  <si>
    <t xml:space="preserve">    The average lead time of 10.42 days indicates an opportunity to improve transportation and fulfillment efficiency.</t>
  </si>
  <si>
    <t xml:space="preserve">    There are 1,506 Late + In-Full shipments, making late delivery the major contributor to OTIF failures.</t>
  </si>
  <si>
    <t xml:space="preserve">    Delhivery has the highest average delay at 5.19 days and the lowest OTIF at 18%, suggesting a need for carrier-level performance review.</t>
  </si>
  <si>
    <t>BUSINESS RECOMMENDATIONS</t>
  </si>
  <si>
    <t xml:space="preserve">     On-Time Delivery is only 23%, so investigate shipment delays and carrier delivery performance.</t>
  </si>
  <si>
    <r>
      <rPr>
        <b/>
        <sz val="16"/>
        <color theme="1"/>
        <rFont val="Calibri"/>
        <family val="2"/>
      </rPr>
      <t>Analysis:</t>
    </r>
    <r>
      <rPr>
        <sz val="16"/>
        <color theme="1"/>
        <rFont val="Calibri"/>
        <family val="2"/>
      </rPr>
      <t xml:space="preserve"> Shipment Performance &amp; OTIF Analysis</t>
    </r>
  </si>
  <si>
    <r>
      <t>Data Source:</t>
    </r>
    <r>
      <rPr>
        <sz val="16"/>
        <color theme="1"/>
        <rFont val="Calibri"/>
        <family val="2"/>
      </rPr>
      <t xml:space="preserve"> Shipment &amp; Delivery Dataset</t>
    </r>
  </si>
  <si>
    <r>
      <t xml:space="preserve">Analysis Period: </t>
    </r>
    <r>
      <rPr>
        <sz val="16"/>
        <color theme="1"/>
        <rFont val="Calibri"/>
        <family val="2"/>
      </rPr>
      <t>09-Jan-2025 – 15-Jan-2026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</si>
</sst>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dd\-mmm\-yy"/>
    <numFmt numFmtId="165" formatCode="_ * #,##0_ ;_ * \-#,##0_ ;_ * &quot;-&quot;??_ ;_ @_ "/>
  </numFmts>
  <fonts count="19" x14ac:knownFonts="1"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rgb="FF0070C0"/>
      <name val="Calibri"/>
      <family val="2"/>
    </font>
    <font>
      <b/>
      <sz val="11"/>
      <color rgb="FFFFFFFF"/>
      <name val="Arial"/>
      <family val="2"/>
    </font>
    <font>
      <sz val="12"/>
      <color theme="8" tint="-0.249977111117893"/>
      <name val="Calibri"/>
      <family val="2"/>
    </font>
    <font>
      <b/>
      <sz val="14"/>
      <color theme="1"/>
      <name val="Calibri"/>
      <family val="2"/>
    </font>
    <font>
      <b/>
      <sz val="14"/>
      <color theme="8" tint="-0.249977111117893"/>
      <name val="Calibri"/>
      <family val="2"/>
    </font>
    <font>
      <b/>
      <sz val="14"/>
      <color theme="0"/>
      <name val="Calibri"/>
      <family val="2"/>
    </font>
    <font>
      <b/>
      <sz val="16"/>
      <color theme="2"/>
      <name val="Calibri"/>
      <family val="2"/>
    </font>
    <font>
      <sz val="16"/>
      <color theme="1"/>
      <name val="Calibri"/>
      <family val="2"/>
      <charset val="1"/>
    </font>
    <font>
      <sz val="12"/>
      <color theme="1"/>
      <name val="Calibri"/>
      <family val="2"/>
    </font>
    <font>
      <b/>
      <sz val="16"/>
      <color theme="1"/>
      <name val="Calibri"/>
      <family val="2"/>
    </font>
    <font>
      <sz val="11"/>
      <color theme="1"/>
      <name val="Calibri"/>
      <family val="2"/>
    </font>
    <font>
      <sz val="16"/>
      <color theme="1"/>
      <name val="Calibri"/>
      <family val="2"/>
    </font>
    <font>
      <b/>
      <sz val="14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1F3864"/>
        <bgColor rgb="FF2E5395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-0.499984740745262"/>
        <bgColor indexed="64"/>
      </patternFill>
    </fill>
  </fills>
  <borders count="1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63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164" fontId="1" fillId="2" borderId="1" xfId="0" applyNumberFormat="1" applyFont="1" applyFill="1" applyBorder="1"/>
    <xf numFmtId="0" fontId="1" fillId="3" borderId="1" xfId="0" applyFont="1" applyFill="1" applyBorder="1"/>
    <xf numFmtId="164" fontId="1" fillId="3" borderId="1" xfId="0" applyNumberFormat="1" applyFont="1" applyFill="1" applyBorder="1"/>
    <xf numFmtId="0" fontId="2" fillId="4" borderId="2" xfId="0" applyFont="1" applyFill="1" applyBorder="1" applyAlignment="1">
      <alignment horizontal="center" vertical="center" wrapText="1"/>
    </xf>
    <xf numFmtId="165" fontId="5" fillId="5" borderId="4" xfId="1" applyNumberFormat="1" applyFont="1" applyFill="1" applyBorder="1" applyAlignment="1">
      <alignment vertical="center"/>
    </xf>
    <xf numFmtId="3" fontId="6" fillId="5" borderId="4" xfId="1" applyNumberFormat="1" applyFont="1" applyFill="1" applyBorder="1" applyAlignment="1">
      <alignment horizontal="center" vertical="center"/>
    </xf>
    <xf numFmtId="9" fontId="6" fillId="5" borderId="4" xfId="2" applyFont="1" applyFill="1" applyBorder="1" applyAlignment="1">
      <alignment horizontal="center" vertical="center"/>
    </xf>
    <xf numFmtId="2" fontId="6" fillId="5" borderId="4" xfId="0" applyNumberFormat="1" applyFont="1" applyFill="1" applyBorder="1" applyAlignment="1">
      <alignment horizontal="center" vertical="center"/>
    </xf>
    <xf numFmtId="2" fontId="8" fillId="5" borderId="4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7" fillId="4" borderId="5" xfId="0" applyFont="1" applyFill="1" applyBorder="1" applyAlignment="1">
      <alignment horizontal="center" vertical="center" wrapText="1"/>
    </xf>
    <xf numFmtId="165" fontId="5" fillId="5" borderId="6" xfId="1" applyNumberFormat="1" applyFont="1" applyFill="1" applyBorder="1" applyAlignment="1">
      <alignment vertical="center"/>
    </xf>
    <xf numFmtId="9" fontId="6" fillId="5" borderId="6" xfId="2" applyFont="1" applyFill="1" applyBorder="1" applyAlignment="1">
      <alignment horizontal="center" vertical="center"/>
    </xf>
    <xf numFmtId="165" fontId="9" fillId="5" borderId="4" xfId="1" applyNumberFormat="1" applyFont="1" applyFill="1" applyBorder="1" applyAlignment="1">
      <alignment horizontal="left" vertical="center"/>
    </xf>
    <xf numFmtId="0" fontId="7" fillId="4" borderId="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3" fontId="11" fillId="6" borderId="0" xfId="0" applyNumberFormat="1" applyFont="1" applyFill="1" applyAlignment="1">
      <alignment horizontal="center" vertical="center"/>
    </xf>
    <xf numFmtId="3" fontId="11" fillId="6" borderId="0" xfId="0" applyNumberFormat="1" applyFont="1" applyFill="1" applyAlignment="1">
      <alignment horizontal="center"/>
    </xf>
    <xf numFmtId="9" fontId="11" fillId="6" borderId="0" xfId="0" applyNumberFormat="1" applyFont="1" applyFill="1" applyAlignment="1">
      <alignment horizontal="center"/>
    </xf>
    <xf numFmtId="3" fontId="11" fillId="6" borderId="0" xfId="0" applyNumberFormat="1" applyFont="1" applyFill="1" applyAlignment="1">
      <alignment horizontal="left" vertical="center" indent="5"/>
    </xf>
    <xf numFmtId="2" fontId="11" fillId="6" borderId="0" xfId="0" applyNumberFormat="1" applyFont="1" applyFill="1" applyAlignment="1">
      <alignment horizontal="center"/>
    </xf>
    <xf numFmtId="165" fontId="12" fillId="6" borderId="0" xfId="1" applyNumberFormat="1" applyFont="1" applyFill="1" applyBorder="1" applyAlignment="1">
      <alignment horizontal="left" vertical="center" indent="8"/>
    </xf>
    <xf numFmtId="0" fontId="0" fillId="0" borderId="0" xfId="0" applyAlignment="1">
      <alignment horizontal="left" indent="11"/>
    </xf>
    <xf numFmtId="0" fontId="7" fillId="4" borderId="0" xfId="0" applyFont="1" applyFill="1" applyAlignment="1">
      <alignment horizontal="center" vertical="center" wrapText="1"/>
    </xf>
    <xf numFmtId="0" fontId="15" fillId="0" borderId="0" xfId="0" applyFont="1"/>
    <xf numFmtId="0" fontId="0" fillId="0" borderId="0" xfId="0"/>
    <xf numFmtId="0" fontId="15" fillId="7" borderId="0" xfId="0" applyFont="1" applyFill="1" applyAlignment="1">
      <alignment wrapText="1"/>
    </xf>
    <xf numFmtId="0" fontId="13" fillId="7" borderId="0" xfId="0" applyFont="1" applyFill="1" applyAlignment="1">
      <alignment wrapText="1"/>
    </xf>
    <xf numFmtId="0" fontId="17" fillId="0" borderId="0" xfId="0" applyFont="1"/>
    <xf numFmtId="0" fontId="16" fillId="0" borderId="0" xfId="0" applyFont="1"/>
    <xf numFmtId="0" fontId="13" fillId="7" borderId="0" xfId="0" applyFont="1" applyFill="1"/>
    <xf numFmtId="165" fontId="12" fillId="8" borderId="0" xfId="1" applyNumberFormat="1" applyFont="1" applyFill="1" applyBorder="1" applyAlignment="1">
      <alignment horizontal="center" vertical="center"/>
    </xf>
    <xf numFmtId="3" fontId="18" fillId="7" borderId="7" xfId="0" applyNumberFormat="1" applyFont="1" applyFill="1" applyBorder="1" applyAlignment="1">
      <alignment horizontal="center" vertical="center"/>
    </xf>
    <xf numFmtId="3" fontId="18" fillId="7" borderId="8" xfId="0" applyNumberFormat="1" applyFont="1" applyFill="1" applyBorder="1" applyAlignment="1">
      <alignment horizontal="center" vertical="center"/>
    </xf>
    <xf numFmtId="3" fontId="18" fillId="7" borderId="9" xfId="0" applyNumberFormat="1" applyFont="1" applyFill="1" applyBorder="1" applyAlignment="1">
      <alignment horizontal="center" vertical="center"/>
    </xf>
    <xf numFmtId="3" fontId="10" fillId="7" borderId="10" xfId="0" applyNumberFormat="1" applyFont="1" applyFill="1" applyBorder="1" applyAlignment="1">
      <alignment horizontal="center"/>
    </xf>
    <xf numFmtId="3" fontId="10" fillId="7" borderId="3" xfId="0" applyNumberFormat="1" applyFont="1" applyFill="1" applyBorder="1" applyAlignment="1">
      <alignment horizontal="center"/>
    </xf>
    <xf numFmtId="3" fontId="10" fillId="7" borderId="11" xfId="0" applyNumberFormat="1" applyFont="1" applyFill="1" applyBorder="1" applyAlignment="1">
      <alignment horizontal="center"/>
    </xf>
    <xf numFmtId="3" fontId="9" fillId="7" borderId="8" xfId="0" applyNumberFormat="1" applyFont="1" applyFill="1" applyBorder="1" applyAlignment="1">
      <alignment horizontal="center" vertical="center"/>
    </xf>
    <xf numFmtId="3" fontId="9" fillId="7" borderId="9" xfId="0" applyNumberFormat="1" applyFont="1" applyFill="1" applyBorder="1" applyAlignment="1">
      <alignment horizontal="center" vertical="center"/>
    </xf>
    <xf numFmtId="9" fontId="10" fillId="7" borderId="10" xfId="0" applyNumberFormat="1" applyFont="1" applyFill="1" applyBorder="1" applyAlignment="1">
      <alignment horizontal="center"/>
    </xf>
    <xf numFmtId="9" fontId="10" fillId="7" borderId="3" xfId="0" applyNumberFormat="1" applyFont="1" applyFill="1" applyBorder="1" applyAlignment="1">
      <alignment horizontal="center"/>
    </xf>
    <xf numFmtId="9" fontId="10" fillId="7" borderId="11" xfId="0" applyNumberFormat="1" applyFont="1" applyFill="1" applyBorder="1" applyAlignment="1">
      <alignment horizontal="center"/>
    </xf>
    <xf numFmtId="9" fontId="10" fillId="7" borderId="10" xfId="0" applyNumberFormat="1" applyFont="1" applyFill="1" applyBorder="1" applyAlignment="1">
      <alignment horizontal="center" vertical="center"/>
    </xf>
    <xf numFmtId="9" fontId="10" fillId="7" borderId="3" xfId="0" applyNumberFormat="1" applyFont="1" applyFill="1" applyBorder="1" applyAlignment="1">
      <alignment horizontal="center" vertical="center"/>
    </xf>
    <xf numFmtId="9" fontId="10" fillId="7" borderId="11" xfId="0" applyNumberFormat="1" applyFont="1" applyFill="1" applyBorder="1" applyAlignment="1">
      <alignment horizontal="center" vertical="center"/>
    </xf>
    <xf numFmtId="2" fontId="10" fillId="7" borderId="10" xfId="0" applyNumberFormat="1" applyFont="1" applyFill="1" applyBorder="1" applyAlignment="1">
      <alignment horizontal="center"/>
    </xf>
    <xf numFmtId="2" fontId="10" fillId="7" borderId="3" xfId="0" applyNumberFormat="1" applyFont="1" applyFill="1" applyBorder="1" applyAlignment="1">
      <alignment horizontal="center"/>
    </xf>
    <xf numFmtId="2" fontId="10" fillId="7" borderId="11" xfId="0" applyNumberFormat="1" applyFont="1" applyFill="1" applyBorder="1" applyAlignment="1">
      <alignment horizontal="center"/>
    </xf>
    <xf numFmtId="2" fontId="10" fillId="7" borderId="10" xfId="0" applyNumberFormat="1" applyFont="1" applyFill="1" applyBorder="1" applyAlignment="1">
      <alignment horizontal="center" vertical="center"/>
    </xf>
    <xf numFmtId="2" fontId="10" fillId="7" borderId="3" xfId="0" applyNumberFormat="1" applyFont="1" applyFill="1" applyBorder="1" applyAlignment="1">
      <alignment horizontal="center" vertical="center"/>
    </xf>
    <xf numFmtId="2" fontId="10" fillId="7" borderId="11" xfId="0" applyNumberFormat="1" applyFont="1" applyFill="1" applyBorder="1" applyAlignment="1">
      <alignment horizontal="center" vertical="center"/>
    </xf>
    <xf numFmtId="3" fontId="14" fillId="5" borderId="12" xfId="1" applyNumberFormat="1" applyFont="1" applyFill="1" applyBorder="1" applyAlignment="1">
      <alignment horizontal="center" vertical="center"/>
    </xf>
    <xf numFmtId="3" fontId="14" fillId="5" borderId="13" xfId="1" applyNumberFormat="1" applyFont="1" applyFill="1" applyBorder="1" applyAlignment="1">
      <alignment horizontal="center" vertical="center"/>
    </xf>
    <xf numFmtId="3" fontId="14" fillId="5" borderId="14" xfId="1" applyNumberFormat="1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6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699"/>
      <rgbColor rgb="FFFCE4E4"/>
      <rgbColor rgb="FFFCE4D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600">
                <a:solidFill>
                  <a:schemeClr val="tx1"/>
                </a:solidFill>
              </a:rPr>
              <a:t>On-Time vs Late Shipments</a:t>
            </a:r>
            <a:endParaRPr lang="en-US" sz="160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2270363352059403"/>
          <c:y val="4.35818363616970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1530924207099805E-2"/>
          <c:y val="0.16918585427127614"/>
          <c:w val="0.87129396325459318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Calculations!$B$10</c:f>
              <c:strCache>
                <c:ptCount val="1"/>
                <c:pt idx="0">
                  <c:v>Shipments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Calculations!$A$11:$A$12</c:f>
              <c:strCache>
                <c:ptCount val="2"/>
                <c:pt idx="0">
                  <c:v> On-Time </c:v>
                </c:pt>
                <c:pt idx="1">
                  <c:v> Late </c:v>
                </c:pt>
              </c:strCache>
            </c:strRef>
          </c:cat>
          <c:val>
            <c:numRef>
              <c:f>Calculations!$B$11:$B$12</c:f>
              <c:numCache>
                <c:formatCode>#,##0</c:formatCode>
                <c:ptCount val="2"/>
                <c:pt idx="0">
                  <c:v>565</c:v>
                </c:pt>
                <c:pt idx="1">
                  <c:v>1864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64-4796-9BB1-6997468C492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83126464"/>
        <c:axId val="1478787856"/>
      </c:barChart>
      <c:catAx>
        <c:axId val="168312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787856"/>
        <c:crosses val="autoZero"/>
        <c:auto val="1"/>
        <c:lblAlgn val="ctr"/>
        <c:lblOffset val="100"/>
        <c:noMultiLvlLbl val="0"/>
      </c:catAx>
      <c:valAx>
        <c:axId val="1478787856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68312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42000">
          <a:schemeClr val="accent5">
            <a:lumMod val="40000"/>
            <a:lumOff val="60000"/>
          </a:schemeClr>
        </a:gs>
        <a:gs pos="65000">
          <a:schemeClr val="accent1">
            <a:lumMod val="45000"/>
            <a:lumOff val="55000"/>
          </a:schemeClr>
        </a:gs>
        <a:gs pos="80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  <a:tileRect/>
    </a:gradFill>
    <a:ln w="9525" cap="flat" cmpd="sng" algn="ctr">
      <a:gradFill>
        <a:gsLst>
          <a:gs pos="4500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IN" sz="1600" b="1" i="0" u="none" strike="noStrike" normalizeH="0" baseline="0">
                <a:solidFill>
                  <a:schemeClr val="tx1"/>
                </a:solidFill>
                <a:latin typeface="+mn-lt"/>
              </a:rPr>
              <a:t>OTIF Performance (%)</a:t>
            </a:r>
            <a:endParaRPr lang="en-US" b="1">
              <a:solidFill>
                <a:schemeClr val="tx1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27317175196850391"/>
          <c:y val="3.94737046589850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Calculations!$B$22</c:f>
              <c:strCache>
                <c:ptCount val="1"/>
                <c:pt idx="0">
                  <c:v>Shipments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18A-4B57-91DF-669D7C274B0A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18A-4B57-91DF-669D7C274B0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Calculations!$A$23:$A$24</c:f>
              <c:strCache>
                <c:ptCount val="2"/>
                <c:pt idx="0">
                  <c:v> OTIF </c:v>
                </c:pt>
                <c:pt idx="1">
                  <c:v> NOT OTIF </c:v>
                </c:pt>
              </c:strCache>
            </c:strRef>
          </c:cat>
          <c:val>
            <c:numRef>
              <c:f>Calculations!$B$23:$B$24</c:f>
              <c:numCache>
                <c:formatCode>#,##0</c:formatCode>
                <c:ptCount val="2"/>
                <c:pt idx="0">
                  <c:v>475</c:v>
                </c:pt>
                <c:pt idx="1">
                  <c:v>1954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8A-4B57-91DF-669D7C274B0A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5">
            <a:lumMod val="40000"/>
            <a:lumOff val="60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solidFill>
                  <a:schemeClr val="tx1"/>
                </a:solidFill>
              </a:rPr>
              <a:t>Average Delay by Carrier (Days)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3"/>
          <c:order val="0"/>
          <c:tx>
            <c:strRef>
              <c:f>Calculations!$J$1</c:f>
              <c:strCache>
                <c:ptCount val="1"/>
                <c:pt idx="0">
                  <c:v>Avg Delay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Calculations!$G$2:$G$6</c:f>
              <c:strCache>
                <c:ptCount val="5"/>
                <c:pt idx="0">
                  <c:v> FedEx </c:v>
                </c:pt>
                <c:pt idx="1">
                  <c:v> Ekart </c:v>
                </c:pt>
                <c:pt idx="2">
                  <c:v> BlueDart </c:v>
                </c:pt>
                <c:pt idx="3">
                  <c:v> DHL </c:v>
                </c:pt>
                <c:pt idx="4">
                  <c:v> Delhivery </c:v>
                </c:pt>
              </c:strCache>
            </c:strRef>
          </c:cat>
          <c:val>
            <c:numRef>
              <c:f>Calculations!$J$2:$J$6</c:f>
              <c:numCache>
                <c:formatCode>0.00</c:formatCode>
                <c:ptCount val="5"/>
                <c:pt idx="0">
                  <c:v>4.4955156950672643</c:v>
                </c:pt>
                <c:pt idx="1">
                  <c:v>4.6505263157894738</c:v>
                </c:pt>
                <c:pt idx="2">
                  <c:v>4.758064516129032</c:v>
                </c:pt>
                <c:pt idx="3">
                  <c:v>5.1428571428571432</c:v>
                </c:pt>
                <c:pt idx="4">
                  <c:v>5.1916167664670656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B49-4189-A198-345687445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1209251904"/>
        <c:axId val="891887599"/>
      </c:barChart>
      <c:catAx>
        <c:axId val="1209251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887599"/>
        <c:crosses val="autoZero"/>
        <c:auto val="1"/>
        <c:lblAlgn val="ctr"/>
        <c:lblOffset val="100"/>
        <c:noMultiLvlLbl val="0"/>
      </c:catAx>
      <c:valAx>
        <c:axId val="891887599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1209251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5">
            <a:lumMod val="40000"/>
            <a:lumOff val="60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11</xdr:row>
      <xdr:rowOff>152400</xdr:rowOff>
    </xdr:from>
    <xdr:to>
      <xdr:col>4</xdr:col>
      <xdr:colOff>216021</xdr:colOff>
      <xdr:row>24</xdr:row>
      <xdr:rowOff>128211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F9ACBA-9432-9966-8EF0-7973613E57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396240</xdr:colOff>
      <xdr:row>11</xdr:row>
      <xdr:rowOff>172720</xdr:rowOff>
    </xdr:from>
    <xdr:to>
      <xdr:col>9</xdr:col>
      <xdr:colOff>396240</xdr:colOff>
      <xdr:row>24</xdr:row>
      <xdr:rowOff>120227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3008ED5-579D-65AC-D1DF-B8485CED6A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50800</xdr:colOff>
      <xdr:row>11</xdr:row>
      <xdr:rowOff>152400</xdr:rowOff>
    </xdr:from>
    <xdr:to>
      <xdr:col>16</xdr:col>
      <xdr:colOff>487680</xdr:colOff>
      <xdr:row>24</xdr:row>
      <xdr:rowOff>71120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3B759D-209A-4534-AF4F-EB8CA2836F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30"/>
  <sheetViews>
    <sheetView workbookViewId="0">
      <selection activeCell="T11" sqref="T11"/>
    </sheetView>
  </sheetViews>
  <sheetFormatPr defaultRowHeight="14.4" x14ac:dyDescent="0.3"/>
  <cols>
    <col min="1" max="1" width="13.88671875" customWidth="1"/>
    <col min="3" max="3" width="14.109375" customWidth="1"/>
    <col min="4" max="4" width="14.6640625" customWidth="1"/>
    <col min="5" max="5" width="17.5546875" customWidth="1"/>
    <col min="6" max="6" width="22.109375" customWidth="1"/>
    <col min="8" max="8" width="17.21875" customWidth="1"/>
    <col min="9" max="9" width="25" customWidth="1"/>
    <col min="10" max="10" width="14.21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4883</v>
      </c>
      <c r="J1" s="1" t="s">
        <v>4879</v>
      </c>
      <c r="K1" s="1" t="s">
        <v>4880</v>
      </c>
      <c r="L1" s="1" t="s">
        <v>4881</v>
      </c>
      <c r="M1" s="1" t="s">
        <v>4882</v>
      </c>
      <c r="N1" s="6" t="s">
        <v>4884</v>
      </c>
    </row>
    <row r="2" spans="1:14" x14ac:dyDescent="0.3">
      <c r="A2" s="2" t="s">
        <v>8</v>
      </c>
      <c r="B2" s="2" t="s">
        <v>9</v>
      </c>
      <c r="C2" s="2" t="s">
        <v>10</v>
      </c>
      <c r="D2" s="3">
        <v>45659</v>
      </c>
      <c r="E2" s="3">
        <v>45668</v>
      </c>
      <c r="F2" s="3">
        <v>45666</v>
      </c>
      <c r="G2" s="2" t="s">
        <v>11</v>
      </c>
      <c r="H2" s="2">
        <v>11</v>
      </c>
      <c r="I2" s="2">
        <v>11</v>
      </c>
      <c r="J2">
        <f>F2-D2</f>
        <v>7</v>
      </c>
      <c r="K2">
        <f>F2-E2</f>
        <v>-2</v>
      </c>
      <c r="L2" t="str">
        <f>IF(K2&lt;=0,"Yes","No")</f>
        <v>Yes</v>
      </c>
      <c r="M2" t="str">
        <f>IF(H2=I2,"Yes","No")</f>
        <v>Yes</v>
      </c>
      <c r="N2" t="str">
        <f>IF(AND(L2="Yes",M2="Yes"),"Yes","No")</f>
        <v>Yes</v>
      </c>
    </row>
    <row r="3" spans="1:14" x14ac:dyDescent="0.3">
      <c r="A3" s="4" t="s">
        <v>12</v>
      </c>
      <c r="B3" s="4" t="s">
        <v>13</v>
      </c>
      <c r="C3" s="4" t="s">
        <v>14</v>
      </c>
      <c r="D3" s="5">
        <v>45658</v>
      </c>
      <c r="E3" s="5">
        <v>45666</v>
      </c>
      <c r="F3" s="5">
        <v>45675</v>
      </c>
      <c r="G3" s="4" t="s">
        <v>15</v>
      </c>
      <c r="H3" s="4">
        <v>6</v>
      </c>
      <c r="I3" s="2">
        <v>9</v>
      </c>
      <c r="J3">
        <f t="shared" ref="J3:J66" si="0">F3-D3</f>
        <v>17</v>
      </c>
      <c r="K3">
        <f t="shared" ref="K3:K66" si="1">F3-E3</f>
        <v>9</v>
      </c>
      <c r="L3" t="str">
        <f t="shared" ref="L3:L66" si="2">IF(K3&lt;=0,"Yes","No")</f>
        <v>No</v>
      </c>
      <c r="M3" t="str">
        <f>IF(H3=I3,"Yes","No")</f>
        <v>No</v>
      </c>
      <c r="N3" t="str">
        <f t="shared" ref="N3:N66" si="3">IF(AND(L3="Yes",M3="Yes"),"Yes","No")</f>
        <v>No</v>
      </c>
    </row>
    <row r="4" spans="1:14" x14ac:dyDescent="0.3">
      <c r="A4" s="2" t="s">
        <v>16</v>
      </c>
      <c r="B4" s="2" t="s">
        <v>17</v>
      </c>
      <c r="C4" s="2" t="s">
        <v>14</v>
      </c>
      <c r="D4" s="3">
        <v>45658</v>
      </c>
      <c r="E4" s="3">
        <v>45662</v>
      </c>
      <c r="F4" s="3">
        <v>45673</v>
      </c>
      <c r="G4" s="2" t="s">
        <v>18</v>
      </c>
      <c r="H4" s="2">
        <v>19</v>
      </c>
      <c r="I4" s="2">
        <v>19</v>
      </c>
      <c r="J4">
        <f t="shared" si="0"/>
        <v>15</v>
      </c>
      <c r="K4">
        <f t="shared" si="1"/>
        <v>11</v>
      </c>
      <c r="L4" t="str">
        <f t="shared" si="2"/>
        <v>No</v>
      </c>
      <c r="M4" t="str">
        <f t="shared" ref="M4:M67" si="4">IF(H4=I4,"Yes","No")</f>
        <v>Yes</v>
      </c>
      <c r="N4" t="str">
        <f t="shared" si="3"/>
        <v>No</v>
      </c>
    </row>
    <row r="5" spans="1:14" x14ac:dyDescent="0.3">
      <c r="A5" s="4" t="s">
        <v>19</v>
      </c>
      <c r="B5" s="4" t="s">
        <v>20</v>
      </c>
      <c r="C5" s="4" t="s">
        <v>21</v>
      </c>
      <c r="D5" s="5">
        <v>45660</v>
      </c>
      <c r="E5" s="5">
        <v>45664</v>
      </c>
      <c r="F5" s="5">
        <v>45670</v>
      </c>
      <c r="G5" s="4" t="s">
        <v>22</v>
      </c>
      <c r="H5" s="4">
        <v>33</v>
      </c>
      <c r="I5" s="2">
        <v>33</v>
      </c>
      <c r="J5">
        <f t="shared" si="0"/>
        <v>10</v>
      </c>
      <c r="K5">
        <f t="shared" si="1"/>
        <v>6</v>
      </c>
      <c r="L5" t="str">
        <f t="shared" si="2"/>
        <v>No</v>
      </c>
      <c r="M5" t="str">
        <f t="shared" si="4"/>
        <v>Yes</v>
      </c>
      <c r="N5" t="str">
        <f t="shared" si="3"/>
        <v>No</v>
      </c>
    </row>
    <row r="6" spans="1:14" x14ac:dyDescent="0.3">
      <c r="A6" s="2" t="s">
        <v>23</v>
      </c>
      <c r="B6" s="2" t="s">
        <v>24</v>
      </c>
      <c r="C6" s="2" t="s">
        <v>21</v>
      </c>
      <c r="D6" s="3">
        <v>45658</v>
      </c>
      <c r="E6" s="3">
        <v>45668</v>
      </c>
      <c r="F6" s="3">
        <v>45664</v>
      </c>
      <c r="G6" s="2" t="s">
        <v>22</v>
      </c>
      <c r="H6" s="2">
        <v>52</v>
      </c>
      <c r="I6" s="2">
        <v>59</v>
      </c>
      <c r="J6">
        <f t="shared" si="0"/>
        <v>6</v>
      </c>
      <c r="K6">
        <f t="shared" si="1"/>
        <v>-4</v>
      </c>
      <c r="L6" t="str">
        <f t="shared" si="2"/>
        <v>Yes</v>
      </c>
      <c r="M6" t="str">
        <f t="shared" si="4"/>
        <v>No</v>
      </c>
      <c r="N6" t="str">
        <f t="shared" si="3"/>
        <v>No</v>
      </c>
    </row>
    <row r="7" spans="1:14" x14ac:dyDescent="0.3">
      <c r="A7" s="4" t="s">
        <v>25</v>
      </c>
      <c r="B7" s="4" t="s">
        <v>26</v>
      </c>
      <c r="C7" s="4" t="s">
        <v>27</v>
      </c>
      <c r="D7" s="5">
        <v>45658</v>
      </c>
      <c r="E7" s="5">
        <v>45662</v>
      </c>
      <c r="F7" s="5">
        <v>45673</v>
      </c>
      <c r="G7" s="4" t="s">
        <v>11</v>
      </c>
      <c r="H7" s="4">
        <v>41</v>
      </c>
      <c r="I7" s="2">
        <v>41</v>
      </c>
      <c r="J7">
        <f t="shared" si="0"/>
        <v>15</v>
      </c>
      <c r="K7">
        <f t="shared" si="1"/>
        <v>11</v>
      </c>
      <c r="L7" t="str">
        <f t="shared" si="2"/>
        <v>No</v>
      </c>
      <c r="M7" t="str">
        <f t="shared" si="4"/>
        <v>Yes</v>
      </c>
      <c r="N7" t="str">
        <f t="shared" si="3"/>
        <v>No</v>
      </c>
    </row>
    <row r="8" spans="1:14" x14ac:dyDescent="0.3">
      <c r="A8" s="2" t="s">
        <v>28</v>
      </c>
      <c r="B8" s="2" t="s">
        <v>29</v>
      </c>
      <c r="C8" s="2" t="s">
        <v>27</v>
      </c>
      <c r="D8" s="3">
        <v>45659</v>
      </c>
      <c r="E8" s="3">
        <v>45661</v>
      </c>
      <c r="F8" s="3">
        <v>45672</v>
      </c>
      <c r="G8" s="2" t="s">
        <v>18</v>
      </c>
      <c r="H8" s="2">
        <v>2</v>
      </c>
      <c r="I8" s="2">
        <v>2</v>
      </c>
      <c r="J8">
        <f t="shared" si="0"/>
        <v>13</v>
      </c>
      <c r="K8">
        <f t="shared" si="1"/>
        <v>11</v>
      </c>
      <c r="L8" t="str">
        <f t="shared" si="2"/>
        <v>No</v>
      </c>
      <c r="M8" t="str">
        <f t="shared" si="4"/>
        <v>Yes</v>
      </c>
      <c r="N8" t="str">
        <f t="shared" si="3"/>
        <v>No</v>
      </c>
    </row>
    <row r="9" spans="1:14" x14ac:dyDescent="0.3">
      <c r="A9" s="4" t="s">
        <v>30</v>
      </c>
      <c r="B9" s="4" t="s">
        <v>31</v>
      </c>
      <c r="C9" s="4" t="s">
        <v>27</v>
      </c>
      <c r="D9" s="5">
        <v>45659</v>
      </c>
      <c r="E9" s="5">
        <v>45666</v>
      </c>
      <c r="F9" s="5">
        <v>45672</v>
      </c>
      <c r="G9" s="4" t="s">
        <v>11</v>
      </c>
      <c r="H9" s="4">
        <v>4</v>
      </c>
      <c r="I9" s="2">
        <v>12</v>
      </c>
      <c r="J9">
        <f t="shared" si="0"/>
        <v>13</v>
      </c>
      <c r="K9">
        <f t="shared" si="1"/>
        <v>6</v>
      </c>
      <c r="L9" t="str">
        <f t="shared" si="2"/>
        <v>No</v>
      </c>
      <c r="M9" t="str">
        <f t="shared" si="4"/>
        <v>No</v>
      </c>
      <c r="N9" t="str">
        <f t="shared" si="3"/>
        <v>No</v>
      </c>
    </row>
    <row r="10" spans="1:14" x14ac:dyDescent="0.3">
      <c r="A10" s="2" t="s">
        <v>32</v>
      </c>
      <c r="B10" s="2" t="s">
        <v>33</v>
      </c>
      <c r="C10" s="2" t="s">
        <v>34</v>
      </c>
      <c r="D10" s="3">
        <v>45660</v>
      </c>
      <c r="E10" s="3">
        <v>45664</v>
      </c>
      <c r="F10" s="3">
        <v>45668</v>
      </c>
      <c r="G10" s="2" t="s">
        <v>22</v>
      </c>
      <c r="H10" s="2">
        <v>27</v>
      </c>
      <c r="I10" s="2">
        <v>27</v>
      </c>
      <c r="J10">
        <f t="shared" si="0"/>
        <v>8</v>
      </c>
      <c r="K10">
        <f t="shared" si="1"/>
        <v>4</v>
      </c>
      <c r="L10" t="str">
        <f t="shared" si="2"/>
        <v>No</v>
      </c>
      <c r="M10" t="str">
        <f t="shared" si="4"/>
        <v>Yes</v>
      </c>
      <c r="N10" t="str">
        <f t="shared" si="3"/>
        <v>No</v>
      </c>
    </row>
    <row r="11" spans="1:14" x14ac:dyDescent="0.3">
      <c r="A11" s="4" t="s">
        <v>35</v>
      </c>
      <c r="B11" s="4" t="s">
        <v>36</v>
      </c>
      <c r="C11" s="4" t="s">
        <v>37</v>
      </c>
      <c r="D11" s="5">
        <v>45660</v>
      </c>
      <c r="E11" s="5">
        <v>45663</v>
      </c>
      <c r="F11" s="5">
        <v>45673</v>
      </c>
      <c r="G11" s="4" t="s">
        <v>18</v>
      </c>
      <c r="H11" s="4">
        <v>16</v>
      </c>
      <c r="I11" s="2">
        <v>16</v>
      </c>
      <c r="J11">
        <f t="shared" si="0"/>
        <v>13</v>
      </c>
      <c r="K11">
        <f t="shared" si="1"/>
        <v>10</v>
      </c>
      <c r="L11" t="str">
        <f t="shared" si="2"/>
        <v>No</v>
      </c>
      <c r="M11" t="str">
        <f t="shared" si="4"/>
        <v>Yes</v>
      </c>
      <c r="N11" t="str">
        <f t="shared" si="3"/>
        <v>No</v>
      </c>
    </row>
    <row r="12" spans="1:14" x14ac:dyDescent="0.3">
      <c r="A12" s="2" t="s">
        <v>38</v>
      </c>
      <c r="B12" s="2" t="s">
        <v>39</v>
      </c>
      <c r="C12" s="2" t="s">
        <v>34</v>
      </c>
      <c r="D12" s="3">
        <v>45659</v>
      </c>
      <c r="E12" s="3">
        <v>45663</v>
      </c>
      <c r="F12" s="3">
        <v>45670</v>
      </c>
      <c r="G12" s="2" t="s">
        <v>40</v>
      </c>
      <c r="H12" s="2">
        <v>59</v>
      </c>
      <c r="I12" s="2">
        <v>59</v>
      </c>
      <c r="J12">
        <f t="shared" si="0"/>
        <v>11</v>
      </c>
      <c r="K12">
        <f t="shared" si="1"/>
        <v>7</v>
      </c>
      <c r="L12" t="str">
        <f t="shared" si="2"/>
        <v>No</v>
      </c>
      <c r="M12" t="str">
        <f t="shared" si="4"/>
        <v>Yes</v>
      </c>
      <c r="N12" t="str">
        <f t="shared" si="3"/>
        <v>No</v>
      </c>
    </row>
    <row r="13" spans="1:14" x14ac:dyDescent="0.3">
      <c r="A13" s="4" t="s">
        <v>41</v>
      </c>
      <c r="B13" s="4" t="s">
        <v>42</v>
      </c>
      <c r="C13" s="4" t="s">
        <v>10</v>
      </c>
      <c r="D13" s="5">
        <v>45659</v>
      </c>
      <c r="E13" s="5">
        <v>45669</v>
      </c>
      <c r="F13" s="5">
        <v>45666</v>
      </c>
      <c r="G13" s="4" t="s">
        <v>22</v>
      </c>
      <c r="H13" s="4">
        <v>14</v>
      </c>
      <c r="I13" s="2">
        <v>14</v>
      </c>
      <c r="J13">
        <f t="shared" si="0"/>
        <v>7</v>
      </c>
      <c r="K13">
        <f t="shared" si="1"/>
        <v>-3</v>
      </c>
      <c r="L13" t="str">
        <f t="shared" si="2"/>
        <v>Yes</v>
      </c>
      <c r="M13" t="str">
        <f t="shared" si="4"/>
        <v>Yes</v>
      </c>
      <c r="N13" t="str">
        <f t="shared" si="3"/>
        <v>Yes</v>
      </c>
    </row>
    <row r="14" spans="1:14" x14ac:dyDescent="0.3">
      <c r="A14" s="2" t="s">
        <v>43</v>
      </c>
      <c r="B14" s="2" t="s">
        <v>44</v>
      </c>
      <c r="C14" s="2" t="s">
        <v>14</v>
      </c>
      <c r="D14" s="3">
        <v>45660</v>
      </c>
      <c r="E14" s="3">
        <v>45669</v>
      </c>
      <c r="F14" s="3">
        <v>45677</v>
      </c>
      <c r="G14" s="2" t="s">
        <v>40</v>
      </c>
      <c r="H14" s="2">
        <v>18</v>
      </c>
      <c r="I14" s="2">
        <v>18</v>
      </c>
      <c r="J14">
        <f t="shared" si="0"/>
        <v>17</v>
      </c>
      <c r="K14">
        <f t="shared" si="1"/>
        <v>8</v>
      </c>
      <c r="L14" t="str">
        <f t="shared" si="2"/>
        <v>No</v>
      </c>
      <c r="M14" t="str">
        <f t="shared" si="4"/>
        <v>Yes</v>
      </c>
      <c r="N14" t="str">
        <f t="shared" si="3"/>
        <v>No</v>
      </c>
    </row>
    <row r="15" spans="1:14" x14ac:dyDescent="0.3">
      <c r="A15" s="4" t="s">
        <v>45</v>
      </c>
      <c r="B15" s="4" t="s">
        <v>46</v>
      </c>
      <c r="C15" s="4" t="s">
        <v>27</v>
      </c>
      <c r="D15" s="5">
        <v>45661</v>
      </c>
      <c r="E15" s="5">
        <v>45665</v>
      </c>
      <c r="F15" s="5">
        <v>45674</v>
      </c>
      <c r="G15" s="4" t="s">
        <v>40</v>
      </c>
      <c r="H15" s="4">
        <v>26</v>
      </c>
      <c r="I15" s="2">
        <v>26</v>
      </c>
      <c r="J15">
        <f t="shared" si="0"/>
        <v>13</v>
      </c>
      <c r="K15">
        <f t="shared" si="1"/>
        <v>9</v>
      </c>
      <c r="L15" t="str">
        <f t="shared" si="2"/>
        <v>No</v>
      </c>
      <c r="M15" t="str">
        <f t="shared" si="4"/>
        <v>Yes</v>
      </c>
      <c r="N15" t="str">
        <f t="shared" si="3"/>
        <v>No</v>
      </c>
    </row>
    <row r="16" spans="1:14" x14ac:dyDescent="0.3">
      <c r="A16" s="2" t="s">
        <v>47</v>
      </c>
      <c r="B16" s="2" t="s">
        <v>48</v>
      </c>
      <c r="C16" s="2" t="s">
        <v>27</v>
      </c>
      <c r="D16" s="3">
        <v>45659</v>
      </c>
      <c r="E16" s="3">
        <v>45664</v>
      </c>
      <c r="F16" s="3">
        <v>45671</v>
      </c>
      <c r="G16" s="2" t="s">
        <v>18</v>
      </c>
      <c r="H16" s="2">
        <v>6</v>
      </c>
      <c r="I16" s="2">
        <v>6</v>
      </c>
      <c r="J16">
        <f t="shared" si="0"/>
        <v>12</v>
      </c>
      <c r="K16">
        <f t="shared" si="1"/>
        <v>7</v>
      </c>
      <c r="L16" t="str">
        <f t="shared" si="2"/>
        <v>No</v>
      </c>
      <c r="M16" t="str">
        <f t="shared" si="4"/>
        <v>Yes</v>
      </c>
      <c r="N16" t="str">
        <f t="shared" si="3"/>
        <v>No</v>
      </c>
    </row>
    <row r="17" spans="1:14" x14ac:dyDescent="0.3">
      <c r="A17" s="4" t="s">
        <v>49</v>
      </c>
      <c r="B17" s="4" t="s">
        <v>50</v>
      </c>
      <c r="C17" s="4" t="s">
        <v>37</v>
      </c>
      <c r="D17" s="5">
        <v>45660</v>
      </c>
      <c r="E17" s="5">
        <v>45664</v>
      </c>
      <c r="F17" s="5">
        <v>45674</v>
      </c>
      <c r="G17" s="4" t="s">
        <v>11</v>
      </c>
      <c r="H17" s="4">
        <v>13</v>
      </c>
      <c r="I17" s="2">
        <v>13</v>
      </c>
      <c r="J17">
        <f t="shared" si="0"/>
        <v>14</v>
      </c>
      <c r="K17">
        <f t="shared" si="1"/>
        <v>10</v>
      </c>
      <c r="L17" t="str">
        <f t="shared" si="2"/>
        <v>No</v>
      </c>
      <c r="M17" t="str">
        <f t="shared" si="4"/>
        <v>Yes</v>
      </c>
      <c r="N17" t="str">
        <f t="shared" si="3"/>
        <v>No</v>
      </c>
    </row>
    <row r="18" spans="1:14" x14ac:dyDescent="0.3">
      <c r="A18" s="2" t="s">
        <v>51</v>
      </c>
      <c r="B18" s="2" t="s">
        <v>52</v>
      </c>
      <c r="C18" s="2" t="s">
        <v>37</v>
      </c>
      <c r="D18" s="3">
        <v>45661</v>
      </c>
      <c r="E18" s="3">
        <v>45663</v>
      </c>
      <c r="F18" s="3">
        <v>45674</v>
      </c>
      <c r="G18" s="2" t="s">
        <v>40</v>
      </c>
      <c r="H18" s="2">
        <v>50</v>
      </c>
      <c r="I18" s="2">
        <v>50</v>
      </c>
      <c r="J18">
        <f t="shared" si="0"/>
        <v>13</v>
      </c>
      <c r="K18">
        <f t="shared" si="1"/>
        <v>11</v>
      </c>
      <c r="L18" t="str">
        <f t="shared" si="2"/>
        <v>No</v>
      </c>
      <c r="M18" t="str">
        <f t="shared" si="4"/>
        <v>Yes</v>
      </c>
      <c r="N18" t="str">
        <f t="shared" si="3"/>
        <v>No</v>
      </c>
    </row>
    <row r="19" spans="1:14" x14ac:dyDescent="0.3">
      <c r="A19" s="4" t="s">
        <v>53</v>
      </c>
      <c r="B19" s="4" t="s">
        <v>54</v>
      </c>
      <c r="C19" s="4" t="s">
        <v>10</v>
      </c>
      <c r="D19" s="5">
        <v>45660</v>
      </c>
      <c r="E19" s="5">
        <v>45668</v>
      </c>
      <c r="F19" s="5">
        <v>45665</v>
      </c>
      <c r="G19" s="4" t="s">
        <v>40</v>
      </c>
      <c r="H19" s="4">
        <v>11</v>
      </c>
      <c r="I19" s="2">
        <v>11</v>
      </c>
      <c r="J19">
        <f t="shared" si="0"/>
        <v>5</v>
      </c>
      <c r="K19">
        <f t="shared" si="1"/>
        <v>-3</v>
      </c>
      <c r="L19" t="str">
        <f t="shared" si="2"/>
        <v>Yes</v>
      </c>
      <c r="M19" t="str">
        <f t="shared" si="4"/>
        <v>Yes</v>
      </c>
      <c r="N19" t="str">
        <f t="shared" si="3"/>
        <v>Yes</v>
      </c>
    </row>
    <row r="20" spans="1:14" x14ac:dyDescent="0.3">
      <c r="A20" s="2" t="s">
        <v>55</v>
      </c>
      <c r="B20" s="2" t="s">
        <v>56</v>
      </c>
      <c r="C20" s="2" t="s">
        <v>10</v>
      </c>
      <c r="D20" s="3">
        <v>45660</v>
      </c>
      <c r="E20" s="3">
        <v>45667</v>
      </c>
      <c r="F20" s="3">
        <v>45667</v>
      </c>
      <c r="G20" s="2" t="s">
        <v>18</v>
      </c>
      <c r="H20" s="2">
        <v>13</v>
      </c>
      <c r="I20" s="2">
        <v>13</v>
      </c>
      <c r="J20">
        <f t="shared" si="0"/>
        <v>7</v>
      </c>
      <c r="K20">
        <f t="shared" si="1"/>
        <v>0</v>
      </c>
      <c r="L20" t="str">
        <f t="shared" si="2"/>
        <v>Yes</v>
      </c>
      <c r="M20" t="str">
        <f t="shared" si="4"/>
        <v>Yes</v>
      </c>
      <c r="N20" t="str">
        <f t="shared" si="3"/>
        <v>Yes</v>
      </c>
    </row>
    <row r="21" spans="1:14" x14ac:dyDescent="0.3">
      <c r="A21" s="4" t="s">
        <v>57</v>
      </c>
      <c r="B21" s="4" t="s">
        <v>58</v>
      </c>
      <c r="C21" s="4" t="s">
        <v>59</v>
      </c>
      <c r="D21" s="5">
        <v>45662</v>
      </c>
      <c r="E21" s="5">
        <v>45664</v>
      </c>
      <c r="F21" s="5">
        <v>45666</v>
      </c>
      <c r="G21" s="4" t="s">
        <v>11</v>
      </c>
      <c r="H21" s="4">
        <v>21</v>
      </c>
      <c r="I21" s="2">
        <v>23</v>
      </c>
      <c r="J21">
        <f t="shared" si="0"/>
        <v>4</v>
      </c>
      <c r="K21">
        <f t="shared" si="1"/>
        <v>2</v>
      </c>
      <c r="L21" t="str">
        <f t="shared" si="2"/>
        <v>No</v>
      </c>
      <c r="M21" t="str">
        <f t="shared" si="4"/>
        <v>No</v>
      </c>
      <c r="N21" t="str">
        <f t="shared" si="3"/>
        <v>No</v>
      </c>
    </row>
    <row r="22" spans="1:14" x14ac:dyDescent="0.3">
      <c r="A22" s="2" t="s">
        <v>60</v>
      </c>
      <c r="B22" s="2" t="s">
        <v>61</v>
      </c>
      <c r="C22" s="2" t="s">
        <v>21</v>
      </c>
      <c r="D22" s="3">
        <v>45660</v>
      </c>
      <c r="E22" s="3">
        <v>45666</v>
      </c>
      <c r="F22" s="3">
        <v>45668</v>
      </c>
      <c r="G22" s="2" t="s">
        <v>11</v>
      </c>
      <c r="H22" s="2">
        <v>35</v>
      </c>
      <c r="I22" s="2">
        <v>35</v>
      </c>
      <c r="J22">
        <f t="shared" si="0"/>
        <v>8</v>
      </c>
      <c r="K22">
        <f t="shared" si="1"/>
        <v>2</v>
      </c>
      <c r="L22" t="str">
        <f t="shared" si="2"/>
        <v>No</v>
      </c>
      <c r="M22" t="str">
        <f t="shared" si="4"/>
        <v>Yes</v>
      </c>
      <c r="N22" t="str">
        <f t="shared" si="3"/>
        <v>No</v>
      </c>
    </row>
    <row r="23" spans="1:14" x14ac:dyDescent="0.3">
      <c r="A23" s="4" t="s">
        <v>62</v>
      </c>
      <c r="B23" s="4" t="s">
        <v>63</v>
      </c>
      <c r="C23" s="4" t="s">
        <v>21</v>
      </c>
      <c r="D23" s="5">
        <v>45660</v>
      </c>
      <c r="E23" s="5">
        <v>45667</v>
      </c>
      <c r="F23" s="5">
        <v>45670</v>
      </c>
      <c r="G23" s="4" t="s">
        <v>22</v>
      </c>
      <c r="H23" s="4">
        <v>28</v>
      </c>
      <c r="I23" s="2">
        <v>29</v>
      </c>
      <c r="J23">
        <f t="shared" si="0"/>
        <v>10</v>
      </c>
      <c r="K23">
        <f t="shared" si="1"/>
        <v>3</v>
      </c>
      <c r="L23" t="str">
        <f t="shared" si="2"/>
        <v>No</v>
      </c>
      <c r="M23" t="str">
        <f t="shared" si="4"/>
        <v>No</v>
      </c>
      <c r="N23" t="str">
        <f t="shared" si="3"/>
        <v>No</v>
      </c>
    </row>
    <row r="24" spans="1:14" x14ac:dyDescent="0.3">
      <c r="A24" s="2" t="s">
        <v>64</v>
      </c>
      <c r="B24" s="2" t="s">
        <v>65</v>
      </c>
      <c r="C24" s="2" t="s">
        <v>37</v>
      </c>
      <c r="D24" s="3">
        <v>45661</v>
      </c>
      <c r="E24" s="3">
        <v>45665</v>
      </c>
      <c r="F24" s="3">
        <v>45674</v>
      </c>
      <c r="G24" s="2" t="s">
        <v>22</v>
      </c>
      <c r="H24" s="2">
        <v>38</v>
      </c>
      <c r="I24" s="2">
        <v>40</v>
      </c>
      <c r="J24">
        <f t="shared" si="0"/>
        <v>13</v>
      </c>
      <c r="K24">
        <f t="shared" si="1"/>
        <v>9</v>
      </c>
      <c r="L24" t="str">
        <f t="shared" si="2"/>
        <v>No</v>
      </c>
      <c r="M24" t="str">
        <f t="shared" si="4"/>
        <v>No</v>
      </c>
      <c r="N24" t="str">
        <f t="shared" si="3"/>
        <v>No</v>
      </c>
    </row>
    <row r="25" spans="1:14" x14ac:dyDescent="0.3">
      <c r="A25" s="4" t="s">
        <v>66</v>
      </c>
      <c r="B25" s="4" t="s">
        <v>67</v>
      </c>
      <c r="C25" s="4" t="s">
        <v>37</v>
      </c>
      <c r="D25" s="5">
        <v>45662</v>
      </c>
      <c r="E25" s="5">
        <v>45667</v>
      </c>
      <c r="F25" s="5">
        <v>45679</v>
      </c>
      <c r="G25" s="4" t="s">
        <v>22</v>
      </c>
      <c r="H25" s="4">
        <v>8</v>
      </c>
      <c r="I25" s="2">
        <v>14</v>
      </c>
      <c r="J25">
        <f t="shared" si="0"/>
        <v>17</v>
      </c>
      <c r="K25">
        <f t="shared" si="1"/>
        <v>12</v>
      </c>
      <c r="L25" t="str">
        <f t="shared" si="2"/>
        <v>No</v>
      </c>
      <c r="M25" t="str">
        <f t="shared" si="4"/>
        <v>No</v>
      </c>
      <c r="N25" t="str">
        <f t="shared" si="3"/>
        <v>No</v>
      </c>
    </row>
    <row r="26" spans="1:14" x14ac:dyDescent="0.3">
      <c r="A26" s="2" t="s">
        <v>68</v>
      </c>
      <c r="B26" s="2" t="s">
        <v>69</v>
      </c>
      <c r="C26" s="2" t="s">
        <v>37</v>
      </c>
      <c r="D26" s="3">
        <v>45663</v>
      </c>
      <c r="E26" s="3">
        <v>45671</v>
      </c>
      <c r="F26" s="3">
        <v>45676</v>
      </c>
      <c r="G26" s="2" t="s">
        <v>11</v>
      </c>
      <c r="H26" s="2">
        <v>29</v>
      </c>
      <c r="I26" s="2">
        <v>29</v>
      </c>
      <c r="J26">
        <f t="shared" si="0"/>
        <v>13</v>
      </c>
      <c r="K26">
        <f t="shared" si="1"/>
        <v>5</v>
      </c>
      <c r="L26" t="str">
        <f t="shared" si="2"/>
        <v>No</v>
      </c>
      <c r="M26" t="str">
        <f t="shared" si="4"/>
        <v>Yes</v>
      </c>
      <c r="N26" t="str">
        <f t="shared" si="3"/>
        <v>No</v>
      </c>
    </row>
    <row r="27" spans="1:14" x14ac:dyDescent="0.3">
      <c r="A27" s="4" t="s">
        <v>70</v>
      </c>
      <c r="B27" s="4" t="s">
        <v>71</v>
      </c>
      <c r="C27" s="4" t="s">
        <v>72</v>
      </c>
      <c r="D27" s="5">
        <v>45663</v>
      </c>
      <c r="E27" s="5">
        <v>45670</v>
      </c>
      <c r="F27" s="5">
        <v>45676</v>
      </c>
      <c r="G27" s="4" t="s">
        <v>18</v>
      </c>
      <c r="H27" s="4">
        <v>11</v>
      </c>
      <c r="I27" s="2">
        <v>11</v>
      </c>
      <c r="J27">
        <f t="shared" si="0"/>
        <v>13</v>
      </c>
      <c r="K27">
        <f t="shared" si="1"/>
        <v>6</v>
      </c>
      <c r="L27" t="str">
        <f t="shared" si="2"/>
        <v>No</v>
      </c>
      <c r="M27" t="str">
        <f t="shared" si="4"/>
        <v>Yes</v>
      </c>
      <c r="N27" t="str">
        <f t="shared" si="3"/>
        <v>No</v>
      </c>
    </row>
    <row r="28" spans="1:14" x14ac:dyDescent="0.3">
      <c r="A28" s="2" t="s">
        <v>73</v>
      </c>
      <c r="B28" s="2" t="s">
        <v>74</v>
      </c>
      <c r="C28" s="2" t="s">
        <v>72</v>
      </c>
      <c r="D28" s="3">
        <v>45662</v>
      </c>
      <c r="E28" s="3">
        <v>45668</v>
      </c>
      <c r="F28" s="3">
        <v>45676</v>
      </c>
      <c r="G28" s="2" t="s">
        <v>18</v>
      </c>
      <c r="H28" s="2">
        <v>26</v>
      </c>
      <c r="I28" s="2">
        <v>29</v>
      </c>
      <c r="J28">
        <f t="shared" si="0"/>
        <v>14</v>
      </c>
      <c r="K28">
        <f t="shared" si="1"/>
        <v>8</v>
      </c>
      <c r="L28" t="str">
        <f t="shared" si="2"/>
        <v>No</v>
      </c>
      <c r="M28" t="str">
        <f t="shared" si="4"/>
        <v>No</v>
      </c>
      <c r="N28" t="str">
        <f t="shared" si="3"/>
        <v>No</v>
      </c>
    </row>
    <row r="29" spans="1:14" x14ac:dyDescent="0.3">
      <c r="A29" s="4" t="s">
        <v>75</v>
      </c>
      <c r="B29" s="4" t="s">
        <v>76</v>
      </c>
      <c r="C29" s="4" t="s">
        <v>14</v>
      </c>
      <c r="D29" s="5">
        <v>45662</v>
      </c>
      <c r="E29" s="5">
        <v>45664</v>
      </c>
      <c r="F29" s="5">
        <v>45677</v>
      </c>
      <c r="G29" s="4" t="s">
        <v>22</v>
      </c>
      <c r="H29" s="4">
        <v>7</v>
      </c>
      <c r="I29" s="2">
        <v>7</v>
      </c>
      <c r="J29">
        <f t="shared" si="0"/>
        <v>15</v>
      </c>
      <c r="K29">
        <f t="shared" si="1"/>
        <v>13</v>
      </c>
      <c r="L29" t="str">
        <f t="shared" si="2"/>
        <v>No</v>
      </c>
      <c r="M29" t="str">
        <f t="shared" si="4"/>
        <v>Yes</v>
      </c>
      <c r="N29" t="str">
        <f t="shared" si="3"/>
        <v>No</v>
      </c>
    </row>
    <row r="30" spans="1:14" x14ac:dyDescent="0.3">
      <c r="A30" s="2" t="s">
        <v>77</v>
      </c>
      <c r="B30" s="2" t="s">
        <v>78</v>
      </c>
      <c r="C30" s="2" t="s">
        <v>21</v>
      </c>
      <c r="D30" s="3">
        <v>45661</v>
      </c>
      <c r="E30" s="3">
        <v>45666</v>
      </c>
      <c r="F30" s="3">
        <v>45671</v>
      </c>
      <c r="G30" s="2" t="s">
        <v>18</v>
      </c>
      <c r="H30" s="2">
        <v>50</v>
      </c>
      <c r="I30" s="2">
        <v>50</v>
      </c>
      <c r="J30">
        <f t="shared" si="0"/>
        <v>10</v>
      </c>
      <c r="K30">
        <f t="shared" si="1"/>
        <v>5</v>
      </c>
      <c r="L30" t="str">
        <f t="shared" si="2"/>
        <v>No</v>
      </c>
      <c r="M30" t="str">
        <f t="shared" si="4"/>
        <v>Yes</v>
      </c>
      <c r="N30" t="str">
        <f t="shared" si="3"/>
        <v>No</v>
      </c>
    </row>
    <row r="31" spans="1:14" x14ac:dyDescent="0.3">
      <c r="A31" s="4" t="s">
        <v>79</v>
      </c>
      <c r="B31" s="4" t="s">
        <v>80</v>
      </c>
      <c r="C31" s="4" t="s">
        <v>21</v>
      </c>
      <c r="D31" s="5">
        <v>45662</v>
      </c>
      <c r="E31" s="5">
        <v>45669</v>
      </c>
      <c r="F31" s="5">
        <v>45668</v>
      </c>
      <c r="G31" s="4" t="s">
        <v>18</v>
      </c>
      <c r="H31" s="4">
        <v>41</v>
      </c>
      <c r="I31" s="2">
        <v>41</v>
      </c>
      <c r="J31">
        <f t="shared" si="0"/>
        <v>6</v>
      </c>
      <c r="K31">
        <f t="shared" si="1"/>
        <v>-1</v>
      </c>
      <c r="L31" t="str">
        <f t="shared" si="2"/>
        <v>Yes</v>
      </c>
      <c r="M31" t="str">
        <f t="shared" si="4"/>
        <v>Yes</v>
      </c>
      <c r="N31" t="str">
        <f t="shared" si="3"/>
        <v>Yes</v>
      </c>
    </row>
    <row r="32" spans="1:14" x14ac:dyDescent="0.3">
      <c r="A32" s="2" t="s">
        <v>81</v>
      </c>
      <c r="B32" s="2" t="s">
        <v>82</v>
      </c>
      <c r="C32" s="2" t="s">
        <v>21</v>
      </c>
      <c r="D32" s="3">
        <v>45662</v>
      </c>
      <c r="E32" s="3">
        <v>45670</v>
      </c>
      <c r="F32" s="3">
        <v>45667</v>
      </c>
      <c r="G32" s="2" t="s">
        <v>22</v>
      </c>
      <c r="H32" s="2">
        <v>25</v>
      </c>
      <c r="I32" s="2">
        <v>26</v>
      </c>
      <c r="J32">
        <f t="shared" si="0"/>
        <v>5</v>
      </c>
      <c r="K32">
        <f t="shared" si="1"/>
        <v>-3</v>
      </c>
      <c r="L32" t="str">
        <f t="shared" si="2"/>
        <v>Yes</v>
      </c>
      <c r="M32" t="str">
        <f t="shared" si="4"/>
        <v>No</v>
      </c>
      <c r="N32" t="str">
        <f t="shared" si="3"/>
        <v>No</v>
      </c>
    </row>
    <row r="33" spans="1:14" x14ac:dyDescent="0.3">
      <c r="A33" s="4" t="s">
        <v>83</v>
      </c>
      <c r="B33" s="4" t="s">
        <v>84</v>
      </c>
      <c r="C33" s="4" t="s">
        <v>27</v>
      </c>
      <c r="D33" s="5">
        <v>45661</v>
      </c>
      <c r="E33" s="5">
        <v>45666</v>
      </c>
      <c r="F33" s="5">
        <v>45674</v>
      </c>
      <c r="G33" s="4" t="s">
        <v>11</v>
      </c>
      <c r="H33" s="4">
        <v>7</v>
      </c>
      <c r="I33" s="2">
        <v>7</v>
      </c>
      <c r="J33">
        <f t="shared" si="0"/>
        <v>13</v>
      </c>
      <c r="K33">
        <f t="shared" si="1"/>
        <v>8</v>
      </c>
      <c r="L33" t="str">
        <f t="shared" si="2"/>
        <v>No</v>
      </c>
      <c r="M33" t="str">
        <f t="shared" si="4"/>
        <v>Yes</v>
      </c>
      <c r="N33" t="str">
        <f t="shared" si="3"/>
        <v>No</v>
      </c>
    </row>
    <row r="34" spans="1:14" x14ac:dyDescent="0.3">
      <c r="A34" s="2" t="s">
        <v>85</v>
      </c>
      <c r="B34" s="2" t="s">
        <v>86</v>
      </c>
      <c r="C34" s="2" t="s">
        <v>27</v>
      </c>
      <c r="D34" s="3">
        <v>45662</v>
      </c>
      <c r="E34" s="3">
        <v>45670</v>
      </c>
      <c r="F34" s="3">
        <v>45677</v>
      </c>
      <c r="G34" s="2" t="s">
        <v>18</v>
      </c>
      <c r="H34" s="2">
        <v>8</v>
      </c>
      <c r="I34" s="2">
        <v>8</v>
      </c>
      <c r="J34">
        <f t="shared" si="0"/>
        <v>15</v>
      </c>
      <c r="K34">
        <f t="shared" si="1"/>
        <v>7</v>
      </c>
      <c r="L34" t="str">
        <f t="shared" si="2"/>
        <v>No</v>
      </c>
      <c r="M34" t="str">
        <f t="shared" si="4"/>
        <v>Yes</v>
      </c>
      <c r="N34" t="str">
        <f t="shared" si="3"/>
        <v>No</v>
      </c>
    </row>
    <row r="35" spans="1:14" x14ac:dyDescent="0.3">
      <c r="A35" s="4" t="s">
        <v>87</v>
      </c>
      <c r="B35" s="4" t="s">
        <v>88</v>
      </c>
      <c r="C35" s="4" t="s">
        <v>37</v>
      </c>
      <c r="D35" s="5">
        <v>45663</v>
      </c>
      <c r="E35" s="5">
        <v>45666</v>
      </c>
      <c r="F35" s="5">
        <v>45676</v>
      </c>
      <c r="G35" s="4" t="s">
        <v>40</v>
      </c>
      <c r="H35" s="4">
        <v>23</v>
      </c>
      <c r="I35" s="2">
        <v>23</v>
      </c>
      <c r="J35">
        <f t="shared" si="0"/>
        <v>13</v>
      </c>
      <c r="K35">
        <f t="shared" si="1"/>
        <v>10</v>
      </c>
      <c r="L35" t="str">
        <f t="shared" si="2"/>
        <v>No</v>
      </c>
      <c r="M35" t="str">
        <f t="shared" si="4"/>
        <v>Yes</v>
      </c>
      <c r="N35" t="str">
        <f t="shared" si="3"/>
        <v>No</v>
      </c>
    </row>
    <row r="36" spans="1:14" x14ac:dyDescent="0.3">
      <c r="A36" s="2" t="s">
        <v>89</v>
      </c>
      <c r="B36" s="2" t="s">
        <v>90</v>
      </c>
      <c r="C36" s="2" t="s">
        <v>34</v>
      </c>
      <c r="D36" s="3">
        <v>45662</v>
      </c>
      <c r="E36" s="3">
        <v>45669</v>
      </c>
      <c r="F36" s="3">
        <v>45673</v>
      </c>
      <c r="G36" s="2" t="s">
        <v>40</v>
      </c>
      <c r="H36" s="2">
        <v>41</v>
      </c>
      <c r="I36" s="2">
        <v>41</v>
      </c>
      <c r="J36">
        <f t="shared" si="0"/>
        <v>11</v>
      </c>
      <c r="K36">
        <f t="shared" si="1"/>
        <v>4</v>
      </c>
      <c r="L36" t="str">
        <f t="shared" si="2"/>
        <v>No</v>
      </c>
      <c r="M36" t="str">
        <f t="shared" si="4"/>
        <v>Yes</v>
      </c>
      <c r="N36" t="str">
        <f t="shared" si="3"/>
        <v>No</v>
      </c>
    </row>
    <row r="37" spans="1:14" x14ac:dyDescent="0.3">
      <c r="A37" s="4" t="s">
        <v>91</v>
      </c>
      <c r="B37" s="4" t="s">
        <v>92</v>
      </c>
      <c r="C37" s="4" t="s">
        <v>72</v>
      </c>
      <c r="D37" s="5">
        <v>45663</v>
      </c>
      <c r="E37" s="5">
        <v>45668</v>
      </c>
      <c r="F37" s="5">
        <v>45679</v>
      </c>
      <c r="G37" s="4" t="s">
        <v>40</v>
      </c>
      <c r="H37" s="4">
        <v>4</v>
      </c>
      <c r="I37" s="2">
        <v>9</v>
      </c>
      <c r="J37">
        <f t="shared" si="0"/>
        <v>16</v>
      </c>
      <c r="K37">
        <f t="shared" si="1"/>
        <v>11</v>
      </c>
      <c r="L37" t="str">
        <f t="shared" si="2"/>
        <v>No</v>
      </c>
      <c r="M37" t="str">
        <f t="shared" si="4"/>
        <v>No</v>
      </c>
      <c r="N37" t="str">
        <f t="shared" si="3"/>
        <v>No</v>
      </c>
    </row>
    <row r="38" spans="1:14" x14ac:dyDescent="0.3">
      <c r="A38" s="2" t="s">
        <v>93</v>
      </c>
      <c r="B38" s="2" t="s">
        <v>94</v>
      </c>
      <c r="C38" s="2" t="s">
        <v>72</v>
      </c>
      <c r="D38" s="3">
        <v>45664</v>
      </c>
      <c r="E38" s="3">
        <v>45670</v>
      </c>
      <c r="F38" s="3">
        <v>45677</v>
      </c>
      <c r="G38" s="2" t="s">
        <v>22</v>
      </c>
      <c r="H38" s="2">
        <v>42</v>
      </c>
      <c r="I38" s="2">
        <v>42</v>
      </c>
      <c r="J38">
        <f t="shared" si="0"/>
        <v>13</v>
      </c>
      <c r="K38">
        <f t="shared" si="1"/>
        <v>7</v>
      </c>
      <c r="L38" t="str">
        <f t="shared" si="2"/>
        <v>No</v>
      </c>
      <c r="M38" t="str">
        <f t="shared" si="4"/>
        <v>Yes</v>
      </c>
      <c r="N38" t="str">
        <f t="shared" si="3"/>
        <v>No</v>
      </c>
    </row>
    <row r="39" spans="1:14" x14ac:dyDescent="0.3">
      <c r="A39" s="4" t="s">
        <v>95</v>
      </c>
      <c r="B39" s="4" t="s">
        <v>96</v>
      </c>
      <c r="C39" s="4" t="s">
        <v>14</v>
      </c>
      <c r="D39" s="5">
        <v>45662</v>
      </c>
      <c r="E39" s="5">
        <v>45665</v>
      </c>
      <c r="F39" s="5">
        <v>45677</v>
      </c>
      <c r="G39" s="4" t="s">
        <v>15</v>
      </c>
      <c r="H39" s="4">
        <v>50</v>
      </c>
      <c r="I39" s="2">
        <v>50</v>
      </c>
      <c r="J39">
        <f t="shared" si="0"/>
        <v>15</v>
      </c>
      <c r="K39">
        <f t="shared" si="1"/>
        <v>12</v>
      </c>
      <c r="L39" t="str">
        <f t="shared" si="2"/>
        <v>No</v>
      </c>
      <c r="M39" t="str">
        <f t="shared" si="4"/>
        <v>Yes</v>
      </c>
      <c r="N39" t="str">
        <f t="shared" si="3"/>
        <v>No</v>
      </c>
    </row>
    <row r="40" spans="1:14" x14ac:dyDescent="0.3">
      <c r="A40" s="2" t="s">
        <v>97</v>
      </c>
      <c r="B40" s="2" t="s">
        <v>98</v>
      </c>
      <c r="C40" s="2" t="s">
        <v>14</v>
      </c>
      <c r="D40" s="3">
        <v>45664</v>
      </c>
      <c r="E40" s="3">
        <v>45666</v>
      </c>
      <c r="F40" s="3">
        <v>45679</v>
      </c>
      <c r="G40" s="2" t="s">
        <v>22</v>
      </c>
      <c r="H40" s="2">
        <v>24</v>
      </c>
      <c r="I40" s="2">
        <v>24</v>
      </c>
      <c r="J40">
        <f t="shared" si="0"/>
        <v>15</v>
      </c>
      <c r="K40">
        <f t="shared" si="1"/>
        <v>13</v>
      </c>
      <c r="L40" t="str">
        <f t="shared" si="2"/>
        <v>No</v>
      </c>
      <c r="M40" t="str">
        <f t="shared" si="4"/>
        <v>Yes</v>
      </c>
      <c r="N40" t="str">
        <f t="shared" si="3"/>
        <v>No</v>
      </c>
    </row>
    <row r="41" spans="1:14" x14ac:dyDescent="0.3">
      <c r="A41" s="4" t="s">
        <v>99</v>
      </c>
      <c r="B41" s="4" t="s">
        <v>100</v>
      </c>
      <c r="C41" s="4" t="s">
        <v>21</v>
      </c>
      <c r="D41" s="5">
        <v>45662</v>
      </c>
      <c r="E41" s="5">
        <v>45670</v>
      </c>
      <c r="F41" s="5">
        <v>45667</v>
      </c>
      <c r="G41" s="4" t="s">
        <v>22</v>
      </c>
      <c r="H41" s="4">
        <v>34</v>
      </c>
      <c r="I41" s="2">
        <v>35</v>
      </c>
      <c r="J41">
        <f t="shared" si="0"/>
        <v>5</v>
      </c>
      <c r="K41">
        <f t="shared" si="1"/>
        <v>-3</v>
      </c>
      <c r="L41" t="str">
        <f t="shared" si="2"/>
        <v>Yes</v>
      </c>
      <c r="M41" t="str">
        <f t="shared" si="4"/>
        <v>No</v>
      </c>
      <c r="N41" t="str">
        <f t="shared" si="3"/>
        <v>No</v>
      </c>
    </row>
    <row r="42" spans="1:14" x14ac:dyDescent="0.3">
      <c r="A42" s="2" t="s">
        <v>101</v>
      </c>
      <c r="B42" s="2" t="s">
        <v>102</v>
      </c>
      <c r="C42" s="2" t="s">
        <v>21</v>
      </c>
      <c r="D42" s="3">
        <v>45663</v>
      </c>
      <c r="E42" s="3">
        <v>45671</v>
      </c>
      <c r="F42" s="3">
        <v>45673</v>
      </c>
      <c r="G42" s="2" t="s">
        <v>18</v>
      </c>
      <c r="H42" s="2">
        <v>29</v>
      </c>
      <c r="I42" s="2">
        <v>29</v>
      </c>
      <c r="J42">
        <f t="shared" si="0"/>
        <v>10</v>
      </c>
      <c r="K42">
        <f t="shared" si="1"/>
        <v>2</v>
      </c>
      <c r="L42" t="str">
        <f t="shared" si="2"/>
        <v>No</v>
      </c>
      <c r="M42" t="str">
        <f t="shared" si="4"/>
        <v>Yes</v>
      </c>
      <c r="N42" t="str">
        <f t="shared" si="3"/>
        <v>No</v>
      </c>
    </row>
    <row r="43" spans="1:14" x14ac:dyDescent="0.3">
      <c r="A43" s="4" t="s">
        <v>103</v>
      </c>
      <c r="B43" s="4" t="s">
        <v>104</v>
      </c>
      <c r="C43" s="4" t="s">
        <v>21</v>
      </c>
      <c r="D43" s="5">
        <v>45663</v>
      </c>
      <c r="E43" s="5">
        <v>45666</v>
      </c>
      <c r="F43" s="5">
        <v>45671</v>
      </c>
      <c r="G43" s="4" t="s">
        <v>40</v>
      </c>
      <c r="H43" s="4">
        <v>23</v>
      </c>
      <c r="I43" s="2">
        <v>23</v>
      </c>
      <c r="J43">
        <f t="shared" si="0"/>
        <v>8</v>
      </c>
      <c r="K43">
        <f t="shared" si="1"/>
        <v>5</v>
      </c>
      <c r="L43" t="str">
        <f t="shared" si="2"/>
        <v>No</v>
      </c>
      <c r="M43" t="str">
        <f t="shared" si="4"/>
        <v>Yes</v>
      </c>
      <c r="N43" t="str">
        <f t="shared" si="3"/>
        <v>No</v>
      </c>
    </row>
    <row r="44" spans="1:14" x14ac:dyDescent="0.3">
      <c r="A44" s="2" t="s">
        <v>105</v>
      </c>
      <c r="B44" s="2" t="s">
        <v>106</v>
      </c>
      <c r="C44" s="2" t="s">
        <v>27</v>
      </c>
      <c r="D44" s="3">
        <v>45663</v>
      </c>
      <c r="E44" s="3">
        <v>45671</v>
      </c>
      <c r="F44" s="3">
        <v>45676</v>
      </c>
      <c r="G44" s="2" t="s">
        <v>15</v>
      </c>
      <c r="H44" s="2">
        <v>11</v>
      </c>
      <c r="I44" s="2">
        <v>11</v>
      </c>
      <c r="J44">
        <f t="shared" si="0"/>
        <v>13</v>
      </c>
      <c r="K44">
        <f t="shared" si="1"/>
        <v>5</v>
      </c>
      <c r="L44" t="str">
        <f t="shared" si="2"/>
        <v>No</v>
      </c>
      <c r="M44" t="str">
        <f t="shared" si="4"/>
        <v>Yes</v>
      </c>
      <c r="N44" t="str">
        <f t="shared" si="3"/>
        <v>No</v>
      </c>
    </row>
    <row r="45" spans="1:14" x14ac:dyDescent="0.3">
      <c r="A45" s="4" t="s">
        <v>107</v>
      </c>
      <c r="B45" s="4" t="s">
        <v>108</v>
      </c>
      <c r="C45" s="4" t="s">
        <v>37</v>
      </c>
      <c r="D45" s="5">
        <v>45665</v>
      </c>
      <c r="E45" s="5">
        <v>45672</v>
      </c>
      <c r="F45" s="5">
        <v>45680</v>
      </c>
      <c r="G45" s="4" t="s">
        <v>40</v>
      </c>
      <c r="H45" s="4">
        <v>22</v>
      </c>
      <c r="I45" s="2">
        <v>27</v>
      </c>
      <c r="J45">
        <f t="shared" si="0"/>
        <v>15</v>
      </c>
      <c r="K45">
        <f t="shared" si="1"/>
        <v>8</v>
      </c>
      <c r="L45" t="str">
        <f t="shared" si="2"/>
        <v>No</v>
      </c>
      <c r="M45" t="str">
        <f t="shared" si="4"/>
        <v>No</v>
      </c>
      <c r="N45" t="str">
        <f t="shared" si="3"/>
        <v>No</v>
      </c>
    </row>
    <row r="46" spans="1:14" x14ac:dyDescent="0.3">
      <c r="A46" s="2" t="s">
        <v>109</v>
      </c>
      <c r="B46" s="2" t="s">
        <v>110</v>
      </c>
      <c r="C46" s="2" t="s">
        <v>10</v>
      </c>
      <c r="D46" s="3">
        <v>45665</v>
      </c>
      <c r="E46" s="3">
        <v>45670</v>
      </c>
      <c r="F46" s="3">
        <v>45669</v>
      </c>
      <c r="G46" s="2" t="s">
        <v>18</v>
      </c>
      <c r="H46" s="2">
        <v>20</v>
      </c>
      <c r="I46" s="2">
        <v>27</v>
      </c>
      <c r="J46">
        <f t="shared" si="0"/>
        <v>4</v>
      </c>
      <c r="K46">
        <f t="shared" si="1"/>
        <v>-1</v>
      </c>
      <c r="L46" t="str">
        <f t="shared" si="2"/>
        <v>Yes</v>
      </c>
      <c r="M46" t="str">
        <f t="shared" si="4"/>
        <v>No</v>
      </c>
      <c r="N46" t="str">
        <f t="shared" si="3"/>
        <v>No</v>
      </c>
    </row>
    <row r="47" spans="1:14" x14ac:dyDescent="0.3">
      <c r="A47" s="4" t="s">
        <v>111</v>
      </c>
      <c r="B47" s="4" t="s">
        <v>112</v>
      </c>
      <c r="C47" s="4" t="s">
        <v>14</v>
      </c>
      <c r="D47" s="5">
        <v>45665</v>
      </c>
      <c r="E47" s="5">
        <v>45673</v>
      </c>
      <c r="F47" s="5">
        <v>45680</v>
      </c>
      <c r="G47" s="4" t="s">
        <v>11</v>
      </c>
      <c r="H47" s="4">
        <v>40</v>
      </c>
      <c r="I47" s="2">
        <v>40</v>
      </c>
      <c r="J47">
        <f t="shared" si="0"/>
        <v>15</v>
      </c>
      <c r="K47">
        <f t="shared" si="1"/>
        <v>7</v>
      </c>
      <c r="L47" t="str">
        <f t="shared" si="2"/>
        <v>No</v>
      </c>
      <c r="M47" t="str">
        <f t="shared" si="4"/>
        <v>Yes</v>
      </c>
      <c r="N47" t="str">
        <f t="shared" si="3"/>
        <v>No</v>
      </c>
    </row>
    <row r="48" spans="1:14" x14ac:dyDescent="0.3">
      <c r="A48" s="2" t="s">
        <v>113</v>
      </c>
      <c r="B48" s="2" t="s">
        <v>114</v>
      </c>
      <c r="C48" s="2" t="s">
        <v>27</v>
      </c>
      <c r="D48" s="3">
        <v>45664</v>
      </c>
      <c r="E48" s="3">
        <v>45667</v>
      </c>
      <c r="F48" s="3">
        <v>45677</v>
      </c>
      <c r="G48" s="2" t="s">
        <v>40</v>
      </c>
      <c r="H48" s="2">
        <v>1</v>
      </c>
      <c r="I48" s="2">
        <v>5</v>
      </c>
      <c r="J48">
        <f t="shared" si="0"/>
        <v>13</v>
      </c>
      <c r="K48">
        <f t="shared" si="1"/>
        <v>10</v>
      </c>
      <c r="L48" t="str">
        <f t="shared" si="2"/>
        <v>No</v>
      </c>
      <c r="M48" t="str">
        <f t="shared" si="4"/>
        <v>No</v>
      </c>
      <c r="N48" t="str">
        <f t="shared" si="3"/>
        <v>No</v>
      </c>
    </row>
    <row r="49" spans="1:14" x14ac:dyDescent="0.3">
      <c r="A49" s="4" t="s">
        <v>115</v>
      </c>
      <c r="B49" s="4" t="s">
        <v>116</v>
      </c>
      <c r="C49" s="4" t="s">
        <v>34</v>
      </c>
      <c r="D49" s="5">
        <v>45666</v>
      </c>
      <c r="E49" s="5">
        <v>45670</v>
      </c>
      <c r="F49" s="5">
        <v>45675</v>
      </c>
      <c r="G49" s="4" t="s">
        <v>15</v>
      </c>
      <c r="H49" s="4">
        <v>19</v>
      </c>
      <c r="I49" s="2">
        <v>19</v>
      </c>
      <c r="J49">
        <f t="shared" si="0"/>
        <v>9</v>
      </c>
      <c r="K49">
        <f t="shared" si="1"/>
        <v>5</v>
      </c>
      <c r="L49" t="str">
        <f t="shared" si="2"/>
        <v>No</v>
      </c>
      <c r="M49" t="str">
        <f t="shared" si="4"/>
        <v>Yes</v>
      </c>
      <c r="N49" t="str">
        <f t="shared" si="3"/>
        <v>No</v>
      </c>
    </row>
    <row r="50" spans="1:14" x14ac:dyDescent="0.3">
      <c r="A50" s="2" t="s">
        <v>117</v>
      </c>
      <c r="B50" s="2" t="s">
        <v>118</v>
      </c>
      <c r="C50" s="2" t="s">
        <v>37</v>
      </c>
      <c r="D50" s="3">
        <v>45664</v>
      </c>
      <c r="E50" s="3">
        <v>45668</v>
      </c>
      <c r="F50" s="3">
        <v>45677</v>
      </c>
      <c r="G50" s="2" t="s">
        <v>11</v>
      </c>
      <c r="H50" s="2">
        <v>25</v>
      </c>
      <c r="I50" s="2">
        <v>25</v>
      </c>
      <c r="J50">
        <f t="shared" si="0"/>
        <v>13</v>
      </c>
      <c r="K50">
        <f t="shared" si="1"/>
        <v>9</v>
      </c>
      <c r="L50" t="str">
        <f t="shared" si="2"/>
        <v>No</v>
      </c>
      <c r="M50" t="str">
        <f t="shared" si="4"/>
        <v>Yes</v>
      </c>
      <c r="N50" t="str">
        <f t="shared" si="3"/>
        <v>No</v>
      </c>
    </row>
    <row r="51" spans="1:14" x14ac:dyDescent="0.3">
      <c r="A51" s="4" t="s">
        <v>119</v>
      </c>
      <c r="B51" s="4" t="s">
        <v>120</v>
      </c>
      <c r="C51" s="4" t="s">
        <v>10</v>
      </c>
      <c r="D51" s="5">
        <v>45665</v>
      </c>
      <c r="E51" s="5">
        <v>45673</v>
      </c>
      <c r="F51" s="5">
        <v>45674</v>
      </c>
      <c r="G51" s="4" t="s">
        <v>11</v>
      </c>
      <c r="H51" s="4">
        <v>6</v>
      </c>
      <c r="I51" s="2">
        <v>13</v>
      </c>
      <c r="J51">
        <f t="shared" si="0"/>
        <v>9</v>
      </c>
      <c r="K51">
        <f t="shared" si="1"/>
        <v>1</v>
      </c>
      <c r="L51" t="str">
        <f t="shared" si="2"/>
        <v>No</v>
      </c>
      <c r="M51" t="str">
        <f t="shared" si="4"/>
        <v>No</v>
      </c>
      <c r="N51" t="str">
        <f t="shared" si="3"/>
        <v>No</v>
      </c>
    </row>
    <row r="52" spans="1:14" x14ac:dyDescent="0.3">
      <c r="A52" s="2" t="s">
        <v>121</v>
      </c>
      <c r="B52" s="2" t="s">
        <v>122</v>
      </c>
      <c r="C52" s="2" t="s">
        <v>14</v>
      </c>
      <c r="D52" s="3">
        <v>45664</v>
      </c>
      <c r="E52" s="3">
        <v>45668</v>
      </c>
      <c r="F52" s="3">
        <v>45679</v>
      </c>
      <c r="G52" s="2" t="s">
        <v>11</v>
      </c>
      <c r="H52" s="2">
        <v>40</v>
      </c>
      <c r="I52" s="2">
        <v>40</v>
      </c>
      <c r="J52">
        <f t="shared" si="0"/>
        <v>15</v>
      </c>
      <c r="K52">
        <f t="shared" si="1"/>
        <v>11</v>
      </c>
      <c r="L52" t="str">
        <f t="shared" si="2"/>
        <v>No</v>
      </c>
      <c r="M52" t="str">
        <f t="shared" si="4"/>
        <v>Yes</v>
      </c>
      <c r="N52" t="str">
        <f t="shared" si="3"/>
        <v>No</v>
      </c>
    </row>
    <row r="53" spans="1:14" x14ac:dyDescent="0.3">
      <c r="A53" s="4" t="s">
        <v>123</v>
      </c>
      <c r="B53" s="4" t="s">
        <v>124</v>
      </c>
      <c r="C53" s="4" t="s">
        <v>14</v>
      </c>
      <c r="D53" s="5">
        <v>45664</v>
      </c>
      <c r="E53" s="5">
        <v>45674</v>
      </c>
      <c r="F53" s="5">
        <v>45679</v>
      </c>
      <c r="G53" s="4" t="s">
        <v>40</v>
      </c>
      <c r="H53" s="4">
        <v>8</v>
      </c>
      <c r="I53" s="2">
        <v>8</v>
      </c>
      <c r="J53">
        <f t="shared" si="0"/>
        <v>15</v>
      </c>
      <c r="K53">
        <f t="shared" si="1"/>
        <v>5</v>
      </c>
      <c r="L53" t="str">
        <f t="shared" si="2"/>
        <v>No</v>
      </c>
      <c r="M53" t="str">
        <f t="shared" si="4"/>
        <v>Yes</v>
      </c>
      <c r="N53" t="str">
        <f t="shared" si="3"/>
        <v>No</v>
      </c>
    </row>
    <row r="54" spans="1:14" x14ac:dyDescent="0.3">
      <c r="A54" s="2" t="s">
        <v>125</v>
      </c>
      <c r="B54" s="2" t="s">
        <v>126</v>
      </c>
      <c r="C54" s="2" t="s">
        <v>21</v>
      </c>
      <c r="D54" s="3">
        <v>45665</v>
      </c>
      <c r="E54" s="3">
        <v>45672</v>
      </c>
      <c r="F54" s="3">
        <v>45672</v>
      </c>
      <c r="G54" s="2" t="s">
        <v>11</v>
      </c>
      <c r="H54" s="2">
        <v>48</v>
      </c>
      <c r="I54" s="2">
        <v>48</v>
      </c>
      <c r="J54">
        <f t="shared" si="0"/>
        <v>7</v>
      </c>
      <c r="K54">
        <f t="shared" si="1"/>
        <v>0</v>
      </c>
      <c r="L54" t="str">
        <f t="shared" si="2"/>
        <v>Yes</v>
      </c>
      <c r="M54" t="str">
        <f t="shared" si="4"/>
        <v>Yes</v>
      </c>
      <c r="N54" t="str">
        <f t="shared" si="3"/>
        <v>Yes</v>
      </c>
    </row>
    <row r="55" spans="1:14" x14ac:dyDescent="0.3">
      <c r="A55" s="4" t="s">
        <v>127</v>
      </c>
      <c r="B55" s="4" t="s">
        <v>128</v>
      </c>
      <c r="C55" s="4" t="s">
        <v>10</v>
      </c>
      <c r="D55" s="5">
        <v>45667</v>
      </c>
      <c r="E55" s="5">
        <v>45671</v>
      </c>
      <c r="F55" s="5">
        <v>45671</v>
      </c>
      <c r="G55" s="4" t="s">
        <v>15</v>
      </c>
      <c r="H55" s="4">
        <v>35</v>
      </c>
      <c r="I55" s="2">
        <v>35</v>
      </c>
      <c r="J55">
        <f t="shared" si="0"/>
        <v>4</v>
      </c>
      <c r="K55">
        <f t="shared" si="1"/>
        <v>0</v>
      </c>
      <c r="L55" t="str">
        <f t="shared" si="2"/>
        <v>Yes</v>
      </c>
      <c r="M55" t="str">
        <f t="shared" si="4"/>
        <v>Yes</v>
      </c>
      <c r="N55" t="str">
        <f t="shared" si="3"/>
        <v>Yes</v>
      </c>
    </row>
    <row r="56" spans="1:14" x14ac:dyDescent="0.3">
      <c r="A56" s="2" t="s">
        <v>129</v>
      </c>
      <c r="B56" s="2" t="s">
        <v>130</v>
      </c>
      <c r="C56" s="2" t="s">
        <v>14</v>
      </c>
      <c r="D56" s="3">
        <v>45666</v>
      </c>
      <c r="E56" s="3">
        <v>45672</v>
      </c>
      <c r="F56" s="3">
        <v>45681</v>
      </c>
      <c r="G56" s="2" t="s">
        <v>11</v>
      </c>
      <c r="H56" s="2">
        <v>24</v>
      </c>
      <c r="I56" s="2">
        <v>24</v>
      </c>
      <c r="J56">
        <f t="shared" si="0"/>
        <v>15</v>
      </c>
      <c r="K56">
        <f t="shared" si="1"/>
        <v>9</v>
      </c>
      <c r="L56" t="str">
        <f t="shared" si="2"/>
        <v>No</v>
      </c>
      <c r="M56" t="str">
        <f t="shared" si="4"/>
        <v>Yes</v>
      </c>
      <c r="N56" t="str">
        <f t="shared" si="3"/>
        <v>No</v>
      </c>
    </row>
    <row r="57" spans="1:14" x14ac:dyDescent="0.3">
      <c r="A57" s="4" t="s">
        <v>131</v>
      </c>
      <c r="B57" s="4" t="s">
        <v>132</v>
      </c>
      <c r="C57" s="4" t="s">
        <v>21</v>
      </c>
      <c r="D57" s="5">
        <v>45665</v>
      </c>
      <c r="E57" s="5">
        <v>45670</v>
      </c>
      <c r="F57" s="5">
        <v>45673</v>
      </c>
      <c r="G57" s="4" t="s">
        <v>18</v>
      </c>
      <c r="H57" s="4">
        <v>39</v>
      </c>
      <c r="I57" s="2">
        <v>43</v>
      </c>
      <c r="J57">
        <f t="shared" si="0"/>
        <v>8</v>
      </c>
      <c r="K57">
        <f t="shared" si="1"/>
        <v>3</v>
      </c>
      <c r="L57" t="str">
        <f t="shared" si="2"/>
        <v>No</v>
      </c>
      <c r="M57" t="str">
        <f t="shared" si="4"/>
        <v>No</v>
      </c>
      <c r="N57" t="str">
        <f t="shared" si="3"/>
        <v>No</v>
      </c>
    </row>
    <row r="58" spans="1:14" x14ac:dyDescent="0.3">
      <c r="A58" s="2" t="s">
        <v>133</v>
      </c>
      <c r="B58" s="2" t="s">
        <v>134</v>
      </c>
      <c r="C58" s="2" t="s">
        <v>27</v>
      </c>
      <c r="D58" s="3">
        <v>45666</v>
      </c>
      <c r="E58" s="3">
        <v>45674</v>
      </c>
      <c r="F58" s="3">
        <v>45679</v>
      </c>
      <c r="G58" s="2" t="s">
        <v>40</v>
      </c>
      <c r="H58" s="2">
        <v>4</v>
      </c>
      <c r="I58" s="2">
        <v>4</v>
      </c>
      <c r="J58">
        <f t="shared" si="0"/>
        <v>13</v>
      </c>
      <c r="K58">
        <f t="shared" si="1"/>
        <v>5</v>
      </c>
      <c r="L58" t="str">
        <f t="shared" si="2"/>
        <v>No</v>
      </c>
      <c r="M58" t="str">
        <f t="shared" si="4"/>
        <v>Yes</v>
      </c>
      <c r="N58" t="str">
        <f t="shared" si="3"/>
        <v>No</v>
      </c>
    </row>
    <row r="59" spans="1:14" x14ac:dyDescent="0.3">
      <c r="A59" s="4" t="s">
        <v>135</v>
      </c>
      <c r="B59" s="4" t="s">
        <v>136</v>
      </c>
      <c r="C59" s="4" t="s">
        <v>34</v>
      </c>
      <c r="D59" s="5">
        <v>45668</v>
      </c>
      <c r="E59" s="5">
        <v>45669</v>
      </c>
      <c r="F59" s="5">
        <v>45679</v>
      </c>
      <c r="G59" s="4" t="s">
        <v>11</v>
      </c>
      <c r="H59" s="4">
        <v>41</v>
      </c>
      <c r="I59" s="2">
        <v>41</v>
      </c>
      <c r="J59">
        <f t="shared" si="0"/>
        <v>11</v>
      </c>
      <c r="K59">
        <f t="shared" si="1"/>
        <v>10</v>
      </c>
      <c r="L59" t="str">
        <f t="shared" si="2"/>
        <v>No</v>
      </c>
      <c r="M59" t="str">
        <f t="shared" si="4"/>
        <v>Yes</v>
      </c>
      <c r="N59" t="str">
        <f t="shared" si="3"/>
        <v>No</v>
      </c>
    </row>
    <row r="60" spans="1:14" x14ac:dyDescent="0.3">
      <c r="A60" s="2" t="s">
        <v>137</v>
      </c>
      <c r="B60" s="2" t="s">
        <v>138</v>
      </c>
      <c r="C60" s="2" t="s">
        <v>10</v>
      </c>
      <c r="D60" s="3">
        <v>45667</v>
      </c>
      <c r="E60" s="3">
        <v>45675</v>
      </c>
      <c r="F60" s="3">
        <v>45674</v>
      </c>
      <c r="G60" s="2" t="s">
        <v>11</v>
      </c>
      <c r="H60" s="2">
        <v>6</v>
      </c>
      <c r="I60" s="2">
        <v>6</v>
      </c>
      <c r="J60">
        <f t="shared" si="0"/>
        <v>7</v>
      </c>
      <c r="K60">
        <f t="shared" si="1"/>
        <v>-1</v>
      </c>
      <c r="L60" t="str">
        <f t="shared" si="2"/>
        <v>Yes</v>
      </c>
      <c r="M60" t="str">
        <f t="shared" si="4"/>
        <v>Yes</v>
      </c>
      <c r="N60" t="str">
        <f t="shared" si="3"/>
        <v>Yes</v>
      </c>
    </row>
    <row r="61" spans="1:14" x14ac:dyDescent="0.3">
      <c r="A61" s="4" t="s">
        <v>139</v>
      </c>
      <c r="B61" s="4" t="s">
        <v>140</v>
      </c>
      <c r="C61" s="4" t="s">
        <v>10</v>
      </c>
      <c r="D61" s="5">
        <v>45666</v>
      </c>
      <c r="E61" s="5">
        <v>45676</v>
      </c>
      <c r="F61" s="5">
        <v>45671</v>
      </c>
      <c r="G61" s="4" t="s">
        <v>11</v>
      </c>
      <c r="H61" s="4">
        <v>20</v>
      </c>
      <c r="I61" s="2">
        <v>20</v>
      </c>
      <c r="J61">
        <f t="shared" si="0"/>
        <v>5</v>
      </c>
      <c r="K61">
        <f t="shared" si="1"/>
        <v>-5</v>
      </c>
      <c r="L61" t="str">
        <f t="shared" si="2"/>
        <v>Yes</v>
      </c>
      <c r="M61" t="str">
        <f t="shared" si="4"/>
        <v>Yes</v>
      </c>
      <c r="N61" t="str">
        <f t="shared" si="3"/>
        <v>Yes</v>
      </c>
    </row>
    <row r="62" spans="1:14" x14ac:dyDescent="0.3">
      <c r="A62" s="2" t="s">
        <v>141</v>
      </c>
      <c r="B62" s="2" t="s">
        <v>142</v>
      </c>
      <c r="C62" s="2" t="s">
        <v>59</v>
      </c>
      <c r="D62" s="3">
        <v>45668</v>
      </c>
      <c r="E62" s="3">
        <v>45671</v>
      </c>
      <c r="F62" s="3">
        <v>45672</v>
      </c>
      <c r="G62" s="2" t="s">
        <v>22</v>
      </c>
      <c r="H62" s="2">
        <v>11</v>
      </c>
      <c r="I62" s="2">
        <v>11</v>
      </c>
      <c r="J62">
        <f t="shared" si="0"/>
        <v>4</v>
      </c>
      <c r="K62">
        <f t="shared" si="1"/>
        <v>1</v>
      </c>
      <c r="L62" t="str">
        <f t="shared" si="2"/>
        <v>No</v>
      </c>
      <c r="M62" t="str">
        <f t="shared" si="4"/>
        <v>Yes</v>
      </c>
      <c r="N62" t="str">
        <f t="shared" si="3"/>
        <v>No</v>
      </c>
    </row>
    <row r="63" spans="1:14" x14ac:dyDescent="0.3">
      <c r="A63" s="4" t="s">
        <v>143</v>
      </c>
      <c r="B63" s="4" t="s">
        <v>144</v>
      </c>
      <c r="C63" s="4" t="s">
        <v>27</v>
      </c>
      <c r="D63" s="5">
        <v>45668</v>
      </c>
      <c r="E63" s="5">
        <v>45675</v>
      </c>
      <c r="F63" s="5">
        <v>45681</v>
      </c>
      <c r="G63" s="4" t="s">
        <v>22</v>
      </c>
      <c r="H63" s="4">
        <v>17</v>
      </c>
      <c r="I63" s="2">
        <v>17</v>
      </c>
      <c r="J63">
        <f t="shared" si="0"/>
        <v>13</v>
      </c>
      <c r="K63">
        <f t="shared" si="1"/>
        <v>6</v>
      </c>
      <c r="L63" t="str">
        <f t="shared" si="2"/>
        <v>No</v>
      </c>
      <c r="M63" t="str">
        <f t="shared" si="4"/>
        <v>Yes</v>
      </c>
      <c r="N63" t="str">
        <f t="shared" si="3"/>
        <v>No</v>
      </c>
    </row>
    <row r="64" spans="1:14" x14ac:dyDescent="0.3">
      <c r="A64" s="2" t="s">
        <v>145</v>
      </c>
      <c r="B64" s="2" t="s">
        <v>146</v>
      </c>
      <c r="C64" s="2" t="s">
        <v>27</v>
      </c>
      <c r="D64" s="3">
        <v>45666</v>
      </c>
      <c r="E64" s="3">
        <v>45676</v>
      </c>
      <c r="F64" s="3">
        <v>45681</v>
      </c>
      <c r="G64" s="2" t="s">
        <v>18</v>
      </c>
      <c r="H64" s="2">
        <v>6</v>
      </c>
      <c r="I64" s="2">
        <v>6</v>
      </c>
      <c r="J64">
        <f t="shared" si="0"/>
        <v>15</v>
      </c>
      <c r="K64">
        <f t="shared" si="1"/>
        <v>5</v>
      </c>
      <c r="L64" t="str">
        <f t="shared" si="2"/>
        <v>No</v>
      </c>
      <c r="M64" t="str">
        <f t="shared" si="4"/>
        <v>Yes</v>
      </c>
      <c r="N64" t="str">
        <f t="shared" si="3"/>
        <v>No</v>
      </c>
    </row>
    <row r="65" spans="1:14" x14ac:dyDescent="0.3">
      <c r="A65" s="4" t="s">
        <v>147</v>
      </c>
      <c r="B65" s="4" t="s">
        <v>148</v>
      </c>
      <c r="C65" s="4" t="s">
        <v>34</v>
      </c>
      <c r="D65" s="5">
        <v>45669</v>
      </c>
      <c r="E65" s="5">
        <v>45676</v>
      </c>
      <c r="F65" s="5">
        <v>45680</v>
      </c>
      <c r="G65" s="4" t="s">
        <v>18</v>
      </c>
      <c r="H65" s="4">
        <v>42</v>
      </c>
      <c r="I65" s="2">
        <v>43</v>
      </c>
      <c r="J65">
        <f t="shared" si="0"/>
        <v>11</v>
      </c>
      <c r="K65">
        <f t="shared" si="1"/>
        <v>4</v>
      </c>
      <c r="L65" t="str">
        <f t="shared" si="2"/>
        <v>No</v>
      </c>
      <c r="M65" t="str">
        <f t="shared" si="4"/>
        <v>No</v>
      </c>
      <c r="N65" t="str">
        <f t="shared" si="3"/>
        <v>No</v>
      </c>
    </row>
    <row r="66" spans="1:14" x14ac:dyDescent="0.3">
      <c r="A66" s="2" t="s">
        <v>149</v>
      </c>
      <c r="B66" s="2" t="s">
        <v>150</v>
      </c>
      <c r="C66" s="2" t="s">
        <v>10</v>
      </c>
      <c r="D66" s="3">
        <v>45667</v>
      </c>
      <c r="E66" s="3">
        <v>45671</v>
      </c>
      <c r="F66" s="3">
        <v>45673</v>
      </c>
      <c r="G66" s="2" t="s">
        <v>15</v>
      </c>
      <c r="H66" s="2">
        <v>13</v>
      </c>
      <c r="I66" s="2">
        <v>17</v>
      </c>
      <c r="J66">
        <f t="shared" si="0"/>
        <v>6</v>
      </c>
      <c r="K66">
        <f t="shared" si="1"/>
        <v>2</v>
      </c>
      <c r="L66" t="str">
        <f t="shared" si="2"/>
        <v>No</v>
      </c>
      <c r="M66" t="str">
        <f t="shared" si="4"/>
        <v>No</v>
      </c>
      <c r="N66" t="str">
        <f t="shared" si="3"/>
        <v>No</v>
      </c>
    </row>
    <row r="67" spans="1:14" x14ac:dyDescent="0.3">
      <c r="A67" s="4" t="s">
        <v>151</v>
      </c>
      <c r="B67" s="4" t="s">
        <v>152</v>
      </c>
      <c r="C67" s="4" t="s">
        <v>59</v>
      </c>
      <c r="D67" s="5">
        <v>45667</v>
      </c>
      <c r="E67" s="5">
        <v>45670</v>
      </c>
      <c r="F67" s="5">
        <v>45671</v>
      </c>
      <c r="G67" s="4" t="s">
        <v>40</v>
      </c>
      <c r="H67" s="4">
        <v>12</v>
      </c>
      <c r="I67" s="2">
        <v>12</v>
      </c>
      <c r="J67">
        <f t="shared" ref="J67:J130" si="5">F67-D67</f>
        <v>4</v>
      </c>
      <c r="K67">
        <f t="shared" ref="K67:K130" si="6">F67-E67</f>
        <v>1</v>
      </c>
      <c r="L67" t="str">
        <f t="shared" ref="L67:L130" si="7">IF(K67&lt;=0,"Yes","No")</f>
        <v>No</v>
      </c>
      <c r="M67" t="str">
        <f t="shared" si="4"/>
        <v>Yes</v>
      </c>
      <c r="N67" t="str">
        <f t="shared" ref="N67:N130" si="8">IF(AND(L67="Yes",M67="Yes"),"Yes","No")</f>
        <v>No</v>
      </c>
    </row>
    <row r="68" spans="1:14" x14ac:dyDescent="0.3">
      <c r="A68" s="2" t="s">
        <v>153</v>
      </c>
      <c r="B68" s="2" t="s">
        <v>154</v>
      </c>
      <c r="C68" s="2" t="s">
        <v>59</v>
      </c>
      <c r="D68" s="3">
        <v>45668</v>
      </c>
      <c r="E68" s="3">
        <v>45673</v>
      </c>
      <c r="F68" s="3">
        <v>45676</v>
      </c>
      <c r="G68" s="2" t="s">
        <v>22</v>
      </c>
      <c r="H68" s="2">
        <v>31</v>
      </c>
      <c r="I68" s="2">
        <v>33</v>
      </c>
      <c r="J68">
        <f t="shared" si="5"/>
        <v>8</v>
      </c>
      <c r="K68">
        <f t="shared" si="6"/>
        <v>3</v>
      </c>
      <c r="L68" t="str">
        <f t="shared" si="7"/>
        <v>No</v>
      </c>
      <c r="M68" t="str">
        <f t="shared" ref="M68:M131" si="9">IF(H68=I68,"Yes","No")</f>
        <v>No</v>
      </c>
      <c r="N68" t="str">
        <f t="shared" si="8"/>
        <v>No</v>
      </c>
    </row>
    <row r="69" spans="1:14" x14ac:dyDescent="0.3">
      <c r="A69" s="4" t="s">
        <v>155</v>
      </c>
      <c r="B69" s="4" t="s">
        <v>156</v>
      </c>
      <c r="C69" s="4" t="s">
        <v>21</v>
      </c>
      <c r="D69" s="5">
        <v>45668</v>
      </c>
      <c r="E69" s="5">
        <v>45671</v>
      </c>
      <c r="F69" s="5">
        <v>45674</v>
      </c>
      <c r="G69" s="4" t="s">
        <v>18</v>
      </c>
      <c r="H69" s="4">
        <v>32</v>
      </c>
      <c r="I69" s="2">
        <v>39</v>
      </c>
      <c r="J69">
        <f t="shared" si="5"/>
        <v>6</v>
      </c>
      <c r="K69">
        <f t="shared" si="6"/>
        <v>3</v>
      </c>
      <c r="L69" t="str">
        <f t="shared" si="7"/>
        <v>No</v>
      </c>
      <c r="M69" t="str">
        <f t="shared" si="9"/>
        <v>No</v>
      </c>
      <c r="N69" t="str">
        <f t="shared" si="8"/>
        <v>No</v>
      </c>
    </row>
    <row r="70" spans="1:14" x14ac:dyDescent="0.3">
      <c r="A70" s="2" t="s">
        <v>157</v>
      </c>
      <c r="B70" s="2" t="s">
        <v>158</v>
      </c>
      <c r="C70" s="2" t="s">
        <v>21</v>
      </c>
      <c r="D70" s="3">
        <v>45667</v>
      </c>
      <c r="E70" s="3">
        <v>45676</v>
      </c>
      <c r="F70" s="3">
        <v>45673</v>
      </c>
      <c r="G70" s="2" t="s">
        <v>22</v>
      </c>
      <c r="H70" s="2">
        <v>34</v>
      </c>
      <c r="I70" s="2">
        <v>34</v>
      </c>
      <c r="J70">
        <f t="shared" si="5"/>
        <v>6</v>
      </c>
      <c r="K70">
        <f t="shared" si="6"/>
        <v>-3</v>
      </c>
      <c r="L70" t="str">
        <f t="shared" si="7"/>
        <v>Yes</v>
      </c>
      <c r="M70" t="str">
        <f t="shared" si="9"/>
        <v>Yes</v>
      </c>
      <c r="N70" t="str">
        <f t="shared" si="8"/>
        <v>Yes</v>
      </c>
    </row>
    <row r="71" spans="1:14" x14ac:dyDescent="0.3">
      <c r="A71" s="4" t="s">
        <v>159</v>
      </c>
      <c r="B71" s="4" t="s">
        <v>160</v>
      </c>
      <c r="C71" s="4" t="s">
        <v>27</v>
      </c>
      <c r="D71" s="5">
        <v>45669</v>
      </c>
      <c r="E71" s="5">
        <v>45673</v>
      </c>
      <c r="F71" s="5">
        <v>45681</v>
      </c>
      <c r="G71" s="4" t="s">
        <v>15</v>
      </c>
      <c r="H71" s="4">
        <v>27</v>
      </c>
      <c r="I71" s="2">
        <v>27</v>
      </c>
      <c r="J71">
        <f t="shared" si="5"/>
        <v>12</v>
      </c>
      <c r="K71">
        <f t="shared" si="6"/>
        <v>8</v>
      </c>
      <c r="L71" t="str">
        <f t="shared" si="7"/>
        <v>No</v>
      </c>
      <c r="M71" t="str">
        <f t="shared" si="9"/>
        <v>Yes</v>
      </c>
      <c r="N71" t="str">
        <f t="shared" si="8"/>
        <v>No</v>
      </c>
    </row>
    <row r="72" spans="1:14" x14ac:dyDescent="0.3">
      <c r="A72" s="2" t="s">
        <v>161</v>
      </c>
      <c r="B72" s="2" t="s">
        <v>162</v>
      </c>
      <c r="C72" s="2" t="s">
        <v>37</v>
      </c>
      <c r="D72" s="3">
        <v>45670</v>
      </c>
      <c r="E72" s="3">
        <v>45676</v>
      </c>
      <c r="F72" s="3">
        <v>45683</v>
      </c>
      <c r="G72" s="2" t="s">
        <v>18</v>
      </c>
      <c r="H72" s="2">
        <v>53</v>
      </c>
      <c r="I72" s="2">
        <v>53</v>
      </c>
      <c r="J72">
        <f t="shared" si="5"/>
        <v>13</v>
      </c>
      <c r="K72">
        <f t="shared" si="6"/>
        <v>7</v>
      </c>
      <c r="L72" t="str">
        <f t="shared" si="7"/>
        <v>No</v>
      </c>
      <c r="M72" t="str">
        <f t="shared" si="9"/>
        <v>Yes</v>
      </c>
      <c r="N72" t="str">
        <f t="shared" si="8"/>
        <v>No</v>
      </c>
    </row>
    <row r="73" spans="1:14" x14ac:dyDescent="0.3">
      <c r="A73" s="4" t="s">
        <v>163</v>
      </c>
      <c r="B73" s="4" t="s">
        <v>164</v>
      </c>
      <c r="C73" s="4" t="s">
        <v>37</v>
      </c>
      <c r="D73" s="5">
        <v>45668</v>
      </c>
      <c r="E73" s="5">
        <v>45676</v>
      </c>
      <c r="F73" s="5">
        <v>45683</v>
      </c>
      <c r="G73" s="4" t="s">
        <v>15</v>
      </c>
      <c r="H73" s="4">
        <v>33</v>
      </c>
      <c r="I73" s="2">
        <v>33</v>
      </c>
      <c r="J73">
        <f t="shared" si="5"/>
        <v>15</v>
      </c>
      <c r="K73">
        <f t="shared" si="6"/>
        <v>7</v>
      </c>
      <c r="L73" t="str">
        <f t="shared" si="7"/>
        <v>No</v>
      </c>
      <c r="M73" t="str">
        <f t="shared" si="9"/>
        <v>Yes</v>
      </c>
      <c r="N73" t="str">
        <f t="shared" si="8"/>
        <v>No</v>
      </c>
    </row>
    <row r="74" spans="1:14" x14ac:dyDescent="0.3">
      <c r="A74" s="2" t="s">
        <v>165</v>
      </c>
      <c r="B74" s="2" t="s">
        <v>166</v>
      </c>
      <c r="C74" s="2" t="s">
        <v>72</v>
      </c>
      <c r="D74" s="3">
        <v>45669</v>
      </c>
      <c r="E74" s="3">
        <v>45678</v>
      </c>
      <c r="F74" s="3">
        <v>45685</v>
      </c>
      <c r="G74" s="2" t="s">
        <v>18</v>
      </c>
      <c r="H74" s="2">
        <v>40</v>
      </c>
      <c r="I74" s="2">
        <v>40</v>
      </c>
      <c r="J74">
        <f t="shared" si="5"/>
        <v>16</v>
      </c>
      <c r="K74">
        <f t="shared" si="6"/>
        <v>7</v>
      </c>
      <c r="L74" t="str">
        <f t="shared" si="7"/>
        <v>No</v>
      </c>
      <c r="M74" t="str">
        <f t="shared" si="9"/>
        <v>Yes</v>
      </c>
      <c r="N74" t="str">
        <f t="shared" si="8"/>
        <v>No</v>
      </c>
    </row>
    <row r="75" spans="1:14" x14ac:dyDescent="0.3">
      <c r="A75" s="4" t="s">
        <v>167</v>
      </c>
      <c r="B75" s="4" t="s">
        <v>168</v>
      </c>
      <c r="C75" s="4" t="s">
        <v>10</v>
      </c>
      <c r="D75" s="5">
        <v>45670</v>
      </c>
      <c r="E75" s="5">
        <v>45675</v>
      </c>
      <c r="F75" s="5">
        <v>45675</v>
      </c>
      <c r="G75" s="4" t="s">
        <v>18</v>
      </c>
      <c r="H75" s="4">
        <v>12</v>
      </c>
      <c r="I75" s="2">
        <v>12</v>
      </c>
      <c r="J75">
        <f t="shared" si="5"/>
        <v>5</v>
      </c>
      <c r="K75">
        <f t="shared" si="6"/>
        <v>0</v>
      </c>
      <c r="L75" t="str">
        <f t="shared" si="7"/>
        <v>Yes</v>
      </c>
      <c r="M75" t="str">
        <f t="shared" si="9"/>
        <v>Yes</v>
      </c>
      <c r="N75" t="str">
        <f t="shared" si="8"/>
        <v>Yes</v>
      </c>
    </row>
    <row r="76" spans="1:14" x14ac:dyDescent="0.3">
      <c r="A76" s="2" t="s">
        <v>169</v>
      </c>
      <c r="B76" s="2" t="s">
        <v>170</v>
      </c>
      <c r="C76" s="2" t="s">
        <v>21</v>
      </c>
      <c r="D76" s="3">
        <v>45669</v>
      </c>
      <c r="E76" s="3">
        <v>45675</v>
      </c>
      <c r="F76" s="3">
        <v>45675</v>
      </c>
      <c r="G76" s="2" t="s">
        <v>11</v>
      </c>
      <c r="H76" s="2">
        <v>39</v>
      </c>
      <c r="I76" s="2">
        <v>39</v>
      </c>
      <c r="J76">
        <f t="shared" si="5"/>
        <v>6</v>
      </c>
      <c r="K76">
        <f t="shared" si="6"/>
        <v>0</v>
      </c>
      <c r="L76" t="str">
        <f t="shared" si="7"/>
        <v>Yes</v>
      </c>
      <c r="M76" t="str">
        <f t="shared" si="9"/>
        <v>Yes</v>
      </c>
      <c r="N76" t="str">
        <f t="shared" si="8"/>
        <v>Yes</v>
      </c>
    </row>
    <row r="77" spans="1:14" x14ac:dyDescent="0.3">
      <c r="A77" s="4" t="s">
        <v>171</v>
      </c>
      <c r="B77" s="4" t="s">
        <v>172</v>
      </c>
      <c r="C77" s="4" t="s">
        <v>27</v>
      </c>
      <c r="D77" s="5">
        <v>45668</v>
      </c>
      <c r="E77" s="5">
        <v>45678</v>
      </c>
      <c r="F77" s="5">
        <v>45680</v>
      </c>
      <c r="G77" s="4" t="s">
        <v>22</v>
      </c>
      <c r="H77" s="4">
        <v>11</v>
      </c>
      <c r="I77" s="2">
        <v>11</v>
      </c>
      <c r="J77">
        <f t="shared" si="5"/>
        <v>12</v>
      </c>
      <c r="K77">
        <f t="shared" si="6"/>
        <v>2</v>
      </c>
      <c r="L77" t="str">
        <f t="shared" si="7"/>
        <v>No</v>
      </c>
      <c r="M77" t="str">
        <f t="shared" si="9"/>
        <v>Yes</v>
      </c>
      <c r="N77" t="str">
        <f t="shared" si="8"/>
        <v>No</v>
      </c>
    </row>
    <row r="78" spans="1:14" x14ac:dyDescent="0.3">
      <c r="A78" s="2" t="s">
        <v>173</v>
      </c>
      <c r="B78" s="2" t="s">
        <v>174</v>
      </c>
      <c r="C78" s="2" t="s">
        <v>37</v>
      </c>
      <c r="D78" s="3">
        <v>45671</v>
      </c>
      <c r="E78" s="3">
        <v>45676</v>
      </c>
      <c r="F78" s="3">
        <v>45686</v>
      </c>
      <c r="G78" s="2" t="s">
        <v>11</v>
      </c>
      <c r="H78" s="2">
        <v>33</v>
      </c>
      <c r="I78" s="2">
        <v>33</v>
      </c>
      <c r="J78">
        <f t="shared" si="5"/>
        <v>15</v>
      </c>
      <c r="K78">
        <f t="shared" si="6"/>
        <v>10</v>
      </c>
      <c r="L78" t="str">
        <f t="shared" si="7"/>
        <v>No</v>
      </c>
      <c r="M78" t="str">
        <f t="shared" si="9"/>
        <v>Yes</v>
      </c>
      <c r="N78" t="str">
        <f t="shared" si="8"/>
        <v>No</v>
      </c>
    </row>
    <row r="79" spans="1:14" x14ac:dyDescent="0.3">
      <c r="A79" s="4" t="s">
        <v>175</v>
      </c>
      <c r="B79" s="4" t="s">
        <v>176</v>
      </c>
      <c r="C79" s="4" t="s">
        <v>37</v>
      </c>
      <c r="D79" s="5">
        <v>45671</v>
      </c>
      <c r="E79" s="5">
        <v>45675</v>
      </c>
      <c r="F79" s="5">
        <v>45684</v>
      </c>
      <c r="G79" s="4" t="s">
        <v>15</v>
      </c>
      <c r="H79" s="4">
        <v>45</v>
      </c>
      <c r="I79" s="2">
        <v>45</v>
      </c>
      <c r="J79">
        <f t="shared" si="5"/>
        <v>13</v>
      </c>
      <c r="K79">
        <f t="shared" si="6"/>
        <v>9</v>
      </c>
      <c r="L79" t="str">
        <f t="shared" si="7"/>
        <v>No</v>
      </c>
      <c r="M79" t="str">
        <f t="shared" si="9"/>
        <v>Yes</v>
      </c>
      <c r="N79" t="str">
        <f t="shared" si="8"/>
        <v>No</v>
      </c>
    </row>
    <row r="80" spans="1:14" x14ac:dyDescent="0.3">
      <c r="A80" s="2" t="s">
        <v>177</v>
      </c>
      <c r="B80" s="2" t="s">
        <v>178</v>
      </c>
      <c r="C80" s="2" t="s">
        <v>21</v>
      </c>
      <c r="D80" s="3">
        <v>45670</v>
      </c>
      <c r="E80" s="3">
        <v>45676</v>
      </c>
      <c r="F80" s="3">
        <v>45680</v>
      </c>
      <c r="G80" s="2" t="s">
        <v>15</v>
      </c>
      <c r="H80" s="2">
        <v>39</v>
      </c>
      <c r="I80" s="2">
        <v>42</v>
      </c>
      <c r="J80">
        <f t="shared" si="5"/>
        <v>10</v>
      </c>
      <c r="K80">
        <f t="shared" si="6"/>
        <v>4</v>
      </c>
      <c r="L80" t="str">
        <f t="shared" si="7"/>
        <v>No</v>
      </c>
      <c r="M80" t="str">
        <f t="shared" si="9"/>
        <v>No</v>
      </c>
      <c r="N80" t="str">
        <f t="shared" si="8"/>
        <v>No</v>
      </c>
    </row>
    <row r="81" spans="1:14" x14ac:dyDescent="0.3">
      <c r="A81" s="4" t="s">
        <v>179</v>
      </c>
      <c r="B81" s="4" t="s">
        <v>180</v>
      </c>
      <c r="C81" s="4" t="s">
        <v>27</v>
      </c>
      <c r="D81" s="5">
        <v>45669</v>
      </c>
      <c r="E81" s="5">
        <v>45677</v>
      </c>
      <c r="F81" s="5">
        <v>45686</v>
      </c>
      <c r="G81" s="4" t="s">
        <v>40</v>
      </c>
      <c r="H81" s="4">
        <v>39</v>
      </c>
      <c r="I81" s="2">
        <v>39</v>
      </c>
      <c r="J81">
        <f t="shared" si="5"/>
        <v>17</v>
      </c>
      <c r="K81">
        <f t="shared" si="6"/>
        <v>9</v>
      </c>
      <c r="L81" t="str">
        <f t="shared" si="7"/>
        <v>No</v>
      </c>
      <c r="M81" t="str">
        <f t="shared" si="9"/>
        <v>Yes</v>
      </c>
      <c r="N81" t="str">
        <f t="shared" si="8"/>
        <v>No</v>
      </c>
    </row>
    <row r="82" spans="1:14" x14ac:dyDescent="0.3">
      <c r="A82" s="2" t="s">
        <v>181</v>
      </c>
      <c r="B82" s="2" t="s">
        <v>182</v>
      </c>
      <c r="C82" s="2" t="s">
        <v>27</v>
      </c>
      <c r="D82" s="3">
        <v>45669</v>
      </c>
      <c r="E82" s="3">
        <v>45675</v>
      </c>
      <c r="F82" s="3">
        <v>45682</v>
      </c>
      <c r="G82" s="2" t="s">
        <v>11</v>
      </c>
      <c r="H82" s="2">
        <v>6</v>
      </c>
      <c r="I82" s="2">
        <v>6</v>
      </c>
      <c r="J82">
        <f t="shared" si="5"/>
        <v>13</v>
      </c>
      <c r="K82">
        <f t="shared" si="6"/>
        <v>7</v>
      </c>
      <c r="L82" t="str">
        <f t="shared" si="7"/>
        <v>No</v>
      </c>
      <c r="M82" t="str">
        <f t="shared" si="9"/>
        <v>Yes</v>
      </c>
      <c r="N82" t="str">
        <f t="shared" si="8"/>
        <v>No</v>
      </c>
    </row>
    <row r="83" spans="1:14" x14ac:dyDescent="0.3">
      <c r="A83" s="4" t="s">
        <v>183</v>
      </c>
      <c r="B83" s="4" t="s">
        <v>184</v>
      </c>
      <c r="C83" s="4" t="s">
        <v>34</v>
      </c>
      <c r="D83" s="5">
        <v>45671</v>
      </c>
      <c r="E83" s="5">
        <v>45680</v>
      </c>
      <c r="F83" s="5">
        <v>45677</v>
      </c>
      <c r="G83" s="4" t="s">
        <v>11</v>
      </c>
      <c r="H83" s="4">
        <v>40</v>
      </c>
      <c r="I83" s="2">
        <v>41</v>
      </c>
      <c r="J83">
        <f t="shared" si="5"/>
        <v>6</v>
      </c>
      <c r="K83">
        <f t="shared" si="6"/>
        <v>-3</v>
      </c>
      <c r="L83" t="str">
        <f t="shared" si="7"/>
        <v>Yes</v>
      </c>
      <c r="M83" t="str">
        <f t="shared" si="9"/>
        <v>No</v>
      </c>
      <c r="N83" t="str">
        <f t="shared" si="8"/>
        <v>No</v>
      </c>
    </row>
    <row r="84" spans="1:14" x14ac:dyDescent="0.3">
      <c r="A84" s="2" t="s">
        <v>185</v>
      </c>
      <c r="B84" s="2" t="s">
        <v>186</v>
      </c>
      <c r="C84" s="2" t="s">
        <v>10</v>
      </c>
      <c r="D84" s="3">
        <v>45672</v>
      </c>
      <c r="E84" s="3">
        <v>45675</v>
      </c>
      <c r="F84" s="3">
        <v>45678</v>
      </c>
      <c r="G84" s="2" t="s">
        <v>22</v>
      </c>
      <c r="H84" s="2">
        <v>11</v>
      </c>
      <c r="I84" s="2">
        <v>11</v>
      </c>
      <c r="J84">
        <f t="shared" si="5"/>
        <v>6</v>
      </c>
      <c r="K84">
        <f t="shared" si="6"/>
        <v>3</v>
      </c>
      <c r="L84" t="str">
        <f t="shared" si="7"/>
        <v>No</v>
      </c>
      <c r="M84" t="str">
        <f t="shared" si="9"/>
        <v>Yes</v>
      </c>
      <c r="N84" t="str">
        <f t="shared" si="8"/>
        <v>No</v>
      </c>
    </row>
    <row r="85" spans="1:14" x14ac:dyDescent="0.3">
      <c r="A85" s="4" t="s">
        <v>187</v>
      </c>
      <c r="B85" s="4" t="s">
        <v>188</v>
      </c>
      <c r="C85" s="4" t="s">
        <v>21</v>
      </c>
      <c r="D85" s="5">
        <v>45672</v>
      </c>
      <c r="E85" s="5">
        <v>45680</v>
      </c>
      <c r="F85" s="5">
        <v>45677</v>
      </c>
      <c r="G85" s="4" t="s">
        <v>11</v>
      </c>
      <c r="H85" s="4">
        <v>47</v>
      </c>
      <c r="I85" s="2">
        <v>47</v>
      </c>
      <c r="J85">
        <f t="shared" si="5"/>
        <v>5</v>
      </c>
      <c r="K85">
        <f t="shared" si="6"/>
        <v>-3</v>
      </c>
      <c r="L85" t="str">
        <f t="shared" si="7"/>
        <v>Yes</v>
      </c>
      <c r="M85" t="str">
        <f t="shared" si="9"/>
        <v>Yes</v>
      </c>
      <c r="N85" t="str">
        <f t="shared" si="8"/>
        <v>Yes</v>
      </c>
    </row>
    <row r="86" spans="1:14" x14ac:dyDescent="0.3">
      <c r="A86" s="2" t="s">
        <v>189</v>
      </c>
      <c r="B86" s="2" t="s">
        <v>190</v>
      </c>
      <c r="C86" s="2" t="s">
        <v>27</v>
      </c>
      <c r="D86" s="3">
        <v>45671</v>
      </c>
      <c r="E86" s="3">
        <v>45680</v>
      </c>
      <c r="F86" s="3">
        <v>45684</v>
      </c>
      <c r="G86" s="2" t="s">
        <v>22</v>
      </c>
      <c r="H86" s="2">
        <v>27</v>
      </c>
      <c r="I86" s="2">
        <v>27</v>
      </c>
      <c r="J86">
        <f t="shared" si="5"/>
        <v>13</v>
      </c>
      <c r="K86">
        <f t="shared" si="6"/>
        <v>4</v>
      </c>
      <c r="L86" t="str">
        <f t="shared" si="7"/>
        <v>No</v>
      </c>
      <c r="M86" t="str">
        <f t="shared" si="9"/>
        <v>Yes</v>
      </c>
      <c r="N86" t="str">
        <f t="shared" si="8"/>
        <v>No</v>
      </c>
    </row>
    <row r="87" spans="1:14" x14ac:dyDescent="0.3">
      <c r="A87" s="4" t="s">
        <v>191</v>
      </c>
      <c r="B87" s="4" t="s">
        <v>192</v>
      </c>
      <c r="C87" s="4" t="s">
        <v>27</v>
      </c>
      <c r="D87" s="5">
        <v>45670</v>
      </c>
      <c r="E87" s="5">
        <v>45674</v>
      </c>
      <c r="F87" s="5">
        <v>45685</v>
      </c>
      <c r="G87" s="4" t="s">
        <v>22</v>
      </c>
      <c r="H87" s="4">
        <v>6</v>
      </c>
      <c r="I87" s="2">
        <v>7</v>
      </c>
      <c r="J87">
        <f t="shared" si="5"/>
        <v>15</v>
      </c>
      <c r="K87">
        <f t="shared" si="6"/>
        <v>11</v>
      </c>
      <c r="L87" t="str">
        <f t="shared" si="7"/>
        <v>No</v>
      </c>
      <c r="M87" t="str">
        <f t="shared" si="9"/>
        <v>No</v>
      </c>
      <c r="N87" t="str">
        <f t="shared" si="8"/>
        <v>No</v>
      </c>
    </row>
    <row r="88" spans="1:14" x14ac:dyDescent="0.3">
      <c r="A88" s="2" t="s">
        <v>193</v>
      </c>
      <c r="B88" s="2" t="s">
        <v>194</v>
      </c>
      <c r="C88" s="2" t="s">
        <v>27</v>
      </c>
      <c r="D88" s="3">
        <v>45670</v>
      </c>
      <c r="E88" s="3">
        <v>45674</v>
      </c>
      <c r="F88" s="3">
        <v>45684</v>
      </c>
      <c r="G88" s="2" t="s">
        <v>11</v>
      </c>
      <c r="H88" s="2">
        <v>11</v>
      </c>
      <c r="I88" s="2">
        <v>11</v>
      </c>
      <c r="J88">
        <f t="shared" si="5"/>
        <v>14</v>
      </c>
      <c r="K88">
        <f t="shared" si="6"/>
        <v>10</v>
      </c>
      <c r="L88" t="str">
        <f t="shared" si="7"/>
        <v>No</v>
      </c>
      <c r="M88" t="str">
        <f t="shared" si="9"/>
        <v>Yes</v>
      </c>
      <c r="N88" t="str">
        <f t="shared" si="8"/>
        <v>No</v>
      </c>
    </row>
    <row r="89" spans="1:14" x14ac:dyDescent="0.3">
      <c r="A89" s="4" t="s">
        <v>195</v>
      </c>
      <c r="B89" s="4" t="s">
        <v>196</v>
      </c>
      <c r="C89" s="4" t="s">
        <v>34</v>
      </c>
      <c r="D89" s="5">
        <v>45672</v>
      </c>
      <c r="E89" s="5">
        <v>45677</v>
      </c>
      <c r="F89" s="5">
        <v>45680</v>
      </c>
      <c r="G89" s="4" t="s">
        <v>15</v>
      </c>
      <c r="H89" s="4">
        <v>3</v>
      </c>
      <c r="I89" s="2">
        <v>4</v>
      </c>
      <c r="J89">
        <f t="shared" si="5"/>
        <v>8</v>
      </c>
      <c r="K89">
        <f t="shared" si="6"/>
        <v>3</v>
      </c>
      <c r="L89" t="str">
        <f t="shared" si="7"/>
        <v>No</v>
      </c>
      <c r="M89" t="str">
        <f t="shared" si="9"/>
        <v>No</v>
      </c>
      <c r="N89" t="str">
        <f t="shared" si="8"/>
        <v>No</v>
      </c>
    </row>
    <row r="90" spans="1:14" x14ac:dyDescent="0.3">
      <c r="A90" s="2" t="s">
        <v>197</v>
      </c>
      <c r="B90" s="2" t="s">
        <v>198</v>
      </c>
      <c r="C90" s="2" t="s">
        <v>10</v>
      </c>
      <c r="D90" s="3">
        <v>45673</v>
      </c>
      <c r="E90" s="3">
        <v>45678</v>
      </c>
      <c r="F90" s="3">
        <v>45678</v>
      </c>
      <c r="G90" s="2" t="s">
        <v>22</v>
      </c>
      <c r="H90" s="2">
        <v>19</v>
      </c>
      <c r="I90" s="2">
        <v>23</v>
      </c>
      <c r="J90">
        <f t="shared" si="5"/>
        <v>5</v>
      </c>
      <c r="K90">
        <f t="shared" si="6"/>
        <v>0</v>
      </c>
      <c r="L90" t="str">
        <f t="shared" si="7"/>
        <v>Yes</v>
      </c>
      <c r="M90" t="str">
        <f t="shared" si="9"/>
        <v>No</v>
      </c>
      <c r="N90" t="str">
        <f t="shared" si="8"/>
        <v>No</v>
      </c>
    </row>
    <row r="91" spans="1:14" x14ac:dyDescent="0.3">
      <c r="A91" s="4" t="s">
        <v>199</v>
      </c>
      <c r="B91" s="4" t="s">
        <v>200</v>
      </c>
      <c r="C91" s="4" t="s">
        <v>59</v>
      </c>
      <c r="D91" s="5">
        <v>45671</v>
      </c>
      <c r="E91" s="5">
        <v>45677</v>
      </c>
      <c r="F91" s="5">
        <v>45675</v>
      </c>
      <c r="G91" s="4" t="s">
        <v>11</v>
      </c>
      <c r="H91" s="4">
        <v>7</v>
      </c>
      <c r="I91" s="2">
        <v>7</v>
      </c>
      <c r="J91">
        <f t="shared" si="5"/>
        <v>4</v>
      </c>
      <c r="K91">
        <f t="shared" si="6"/>
        <v>-2</v>
      </c>
      <c r="L91" t="str">
        <f t="shared" si="7"/>
        <v>Yes</v>
      </c>
      <c r="M91" t="str">
        <f t="shared" si="9"/>
        <v>Yes</v>
      </c>
      <c r="N91" t="str">
        <f t="shared" si="8"/>
        <v>Yes</v>
      </c>
    </row>
    <row r="92" spans="1:14" x14ac:dyDescent="0.3">
      <c r="A92" s="2" t="s">
        <v>201</v>
      </c>
      <c r="B92" s="2" t="s">
        <v>202</v>
      </c>
      <c r="C92" s="2" t="s">
        <v>59</v>
      </c>
      <c r="D92" s="3">
        <v>45672</v>
      </c>
      <c r="E92" s="3">
        <v>45674</v>
      </c>
      <c r="F92" s="3">
        <v>45677</v>
      </c>
      <c r="G92" s="2" t="s">
        <v>15</v>
      </c>
      <c r="H92" s="2">
        <v>20</v>
      </c>
      <c r="I92" s="2">
        <v>20</v>
      </c>
      <c r="J92">
        <f t="shared" si="5"/>
        <v>5</v>
      </c>
      <c r="K92">
        <f t="shared" si="6"/>
        <v>3</v>
      </c>
      <c r="L92" t="str">
        <f t="shared" si="7"/>
        <v>No</v>
      </c>
      <c r="M92" t="str">
        <f t="shared" si="9"/>
        <v>Yes</v>
      </c>
      <c r="N92" t="str">
        <f t="shared" si="8"/>
        <v>No</v>
      </c>
    </row>
    <row r="93" spans="1:14" x14ac:dyDescent="0.3">
      <c r="A93" s="4" t="s">
        <v>203</v>
      </c>
      <c r="B93" s="4" t="s">
        <v>204</v>
      </c>
      <c r="C93" s="4" t="s">
        <v>21</v>
      </c>
      <c r="D93" s="5">
        <v>45672</v>
      </c>
      <c r="E93" s="5">
        <v>45678</v>
      </c>
      <c r="F93" s="5">
        <v>45680</v>
      </c>
      <c r="G93" s="4" t="s">
        <v>15</v>
      </c>
      <c r="H93" s="4">
        <v>29</v>
      </c>
      <c r="I93" s="2">
        <v>29</v>
      </c>
      <c r="J93">
        <f t="shared" si="5"/>
        <v>8</v>
      </c>
      <c r="K93">
        <f t="shared" si="6"/>
        <v>2</v>
      </c>
      <c r="L93" t="str">
        <f t="shared" si="7"/>
        <v>No</v>
      </c>
      <c r="M93" t="str">
        <f t="shared" si="9"/>
        <v>Yes</v>
      </c>
      <c r="N93" t="str">
        <f t="shared" si="8"/>
        <v>No</v>
      </c>
    </row>
    <row r="94" spans="1:14" x14ac:dyDescent="0.3">
      <c r="A94" s="2" t="s">
        <v>205</v>
      </c>
      <c r="B94" s="2" t="s">
        <v>206</v>
      </c>
      <c r="C94" s="2" t="s">
        <v>10</v>
      </c>
      <c r="D94" s="3">
        <v>45674</v>
      </c>
      <c r="E94" s="3">
        <v>45679</v>
      </c>
      <c r="F94" s="3">
        <v>45679</v>
      </c>
      <c r="G94" s="2" t="s">
        <v>11</v>
      </c>
      <c r="H94" s="2">
        <v>7</v>
      </c>
      <c r="I94" s="2">
        <v>7</v>
      </c>
      <c r="J94">
        <f t="shared" si="5"/>
        <v>5</v>
      </c>
      <c r="K94">
        <f t="shared" si="6"/>
        <v>0</v>
      </c>
      <c r="L94" t="str">
        <f t="shared" si="7"/>
        <v>Yes</v>
      </c>
      <c r="M94" t="str">
        <f t="shared" si="9"/>
        <v>Yes</v>
      </c>
      <c r="N94" t="str">
        <f t="shared" si="8"/>
        <v>Yes</v>
      </c>
    </row>
    <row r="95" spans="1:14" x14ac:dyDescent="0.3">
      <c r="A95" s="4" t="s">
        <v>207</v>
      </c>
      <c r="B95" s="4" t="s">
        <v>208</v>
      </c>
      <c r="C95" s="4" t="s">
        <v>14</v>
      </c>
      <c r="D95" s="5">
        <v>45674</v>
      </c>
      <c r="E95" s="5">
        <v>45679</v>
      </c>
      <c r="F95" s="5">
        <v>45688</v>
      </c>
      <c r="G95" s="4" t="s">
        <v>18</v>
      </c>
      <c r="H95" s="4">
        <v>7</v>
      </c>
      <c r="I95" s="2">
        <v>12</v>
      </c>
      <c r="J95">
        <f t="shared" si="5"/>
        <v>14</v>
      </c>
      <c r="K95">
        <f t="shared" si="6"/>
        <v>9</v>
      </c>
      <c r="L95" t="str">
        <f t="shared" si="7"/>
        <v>No</v>
      </c>
      <c r="M95" t="str">
        <f t="shared" si="9"/>
        <v>No</v>
      </c>
      <c r="N95" t="str">
        <f t="shared" si="8"/>
        <v>No</v>
      </c>
    </row>
    <row r="96" spans="1:14" x14ac:dyDescent="0.3">
      <c r="A96" s="2" t="s">
        <v>209</v>
      </c>
      <c r="B96" s="2" t="s">
        <v>210</v>
      </c>
      <c r="C96" s="2" t="s">
        <v>59</v>
      </c>
      <c r="D96" s="3">
        <v>45674</v>
      </c>
      <c r="E96" s="3">
        <v>45681</v>
      </c>
      <c r="F96" s="3">
        <v>45678</v>
      </c>
      <c r="G96" s="2" t="s">
        <v>11</v>
      </c>
      <c r="H96" s="2">
        <v>28</v>
      </c>
      <c r="I96" s="2">
        <v>28</v>
      </c>
      <c r="J96">
        <f t="shared" si="5"/>
        <v>4</v>
      </c>
      <c r="K96">
        <f t="shared" si="6"/>
        <v>-3</v>
      </c>
      <c r="L96" t="str">
        <f t="shared" si="7"/>
        <v>Yes</v>
      </c>
      <c r="M96" t="str">
        <f t="shared" si="9"/>
        <v>Yes</v>
      </c>
      <c r="N96" t="str">
        <f t="shared" si="8"/>
        <v>Yes</v>
      </c>
    </row>
    <row r="97" spans="1:14" x14ac:dyDescent="0.3">
      <c r="A97" s="4" t="s">
        <v>211</v>
      </c>
      <c r="B97" s="4" t="s">
        <v>212</v>
      </c>
      <c r="C97" s="4" t="s">
        <v>14</v>
      </c>
      <c r="D97" s="5">
        <v>45672</v>
      </c>
      <c r="E97" s="5">
        <v>45675</v>
      </c>
      <c r="F97" s="5">
        <v>45687</v>
      </c>
      <c r="G97" s="4" t="s">
        <v>18</v>
      </c>
      <c r="H97" s="4">
        <v>20</v>
      </c>
      <c r="I97" s="2">
        <v>20</v>
      </c>
      <c r="J97">
        <f t="shared" si="5"/>
        <v>15</v>
      </c>
      <c r="K97">
        <f t="shared" si="6"/>
        <v>12</v>
      </c>
      <c r="L97" t="str">
        <f t="shared" si="7"/>
        <v>No</v>
      </c>
      <c r="M97" t="str">
        <f t="shared" si="9"/>
        <v>Yes</v>
      </c>
      <c r="N97" t="str">
        <f t="shared" si="8"/>
        <v>No</v>
      </c>
    </row>
    <row r="98" spans="1:14" x14ac:dyDescent="0.3">
      <c r="A98" s="2" t="s">
        <v>213</v>
      </c>
      <c r="B98" s="2" t="s">
        <v>214</v>
      </c>
      <c r="C98" s="2" t="s">
        <v>21</v>
      </c>
      <c r="D98" s="3">
        <v>45673</v>
      </c>
      <c r="E98" s="3">
        <v>45675</v>
      </c>
      <c r="F98" s="3">
        <v>45678</v>
      </c>
      <c r="G98" s="2" t="s">
        <v>11</v>
      </c>
      <c r="H98" s="2">
        <v>41</v>
      </c>
      <c r="I98" s="2">
        <v>41</v>
      </c>
      <c r="J98">
        <f t="shared" si="5"/>
        <v>5</v>
      </c>
      <c r="K98">
        <f t="shared" si="6"/>
        <v>3</v>
      </c>
      <c r="L98" t="str">
        <f t="shared" si="7"/>
        <v>No</v>
      </c>
      <c r="M98" t="str">
        <f t="shared" si="9"/>
        <v>Yes</v>
      </c>
      <c r="N98" t="str">
        <f t="shared" si="8"/>
        <v>No</v>
      </c>
    </row>
    <row r="99" spans="1:14" x14ac:dyDescent="0.3">
      <c r="A99" s="4" t="s">
        <v>215</v>
      </c>
      <c r="B99" s="4" t="s">
        <v>216</v>
      </c>
      <c r="C99" s="4" t="s">
        <v>27</v>
      </c>
      <c r="D99" s="5">
        <v>45672</v>
      </c>
      <c r="E99" s="5">
        <v>45682</v>
      </c>
      <c r="F99" s="5">
        <v>45684</v>
      </c>
      <c r="G99" s="4" t="s">
        <v>15</v>
      </c>
      <c r="H99" s="4">
        <v>9</v>
      </c>
      <c r="I99" s="2">
        <v>9</v>
      </c>
      <c r="J99">
        <f t="shared" si="5"/>
        <v>12</v>
      </c>
      <c r="K99">
        <f t="shared" si="6"/>
        <v>2</v>
      </c>
      <c r="L99" t="str">
        <f t="shared" si="7"/>
        <v>No</v>
      </c>
      <c r="M99" t="str">
        <f t="shared" si="9"/>
        <v>Yes</v>
      </c>
      <c r="N99" t="str">
        <f t="shared" si="8"/>
        <v>No</v>
      </c>
    </row>
    <row r="100" spans="1:14" x14ac:dyDescent="0.3">
      <c r="A100" s="2" t="s">
        <v>217</v>
      </c>
      <c r="B100" s="2" t="s">
        <v>218</v>
      </c>
      <c r="C100" s="2" t="s">
        <v>37</v>
      </c>
      <c r="D100" s="3">
        <v>45675</v>
      </c>
      <c r="E100" s="3">
        <v>45683</v>
      </c>
      <c r="F100" s="3">
        <v>45692</v>
      </c>
      <c r="G100" s="2" t="s">
        <v>18</v>
      </c>
      <c r="H100" s="2">
        <v>39</v>
      </c>
      <c r="I100" s="2">
        <v>45</v>
      </c>
      <c r="J100">
        <f t="shared" si="5"/>
        <v>17</v>
      </c>
      <c r="K100">
        <f t="shared" si="6"/>
        <v>9</v>
      </c>
      <c r="L100" t="str">
        <f t="shared" si="7"/>
        <v>No</v>
      </c>
      <c r="M100" t="str">
        <f t="shared" si="9"/>
        <v>No</v>
      </c>
      <c r="N100" t="str">
        <f t="shared" si="8"/>
        <v>No</v>
      </c>
    </row>
    <row r="101" spans="1:14" x14ac:dyDescent="0.3">
      <c r="A101" s="4" t="s">
        <v>219</v>
      </c>
      <c r="B101" s="4" t="s">
        <v>220</v>
      </c>
      <c r="C101" s="4" t="s">
        <v>37</v>
      </c>
      <c r="D101" s="5">
        <v>45674</v>
      </c>
      <c r="E101" s="5">
        <v>45677</v>
      </c>
      <c r="F101" s="5">
        <v>45687</v>
      </c>
      <c r="G101" s="4" t="s">
        <v>22</v>
      </c>
      <c r="H101" s="4">
        <v>3</v>
      </c>
      <c r="I101" s="2">
        <v>3</v>
      </c>
      <c r="J101">
        <f t="shared" si="5"/>
        <v>13</v>
      </c>
      <c r="K101">
        <f t="shared" si="6"/>
        <v>10</v>
      </c>
      <c r="L101" t="str">
        <f t="shared" si="7"/>
        <v>No</v>
      </c>
      <c r="M101" t="str">
        <f t="shared" si="9"/>
        <v>Yes</v>
      </c>
      <c r="N101" t="str">
        <f t="shared" si="8"/>
        <v>No</v>
      </c>
    </row>
    <row r="102" spans="1:14" x14ac:dyDescent="0.3">
      <c r="A102" s="2" t="s">
        <v>221</v>
      </c>
      <c r="B102" s="2" t="s">
        <v>222</v>
      </c>
      <c r="C102" s="2" t="s">
        <v>34</v>
      </c>
      <c r="D102" s="3">
        <v>45674</v>
      </c>
      <c r="E102" s="3">
        <v>45682</v>
      </c>
      <c r="F102" s="3">
        <v>45682</v>
      </c>
      <c r="G102" s="2" t="s">
        <v>15</v>
      </c>
      <c r="H102" s="2">
        <v>17</v>
      </c>
      <c r="I102" s="2">
        <v>17</v>
      </c>
      <c r="J102">
        <f t="shared" si="5"/>
        <v>8</v>
      </c>
      <c r="K102">
        <f t="shared" si="6"/>
        <v>0</v>
      </c>
      <c r="L102" t="str">
        <f t="shared" si="7"/>
        <v>Yes</v>
      </c>
      <c r="M102" t="str">
        <f t="shared" si="9"/>
        <v>Yes</v>
      </c>
      <c r="N102" t="str">
        <f t="shared" si="8"/>
        <v>Yes</v>
      </c>
    </row>
    <row r="103" spans="1:14" x14ac:dyDescent="0.3">
      <c r="A103" s="4" t="s">
        <v>223</v>
      </c>
      <c r="B103" s="4" t="s">
        <v>224</v>
      </c>
      <c r="C103" s="4" t="s">
        <v>72</v>
      </c>
      <c r="D103" s="5">
        <v>45675</v>
      </c>
      <c r="E103" s="5">
        <v>45681</v>
      </c>
      <c r="F103" s="5">
        <v>45690</v>
      </c>
      <c r="G103" s="4" t="s">
        <v>11</v>
      </c>
      <c r="H103" s="4">
        <v>27</v>
      </c>
      <c r="I103" s="2">
        <v>27</v>
      </c>
      <c r="J103">
        <f t="shared" si="5"/>
        <v>15</v>
      </c>
      <c r="K103">
        <f t="shared" si="6"/>
        <v>9</v>
      </c>
      <c r="L103" t="str">
        <f t="shared" si="7"/>
        <v>No</v>
      </c>
      <c r="M103" t="str">
        <f t="shared" si="9"/>
        <v>Yes</v>
      </c>
      <c r="N103" t="str">
        <f t="shared" si="8"/>
        <v>No</v>
      </c>
    </row>
    <row r="104" spans="1:14" x14ac:dyDescent="0.3">
      <c r="A104" s="2" t="s">
        <v>225</v>
      </c>
      <c r="B104" s="2" t="s">
        <v>226</v>
      </c>
      <c r="C104" s="2" t="s">
        <v>14</v>
      </c>
      <c r="D104" s="3">
        <v>45673</v>
      </c>
      <c r="E104" s="3">
        <v>45676</v>
      </c>
      <c r="F104" s="3">
        <v>45689</v>
      </c>
      <c r="G104" s="2" t="s">
        <v>18</v>
      </c>
      <c r="H104" s="2">
        <v>50</v>
      </c>
      <c r="I104" s="2">
        <v>50</v>
      </c>
      <c r="J104">
        <f t="shared" si="5"/>
        <v>16</v>
      </c>
      <c r="K104">
        <f t="shared" si="6"/>
        <v>13</v>
      </c>
      <c r="L104" t="str">
        <f t="shared" si="7"/>
        <v>No</v>
      </c>
      <c r="M104" t="str">
        <f t="shared" si="9"/>
        <v>Yes</v>
      </c>
      <c r="N104" t="str">
        <f t="shared" si="8"/>
        <v>No</v>
      </c>
    </row>
    <row r="105" spans="1:14" x14ac:dyDescent="0.3">
      <c r="A105" s="4" t="s">
        <v>227</v>
      </c>
      <c r="B105" s="4" t="s">
        <v>228</v>
      </c>
      <c r="C105" s="4" t="s">
        <v>21</v>
      </c>
      <c r="D105" s="5">
        <v>45675</v>
      </c>
      <c r="E105" s="5">
        <v>45676</v>
      </c>
      <c r="F105" s="5">
        <v>45681</v>
      </c>
      <c r="G105" s="4" t="s">
        <v>18</v>
      </c>
      <c r="H105" s="4">
        <v>27</v>
      </c>
      <c r="I105" s="2">
        <v>27</v>
      </c>
      <c r="J105">
        <f t="shared" si="5"/>
        <v>6</v>
      </c>
      <c r="K105">
        <f t="shared" si="6"/>
        <v>5</v>
      </c>
      <c r="L105" t="str">
        <f t="shared" si="7"/>
        <v>No</v>
      </c>
      <c r="M105" t="str">
        <f t="shared" si="9"/>
        <v>Yes</v>
      </c>
      <c r="N105" t="str">
        <f t="shared" si="8"/>
        <v>No</v>
      </c>
    </row>
    <row r="106" spans="1:14" x14ac:dyDescent="0.3">
      <c r="A106" s="2" t="s">
        <v>229</v>
      </c>
      <c r="B106" s="2" t="s">
        <v>230</v>
      </c>
      <c r="C106" s="2" t="s">
        <v>27</v>
      </c>
      <c r="D106" s="3">
        <v>45673</v>
      </c>
      <c r="E106" s="3">
        <v>45679</v>
      </c>
      <c r="F106" s="3">
        <v>45686</v>
      </c>
      <c r="G106" s="2" t="s">
        <v>11</v>
      </c>
      <c r="H106" s="2">
        <v>6</v>
      </c>
      <c r="I106" s="2">
        <v>6</v>
      </c>
      <c r="J106">
        <f t="shared" si="5"/>
        <v>13</v>
      </c>
      <c r="K106">
        <f t="shared" si="6"/>
        <v>7</v>
      </c>
      <c r="L106" t="str">
        <f t="shared" si="7"/>
        <v>No</v>
      </c>
      <c r="M106" t="str">
        <f t="shared" si="9"/>
        <v>Yes</v>
      </c>
      <c r="N106" t="str">
        <f t="shared" si="8"/>
        <v>No</v>
      </c>
    </row>
    <row r="107" spans="1:14" x14ac:dyDescent="0.3">
      <c r="A107" s="4" t="s">
        <v>231</v>
      </c>
      <c r="B107" s="4" t="s">
        <v>232</v>
      </c>
      <c r="C107" s="4" t="s">
        <v>27</v>
      </c>
      <c r="D107" s="5">
        <v>45675</v>
      </c>
      <c r="E107" s="5">
        <v>45676</v>
      </c>
      <c r="F107" s="5">
        <v>45688</v>
      </c>
      <c r="G107" s="4" t="s">
        <v>40</v>
      </c>
      <c r="H107" s="4">
        <v>7</v>
      </c>
      <c r="I107" s="2">
        <v>7</v>
      </c>
      <c r="J107">
        <f t="shared" si="5"/>
        <v>13</v>
      </c>
      <c r="K107">
        <f t="shared" si="6"/>
        <v>12</v>
      </c>
      <c r="L107" t="str">
        <f t="shared" si="7"/>
        <v>No</v>
      </c>
      <c r="M107" t="str">
        <f t="shared" si="9"/>
        <v>Yes</v>
      </c>
      <c r="N107" t="str">
        <f t="shared" si="8"/>
        <v>No</v>
      </c>
    </row>
    <row r="108" spans="1:14" x14ac:dyDescent="0.3">
      <c r="A108" s="2" t="s">
        <v>233</v>
      </c>
      <c r="B108" s="2" t="s">
        <v>234</v>
      </c>
      <c r="C108" s="2" t="s">
        <v>37</v>
      </c>
      <c r="D108" s="3">
        <v>45674</v>
      </c>
      <c r="E108" s="3">
        <v>45684</v>
      </c>
      <c r="F108" s="3">
        <v>45686</v>
      </c>
      <c r="G108" s="2" t="s">
        <v>40</v>
      </c>
      <c r="H108" s="2">
        <v>59</v>
      </c>
      <c r="I108" s="2">
        <v>59</v>
      </c>
      <c r="J108">
        <f t="shared" si="5"/>
        <v>12</v>
      </c>
      <c r="K108">
        <f t="shared" si="6"/>
        <v>2</v>
      </c>
      <c r="L108" t="str">
        <f t="shared" si="7"/>
        <v>No</v>
      </c>
      <c r="M108" t="str">
        <f t="shared" si="9"/>
        <v>Yes</v>
      </c>
      <c r="N108" t="str">
        <f t="shared" si="8"/>
        <v>No</v>
      </c>
    </row>
    <row r="109" spans="1:14" x14ac:dyDescent="0.3">
      <c r="A109" s="4" t="s">
        <v>235</v>
      </c>
      <c r="B109" s="4" t="s">
        <v>236</v>
      </c>
      <c r="C109" s="4" t="s">
        <v>72</v>
      </c>
      <c r="D109" s="5">
        <v>45674</v>
      </c>
      <c r="E109" s="5">
        <v>45684</v>
      </c>
      <c r="F109" s="5">
        <v>45692</v>
      </c>
      <c r="G109" s="4" t="s">
        <v>15</v>
      </c>
      <c r="H109" s="4">
        <v>26</v>
      </c>
      <c r="I109" s="2">
        <v>26</v>
      </c>
      <c r="J109">
        <f t="shared" si="5"/>
        <v>18</v>
      </c>
      <c r="K109">
        <f t="shared" si="6"/>
        <v>8</v>
      </c>
      <c r="L109" t="str">
        <f t="shared" si="7"/>
        <v>No</v>
      </c>
      <c r="M109" t="str">
        <f t="shared" si="9"/>
        <v>Yes</v>
      </c>
      <c r="N109" t="str">
        <f t="shared" si="8"/>
        <v>No</v>
      </c>
    </row>
    <row r="110" spans="1:14" x14ac:dyDescent="0.3">
      <c r="A110" s="2" t="s">
        <v>237</v>
      </c>
      <c r="B110" s="2" t="s">
        <v>238</v>
      </c>
      <c r="C110" s="2" t="s">
        <v>59</v>
      </c>
      <c r="D110" s="3">
        <v>45675</v>
      </c>
      <c r="E110" s="3">
        <v>45679</v>
      </c>
      <c r="F110" s="3">
        <v>45680</v>
      </c>
      <c r="G110" s="2" t="s">
        <v>18</v>
      </c>
      <c r="H110" s="2">
        <v>16</v>
      </c>
      <c r="I110" s="2">
        <v>16</v>
      </c>
      <c r="J110">
        <f t="shared" si="5"/>
        <v>5</v>
      </c>
      <c r="K110">
        <f t="shared" si="6"/>
        <v>1</v>
      </c>
      <c r="L110" t="str">
        <f t="shared" si="7"/>
        <v>No</v>
      </c>
      <c r="M110" t="str">
        <f t="shared" si="9"/>
        <v>Yes</v>
      </c>
      <c r="N110" t="str">
        <f t="shared" si="8"/>
        <v>No</v>
      </c>
    </row>
    <row r="111" spans="1:14" x14ac:dyDescent="0.3">
      <c r="A111" s="4" t="s">
        <v>239</v>
      </c>
      <c r="B111" s="4" t="s">
        <v>240</v>
      </c>
      <c r="C111" s="4" t="s">
        <v>21</v>
      </c>
      <c r="D111" s="5">
        <v>45674</v>
      </c>
      <c r="E111" s="5">
        <v>45681</v>
      </c>
      <c r="F111" s="5">
        <v>45680</v>
      </c>
      <c r="G111" s="4" t="s">
        <v>15</v>
      </c>
      <c r="H111" s="4">
        <v>55</v>
      </c>
      <c r="I111" s="2">
        <v>55</v>
      </c>
      <c r="J111">
        <f t="shared" si="5"/>
        <v>6</v>
      </c>
      <c r="K111">
        <f t="shared" si="6"/>
        <v>-1</v>
      </c>
      <c r="L111" t="str">
        <f t="shared" si="7"/>
        <v>Yes</v>
      </c>
      <c r="M111" t="str">
        <f t="shared" si="9"/>
        <v>Yes</v>
      </c>
      <c r="N111" t="str">
        <f t="shared" si="8"/>
        <v>Yes</v>
      </c>
    </row>
    <row r="112" spans="1:14" x14ac:dyDescent="0.3">
      <c r="A112" s="2" t="s">
        <v>241</v>
      </c>
      <c r="B112" s="2" t="s">
        <v>242</v>
      </c>
      <c r="C112" s="2" t="s">
        <v>34</v>
      </c>
      <c r="D112" s="3">
        <v>45675</v>
      </c>
      <c r="E112" s="3">
        <v>45684</v>
      </c>
      <c r="F112" s="3">
        <v>45684</v>
      </c>
      <c r="G112" s="2" t="s">
        <v>40</v>
      </c>
      <c r="H112" s="2">
        <v>23</v>
      </c>
      <c r="I112" s="2">
        <v>23</v>
      </c>
      <c r="J112">
        <f t="shared" si="5"/>
        <v>9</v>
      </c>
      <c r="K112">
        <f t="shared" si="6"/>
        <v>0</v>
      </c>
      <c r="L112" t="str">
        <f t="shared" si="7"/>
        <v>Yes</v>
      </c>
      <c r="M112" t="str">
        <f t="shared" si="9"/>
        <v>Yes</v>
      </c>
      <c r="N112" t="str">
        <f t="shared" si="8"/>
        <v>Yes</v>
      </c>
    </row>
    <row r="113" spans="1:14" x14ac:dyDescent="0.3">
      <c r="A113" s="4" t="s">
        <v>243</v>
      </c>
      <c r="B113" s="4" t="s">
        <v>244</v>
      </c>
      <c r="C113" s="4" t="s">
        <v>72</v>
      </c>
      <c r="D113" s="5">
        <v>45677</v>
      </c>
      <c r="E113" s="5">
        <v>45684</v>
      </c>
      <c r="F113" s="5">
        <v>45693</v>
      </c>
      <c r="G113" s="4" t="s">
        <v>18</v>
      </c>
      <c r="H113" s="4">
        <v>14</v>
      </c>
      <c r="I113" s="2">
        <v>14</v>
      </c>
      <c r="J113">
        <f t="shared" si="5"/>
        <v>16</v>
      </c>
      <c r="K113">
        <f t="shared" si="6"/>
        <v>9</v>
      </c>
      <c r="L113" t="str">
        <f t="shared" si="7"/>
        <v>No</v>
      </c>
      <c r="M113" t="str">
        <f t="shared" si="9"/>
        <v>Yes</v>
      </c>
      <c r="N113" t="str">
        <f t="shared" si="8"/>
        <v>No</v>
      </c>
    </row>
    <row r="114" spans="1:14" x14ac:dyDescent="0.3">
      <c r="A114" s="2" t="s">
        <v>245</v>
      </c>
      <c r="B114" s="2" t="s">
        <v>246</v>
      </c>
      <c r="C114" s="2" t="s">
        <v>10</v>
      </c>
      <c r="D114" s="3">
        <v>45676</v>
      </c>
      <c r="E114" s="3">
        <v>45684</v>
      </c>
      <c r="F114" s="3">
        <v>45683</v>
      </c>
      <c r="G114" s="2" t="s">
        <v>11</v>
      </c>
      <c r="H114" s="2">
        <v>27</v>
      </c>
      <c r="I114" s="2">
        <v>27</v>
      </c>
      <c r="J114">
        <f t="shared" si="5"/>
        <v>7</v>
      </c>
      <c r="K114">
        <f t="shared" si="6"/>
        <v>-1</v>
      </c>
      <c r="L114" t="str">
        <f t="shared" si="7"/>
        <v>Yes</v>
      </c>
      <c r="M114" t="str">
        <f t="shared" si="9"/>
        <v>Yes</v>
      </c>
      <c r="N114" t="str">
        <f t="shared" si="8"/>
        <v>Yes</v>
      </c>
    </row>
    <row r="115" spans="1:14" x14ac:dyDescent="0.3">
      <c r="A115" s="4" t="s">
        <v>247</v>
      </c>
      <c r="B115" s="4" t="s">
        <v>248</v>
      </c>
      <c r="C115" s="4" t="s">
        <v>59</v>
      </c>
      <c r="D115" s="5">
        <v>45677</v>
      </c>
      <c r="E115" s="5">
        <v>45683</v>
      </c>
      <c r="F115" s="5">
        <v>45681</v>
      </c>
      <c r="G115" s="4" t="s">
        <v>18</v>
      </c>
      <c r="H115" s="4">
        <v>6</v>
      </c>
      <c r="I115" s="2">
        <v>6</v>
      </c>
      <c r="J115">
        <f t="shared" si="5"/>
        <v>4</v>
      </c>
      <c r="K115">
        <f t="shared" si="6"/>
        <v>-2</v>
      </c>
      <c r="L115" t="str">
        <f t="shared" si="7"/>
        <v>Yes</v>
      </c>
      <c r="M115" t="str">
        <f t="shared" si="9"/>
        <v>Yes</v>
      </c>
      <c r="N115" t="str">
        <f t="shared" si="8"/>
        <v>Yes</v>
      </c>
    </row>
    <row r="116" spans="1:14" x14ac:dyDescent="0.3">
      <c r="A116" s="2" t="s">
        <v>249</v>
      </c>
      <c r="B116" s="2" t="s">
        <v>250</v>
      </c>
      <c r="C116" s="2" t="s">
        <v>59</v>
      </c>
      <c r="D116" s="3">
        <v>45676</v>
      </c>
      <c r="E116" s="3">
        <v>45680</v>
      </c>
      <c r="F116" s="3">
        <v>45684</v>
      </c>
      <c r="G116" s="2" t="s">
        <v>15</v>
      </c>
      <c r="H116" s="2">
        <v>36</v>
      </c>
      <c r="I116" s="2">
        <v>42</v>
      </c>
      <c r="J116">
        <f t="shared" si="5"/>
        <v>8</v>
      </c>
      <c r="K116">
        <f t="shared" si="6"/>
        <v>4</v>
      </c>
      <c r="L116" t="str">
        <f t="shared" si="7"/>
        <v>No</v>
      </c>
      <c r="M116" t="str">
        <f t="shared" si="9"/>
        <v>No</v>
      </c>
      <c r="N116" t="str">
        <f t="shared" si="8"/>
        <v>No</v>
      </c>
    </row>
    <row r="117" spans="1:14" x14ac:dyDescent="0.3">
      <c r="A117" s="4" t="s">
        <v>251</v>
      </c>
      <c r="B117" s="4" t="s">
        <v>252</v>
      </c>
      <c r="C117" s="4" t="s">
        <v>59</v>
      </c>
      <c r="D117" s="5">
        <v>45675</v>
      </c>
      <c r="E117" s="5">
        <v>45682</v>
      </c>
      <c r="F117" s="5">
        <v>45681</v>
      </c>
      <c r="G117" s="4" t="s">
        <v>15</v>
      </c>
      <c r="H117" s="4">
        <v>19</v>
      </c>
      <c r="I117" s="2">
        <v>19</v>
      </c>
      <c r="J117">
        <f t="shared" si="5"/>
        <v>6</v>
      </c>
      <c r="K117">
        <f t="shared" si="6"/>
        <v>-1</v>
      </c>
      <c r="L117" t="str">
        <f t="shared" si="7"/>
        <v>Yes</v>
      </c>
      <c r="M117" t="str">
        <f t="shared" si="9"/>
        <v>Yes</v>
      </c>
      <c r="N117" t="str">
        <f t="shared" si="8"/>
        <v>Yes</v>
      </c>
    </row>
    <row r="118" spans="1:14" x14ac:dyDescent="0.3">
      <c r="A118" s="2" t="s">
        <v>253</v>
      </c>
      <c r="B118" s="2" t="s">
        <v>254</v>
      </c>
      <c r="C118" s="2" t="s">
        <v>27</v>
      </c>
      <c r="D118" s="3">
        <v>45675</v>
      </c>
      <c r="E118" s="3">
        <v>45685</v>
      </c>
      <c r="F118" s="3">
        <v>45689</v>
      </c>
      <c r="G118" s="2" t="s">
        <v>40</v>
      </c>
      <c r="H118" s="2">
        <v>5</v>
      </c>
      <c r="I118" s="2">
        <v>5</v>
      </c>
      <c r="J118">
        <f t="shared" si="5"/>
        <v>14</v>
      </c>
      <c r="K118">
        <f t="shared" si="6"/>
        <v>4</v>
      </c>
      <c r="L118" t="str">
        <f t="shared" si="7"/>
        <v>No</v>
      </c>
      <c r="M118" t="str">
        <f t="shared" si="9"/>
        <v>Yes</v>
      </c>
      <c r="N118" t="str">
        <f t="shared" si="8"/>
        <v>No</v>
      </c>
    </row>
    <row r="119" spans="1:14" x14ac:dyDescent="0.3">
      <c r="A119" s="4" t="s">
        <v>255</v>
      </c>
      <c r="B119" s="4" t="s">
        <v>256</v>
      </c>
      <c r="C119" s="4" t="s">
        <v>34</v>
      </c>
      <c r="D119" s="5">
        <v>45678</v>
      </c>
      <c r="E119" s="5">
        <v>45683</v>
      </c>
      <c r="F119" s="5">
        <v>45689</v>
      </c>
      <c r="G119" s="4" t="s">
        <v>40</v>
      </c>
      <c r="H119" s="4">
        <v>50</v>
      </c>
      <c r="I119" s="2">
        <v>50</v>
      </c>
      <c r="J119">
        <f t="shared" si="5"/>
        <v>11</v>
      </c>
      <c r="K119">
        <f t="shared" si="6"/>
        <v>6</v>
      </c>
      <c r="L119" t="str">
        <f t="shared" si="7"/>
        <v>No</v>
      </c>
      <c r="M119" t="str">
        <f t="shared" si="9"/>
        <v>Yes</v>
      </c>
      <c r="N119" t="str">
        <f t="shared" si="8"/>
        <v>No</v>
      </c>
    </row>
    <row r="120" spans="1:14" x14ac:dyDescent="0.3">
      <c r="A120" s="2" t="s">
        <v>257</v>
      </c>
      <c r="B120" s="2" t="s">
        <v>258</v>
      </c>
      <c r="C120" s="2" t="s">
        <v>34</v>
      </c>
      <c r="D120" s="3">
        <v>45678</v>
      </c>
      <c r="E120" s="3">
        <v>45680</v>
      </c>
      <c r="F120" s="3">
        <v>45685</v>
      </c>
      <c r="G120" s="2" t="s">
        <v>18</v>
      </c>
      <c r="H120" s="2">
        <v>17</v>
      </c>
      <c r="I120" s="2">
        <v>24</v>
      </c>
      <c r="J120">
        <f t="shared" si="5"/>
        <v>7</v>
      </c>
      <c r="K120">
        <f t="shared" si="6"/>
        <v>5</v>
      </c>
      <c r="L120" t="str">
        <f t="shared" si="7"/>
        <v>No</v>
      </c>
      <c r="M120" t="str">
        <f t="shared" si="9"/>
        <v>No</v>
      </c>
      <c r="N120" t="str">
        <f t="shared" si="8"/>
        <v>No</v>
      </c>
    </row>
    <row r="121" spans="1:14" x14ac:dyDescent="0.3">
      <c r="A121" s="4" t="s">
        <v>259</v>
      </c>
      <c r="B121" s="4" t="s">
        <v>260</v>
      </c>
      <c r="C121" s="4" t="s">
        <v>72</v>
      </c>
      <c r="D121" s="5">
        <v>45677</v>
      </c>
      <c r="E121" s="5">
        <v>45679</v>
      </c>
      <c r="F121" s="5">
        <v>45691</v>
      </c>
      <c r="G121" s="4" t="s">
        <v>40</v>
      </c>
      <c r="H121" s="4">
        <v>35</v>
      </c>
      <c r="I121" s="2">
        <v>35</v>
      </c>
      <c r="J121">
        <f t="shared" si="5"/>
        <v>14</v>
      </c>
      <c r="K121">
        <f t="shared" si="6"/>
        <v>12</v>
      </c>
      <c r="L121" t="str">
        <f t="shared" si="7"/>
        <v>No</v>
      </c>
      <c r="M121" t="str">
        <f t="shared" si="9"/>
        <v>Yes</v>
      </c>
      <c r="N121" t="str">
        <f t="shared" si="8"/>
        <v>No</v>
      </c>
    </row>
    <row r="122" spans="1:14" x14ac:dyDescent="0.3">
      <c r="A122" s="2" t="s">
        <v>261</v>
      </c>
      <c r="B122" s="2" t="s">
        <v>262</v>
      </c>
      <c r="C122" s="2" t="s">
        <v>10</v>
      </c>
      <c r="D122" s="3">
        <v>45678</v>
      </c>
      <c r="E122" s="3">
        <v>45681</v>
      </c>
      <c r="F122" s="3">
        <v>45683</v>
      </c>
      <c r="G122" s="2" t="s">
        <v>22</v>
      </c>
      <c r="H122" s="2">
        <v>17</v>
      </c>
      <c r="I122" s="2">
        <v>17</v>
      </c>
      <c r="J122">
        <f t="shared" si="5"/>
        <v>5</v>
      </c>
      <c r="K122">
        <f t="shared" si="6"/>
        <v>2</v>
      </c>
      <c r="L122" t="str">
        <f t="shared" si="7"/>
        <v>No</v>
      </c>
      <c r="M122" t="str">
        <f t="shared" si="9"/>
        <v>Yes</v>
      </c>
      <c r="N122" t="str">
        <f t="shared" si="8"/>
        <v>No</v>
      </c>
    </row>
    <row r="123" spans="1:14" x14ac:dyDescent="0.3">
      <c r="A123" s="4" t="s">
        <v>263</v>
      </c>
      <c r="B123" s="4" t="s">
        <v>264</v>
      </c>
      <c r="C123" s="4" t="s">
        <v>59</v>
      </c>
      <c r="D123" s="5">
        <v>45676</v>
      </c>
      <c r="E123" s="5">
        <v>45685</v>
      </c>
      <c r="F123" s="5">
        <v>45684</v>
      </c>
      <c r="G123" s="4" t="s">
        <v>18</v>
      </c>
      <c r="H123" s="4">
        <v>18</v>
      </c>
      <c r="I123" s="2">
        <v>18</v>
      </c>
      <c r="J123">
        <f t="shared" si="5"/>
        <v>8</v>
      </c>
      <c r="K123">
        <f t="shared" si="6"/>
        <v>-1</v>
      </c>
      <c r="L123" t="str">
        <f t="shared" si="7"/>
        <v>Yes</v>
      </c>
      <c r="M123" t="str">
        <f t="shared" si="9"/>
        <v>Yes</v>
      </c>
      <c r="N123" t="str">
        <f t="shared" si="8"/>
        <v>Yes</v>
      </c>
    </row>
    <row r="124" spans="1:14" x14ac:dyDescent="0.3">
      <c r="A124" s="2" t="s">
        <v>265</v>
      </c>
      <c r="B124" s="2" t="s">
        <v>266</v>
      </c>
      <c r="C124" s="2" t="s">
        <v>21</v>
      </c>
      <c r="D124" s="3">
        <v>45676</v>
      </c>
      <c r="E124" s="3">
        <v>45679</v>
      </c>
      <c r="F124" s="3">
        <v>45682</v>
      </c>
      <c r="G124" s="2" t="s">
        <v>11</v>
      </c>
      <c r="H124" s="2">
        <v>28</v>
      </c>
      <c r="I124" s="2">
        <v>28</v>
      </c>
      <c r="J124">
        <f t="shared" si="5"/>
        <v>6</v>
      </c>
      <c r="K124">
        <f t="shared" si="6"/>
        <v>3</v>
      </c>
      <c r="L124" t="str">
        <f t="shared" si="7"/>
        <v>No</v>
      </c>
      <c r="M124" t="str">
        <f t="shared" si="9"/>
        <v>Yes</v>
      </c>
      <c r="N124" t="str">
        <f t="shared" si="8"/>
        <v>No</v>
      </c>
    </row>
    <row r="125" spans="1:14" x14ac:dyDescent="0.3">
      <c r="A125" s="4" t="s">
        <v>267</v>
      </c>
      <c r="B125" s="4" t="s">
        <v>268</v>
      </c>
      <c r="C125" s="4" t="s">
        <v>21</v>
      </c>
      <c r="D125" s="5">
        <v>45678</v>
      </c>
      <c r="E125" s="5">
        <v>45686</v>
      </c>
      <c r="F125" s="5">
        <v>45684</v>
      </c>
      <c r="G125" s="4" t="s">
        <v>11</v>
      </c>
      <c r="H125" s="4">
        <v>18</v>
      </c>
      <c r="I125" s="2">
        <v>18</v>
      </c>
      <c r="J125">
        <f t="shared" si="5"/>
        <v>6</v>
      </c>
      <c r="K125">
        <f t="shared" si="6"/>
        <v>-2</v>
      </c>
      <c r="L125" t="str">
        <f t="shared" si="7"/>
        <v>Yes</v>
      </c>
      <c r="M125" t="str">
        <f t="shared" si="9"/>
        <v>Yes</v>
      </c>
      <c r="N125" t="str">
        <f t="shared" si="8"/>
        <v>Yes</v>
      </c>
    </row>
    <row r="126" spans="1:14" x14ac:dyDescent="0.3">
      <c r="A126" s="2" t="s">
        <v>269</v>
      </c>
      <c r="B126" s="2" t="s">
        <v>270</v>
      </c>
      <c r="C126" s="2" t="s">
        <v>27</v>
      </c>
      <c r="D126" s="3">
        <v>45678</v>
      </c>
      <c r="E126" s="3">
        <v>45682</v>
      </c>
      <c r="F126" s="3">
        <v>45690</v>
      </c>
      <c r="G126" s="2" t="s">
        <v>40</v>
      </c>
      <c r="H126" s="2">
        <v>6</v>
      </c>
      <c r="I126" s="2">
        <v>6</v>
      </c>
      <c r="J126">
        <f t="shared" si="5"/>
        <v>12</v>
      </c>
      <c r="K126">
        <f t="shared" si="6"/>
        <v>8</v>
      </c>
      <c r="L126" t="str">
        <f t="shared" si="7"/>
        <v>No</v>
      </c>
      <c r="M126" t="str">
        <f t="shared" si="9"/>
        <v>Yes</v>
      </c>
      <c r="N126" t="str">
        <f t="shared" si="8"/>
        <v>No</v>
      </c>
    </row>
    <row r="127" spans="1:14" x14ac:dyDescent="0.3">
      <c r="A127" s="4" t="s">
        <v>271</v>
      </c>
      <c r="B127" s="4" t="s">
        <v>272</v>
      </c>
      <c r="C127" s="4" t="s">
        <v>27</v>
      </c>
      <c r="D127" s="5">
        <v>45676</v>
      </c>
      <c r="E127" s="5">
        <v>45685</v>
      </c>
      <c r="F127" s="5">
        <v>45688</v>
      </c>
      <c r="G127" s="4" t="s">
        <v>18</v>
      </c>
      <c r="H127" s="4">
        <v>7</v>
      </c>
      <c r="I127" s="2">
        <v>14</v>
      </c>
      <c r="J127">
        <f t="shared" si="5"/>
        <v>12</v>
      </c>
      <c r="K127">
        <f t="shared" si="6"/>
        <v>3</v>
      </c>
      <c r="L127" t="str">
        <f t="shared" si="7"/>
        <v>No</v>
      </c>
      <c r="M127" t="str">
        <f t="shared" si="9"/>
        <v>No</v>
      </c>
      <c r="N127" t="str">
        <f t="shared" si="8"/>
        <v>No</v>
      </c>
    </row>
    <row r="128" spans="1:14" x14ac:dyDescent="0.3">
      <c r="A128" s="2" t="s">
        <v>273</v>
      </c>
      <c r="B128" s="2" t="s">
        <v>274</v>
      </c>
      <c r="C128" s="2" t="s">
        <v>34</v>
      </c>
      <c r="D128" s="3">
        <v>45678</v>
      </c>
      <c r="E128" s="3">
        <v>45684</v>
      </c>
      <c r="F128" s="3">
        <v>45684</v>
      </c>
      <c r="G128" s="2" t="s">
        <v>22</v>
      </c>
      <c r="H128" s="2">
        <v>53</v>
      </c>
      <c r="I128" s="2">
        <v>53</v>
      </c>
      <c r="J128">
        <f t="shared" si="5"/>
        <v>6</v>
      </c>
      <c r="K128">
        <f t="shared" si="6"/>
        <v>0</v>
      </c>
      <c r="L128" t="str">
        <f t="shared" si="7"/>
        <v>Yes</v>
      </c>
      <c r="M128" t="str">
        <f t="shared" si="9"/>
        <v>Yes</v>
      </c>
      <c r="N128" t="str">
        <f t="shared" si="8"/>
        <v>Yes</v>
      </c>
    </row>
    <row r="129" spans="1:14" x14ac:dyDescent="0.3">
      <c r="A129" s="4" t="s">
        <v>275</v>
      </c>
      <c r="B129" s="4" t="s">
        <v>276</v>
      </c>
      <c r="C129" s="4" t="s">
        <v>14</v>
      </c>
      <c r="D129" s="5">
        <v>45679</v>
      </c>
      <c r="E129" s="5">
        <v>45685</v>
      </c>
      <c r="F129" s="5">
        <v>45694</v>
      </c>
      <c r="G129" s="4" t="s">
        <v>18</v>
      </c>
      <c r="H129" s="4">
        <v>14</v>
      </c>
      <c r="I129" s="2">
        <v>18</v>
      </c>
      <c r="J129">
        <f t="shared" si="5"/>
        <v>15</v>
      </c>
      <c r="K129">
        <f t="shared" si="6"/>
        <v>9</v>
      </c>
      <c r="L129" t="str">
        <f t="shared" si="7"/>
        <v>No</v>
      </c>
      <c r="M129" t="str">
        <f t="shared" si="9"/>
        <v>No</v>
      </c>
      <c r="N129" t="str">
        <f t="shared" si="8"/>
        <v>No</v>
      </c>
    </row>
    <row r="130" spans="1:14" x14ac:dyDescent="0.3">
      <c r="A130" s="2" t="s">
        <v>277</v>
      </c>
      <c r="B130" s="2" t="s">
        <v>278</v>
      </c>
      <c r="C130" s="2" t="s">
        <v>34</v>
      </c>
      <c r="D130" s="3">
        <v>45678</v>
      </c>
      <c r="E130" s="3">
        <v>45683</v>
      </c>
      <c r="F130" s="3">
        <v>45684</v>
      </c>
      <c r="G130" s="2" t="s">
        <v>15</v>
      </c>
      <c r="H130" s="2">
        <v>20</v>
      </c>
      <c r="I130" s="2">
        <v>20</v>
      </c>
      <c r="J130">
        <f t="shared" si="5"/>
        <v>6</v>
      </c>
      <c r="K130">
        <f t="shared" si="6"/>
        <v>1</v>
      </c>
      <c r="L130" t="str">
        <f t="shared" si="7"/>
        <v>No</v>
      </c>
      <c r="M130" t="str">
        <f t="shared" si="9"/>
        <v>Yes</v>
      </c>
      <c r="N130" t="str">
        <f t="shared" si="8"/>
        <v>No</v>
      </c>
    </row>
    <row r="131" spans="1:14" x14ac:dyDescent="0.3">
      <c r="A131" s="4" t="s">
        <v>279</v>
      </c>
      <c r="B131" s="4" t="s">
        <v>280</v>
      </c>
      <c r="C131" s="4" t="s">
        <v>10</v>
      </c>
      <c r="D131" s="5">
        <v>45680</v>
      </c>
      <c r="E131" s="5">
        <v>45687</v>
      </c>
      <c r="F131" s="5">
        <v>45687</v>
      </c>
      <c r="G131" s="4" t="s">
        <v>11</v>
      </c>
      <c r="H131" s="4">
        <v>16</v>
      </c>
      <c r="I131" s="2">
        <v>16</v>
      </c>
      <c r="J131">
        <f t="shared" ref="J131:J194" si="10">F131-D131</f>
        <v>7</v>
      </c>
      <c r="K131">
        <f t="shared" ref="K131:K194" si="11">F131-E131</f>
        <v>0</v>
      </c>
      <c r="L131" t="str">
        <f t="shared" ref="L131:L194" si="12">IF(K131&lt;=0,"Yes","No")</f>
        <v>Yes</v>
      </c>
      <c r="M131" t="str">
        <f t="shared" si="9"/>
        <v>Yes</v>
      </c>
      <c r="N131" t="str">
        <f t="shared" ref="N131:N194" si="13">IF(AND(L131="Yes",M131="Yes"),"Yes","No")</f>
        <v>Yes</v>
      </c>
    </row>
    <row r="132" spans="1:14" x14ac:dyDescent="0.3">
      <c r="A132" s="2" t="s">
        <v>281</v>
      </c>
      <c r="B132" s="2" t="s">
        <v>282</v>
      </c>
      <c r="C132" s="2" t="s">
        <v>10</v>
      </c>
      <c r="D132" s="3">
        <v>45680</v>
      </c>
      <c r="E132" s="3">
        <v>45685</v>
      </c>
      <c r="F132" s="3">
        <v>45685</v>
      </c>
      <c r="G132" s="2" t="s">
        <v>40</v>
      </c>
      <c r="H132" s="2">
        <v>1</v>
      </c>
      <c r="I132" s="2">
        <v>3</v>
      </c>
      <c r="J132">
        <f t="shared" si="10"/>
        <v>5</v>
      </c>
      <c r="K132">
        <f t="shared" si="11"/>
        <v>0</v>
      </c>
      <c r="L132" t="str">
        <f t="shared" si="12"/>
        <v>Yes</v>
      </c>
      <c r="M132" t="str">
        <f t="shared" ref="M132:M195" si="14">IF(H132=I132,"Yes","No")</f>
        <v>No</v>
      </c>
      <c r="N132" t="str">
        <f t="shared" si="13"/>
        <v>No</v>
      </c>
    </row>
    <row r="133" spans="1:14" x14ac:dyDescent="0.3">
      <c r="A133" s="4" t="s">
        <v>283</v>
      </c>
      <c r="B133" s="4" t="s">
        <v>284</v>
      </c>
      <c r="C133" s="4" t="s">
        <v>59</v>
      </c>
      <c r="D133" s="5">
        <v>45680</v>
      </c>
      <c r="E133" s="5">
        <v>45686</v>
      </c>
      <c r="F133" s="5">
        <v>45684</v>
      </c>
      <c r="G133" s="4" t="s">
        <v>40</v>
      </c>
      <c r="H133" s="4">
        <v>15</v>
      </c>
      <c r="I133" s="2">
        <v>15</v>
      </c>
      <c r="J133">
        <f t="shared" si="10"/>
        <v>4</v>
      </c>
      <c r="K133">
        <f t="shared" si="11"/>
        <v>-2</v>
      </c>
      <c r="L133" t="str">
        <f t="shared" si="12"/>
        <v>Yes</v>
      </c>
      <c r="M133" t="str">
        <f t="shared" si="14"/>
        <v>Yes</v>
      </c>
      <c r="N133" t="str">
        <f t="shared" si="13"/>
        <v>Yes</v>
      </c>
    </row>
    <row r="134" spans="1:14" x14ac:dyDescent="0.3">
      <c r="A134" s="2" t="s">
        <v>285</v>
      </c>
      <c r="B134" s="2" t="s">
        <v>286</v>
      </c>
      <c r="C134" s="2" t="s">
        <v>21</v>
      </c>
      <c r="D134" s="3">
        <v>45680</v>
      </c>
      <c r="E134" s="3">
        <v>45687</v>
      </c>
      <c r="F134" s="3">
        <v>45686</v>
      </c>
      <c r="G134" s="2" t="s">
        <v>11</v>
      </c>
      <c r="H134" s="2">
        <v>64</v>
      </c>
      <c r="I134" s="2">
        <v>64</v>
      </c>
      <c r="J134">
        <f t="shared" si="10"/>
        <v>6</v>
      </c>
      <c r="K134">
        <f t="shared" si="11"/>
        <v>-1</v>
      </c>
      <c r="L134" t="str">
        <f t="shared" si="12"/>
        <v>Yes</v>
      </c>
      <c r="M134" t="str">
        <f t="shared" si="14"/>
        <v>Yes</v>
      </c>
      <c r="N134" t="str">
        <f t="shared" si="13"/>
        <v>Yes</v>
      </c>
    </row>
    <row r="135" spans="1:14" x14ac:dyDescent="0.3">
      <c r="A135" s="4" t="s">
        <v>287</v>
      </c>
      <c r="B135" s="4" t="s">
        <v>288</v>
      </c>
      <c r="C135" s="4" t="s">
        <v>21</v>
      </c>
      <c r="D135" s="5">
        <v>45678</v>
      </c>
      <c r="E135" s="5">
        <v>45687</v>
      </c>
      <c r="F135" s="5">
        <v>45684</v>
      </c>
      <c r="G135" s="4" t="s">
        <v>18</v>
      </c>
      <c r="H135" s="4">
        <v>22</v>
      </c>
      <c r="I135" s="2">
        <v>22</v>
      </c>
      <c r="J135">
        <f t="shared" si="10"/>
        <v>6</v>
      </c>
      <c r="K135">
        <f t="shared" si="11"/>
        <v>-3</v>
      </c>
      <c r="L135" t="str">
        <f t="shared" si="12"/>
        <v>Yes</v>
      </c>
      <c r="M135" t="str">
        <f t="shared" si="14"/>
        <v>Yes</v>
      </c>
      <c r="N135" t="str">
        <f t="shared" si="13"/>
        <v>Yes</v>
      </c>
    </row>
    <row r="136" spans="1:14" x14ac:dyDescent="0.3">
      <c r="A136" s="2" t="s">
        <v>289</v>
      </c>
      <c r="B136" s="2" t="s">
        <v>290</v>
      </c>
      <c r="C136" s="2" t="s">
        <v>72</v>
      </c>
      <c r="D136" s="3">
        <v>45680</v>
      </c>
      <c r="E136" s="3">
        <v>45687</v>
      </c>
      <c r="F136" s="3">
        <v>45694</v>
      </c>
      <c r="G136" s="2" t="s">
        <v>40</v>
      </c>
      <c r="H136" s="2">
        <v>19</v>
      </c>
      <c r="I136" s="2">
        <v>27</v>
      </c>
      <c r="J136">
        <f t="shared" si="10"/>
        <v>14</v>
      </c>
      <c r="K136">
        <f t="shared" si="11"/>
        <v>7</v>
      </c>
      <c r="L136" t="str">
        <f t="shared" si="12"/>
        <v>No</v>
      </c>
      <c r="M136" t="str">
        <f t="shared" si="14"/>
        <v>No</v>
      </c>
      <c r="N136" t="str">
        <f t="shared" si="13"/>
        <v>No</v>
      </c>
    </row>
    <row r="137" spans="1:14" x14ac:dyDescent="0.3">
      <c r="A137" s="4" t="s">
        <v>291</v>
      </c>
      <c r="B137" s="4" t="s">
        <v>292</v>
      </c>
      <c r="C137" s="4" t="s">
        <v>21</v>
      </c>
      <c r="D137" s="5">
        <v>45680</v>
      </c>
      <c r="E137" s="5">
        <v>45682</v>
      </c>
      <c r="F137" s="5">
        <v>45688</v>
      </c>
      <c r="G137" s="4" t="s">
        <v>11</v>
      </c>
      <c r="H137" s="4">
        <v>38</v>
      </c>
      <c r="I137" s="2">
        <v>41</v>
      </c>
      <c r="J137">
        <f t="shared" si="10"/>
        <v>8</v>
      </c>
      <c r="K137">
        <f t="shared" si="11"/>
        <v>6</v>
      </c>
      <c r="L137" t="str">
        <f t="shared" si="12"/>
        <v>No</v>
      </c>
      <c r="M137" t="str">
        <f t="shared" si="14"/>
        <v>No</v>
      </c>
      <c r="N137" t="str">
        <f t="shared" si="13"/>
        <v>No</v>
      </c>
    </row>
    <row r="138" spans="1:14" x14ac:dyDescent="0.3">
      <c r="A138" s="2" t="s">
        <v>293</v>
      </c>
      <c r="B138" s="2" t="s">
        <v>294</v>
      </c>
      <c r="C138" s="2" t="s">
        <v>27</v>
      </c>
      <c r="D138" s="3">
        <v>45681</v>
      </c>
      <c r="E138" s="3">
        <v>45688</v>
      </c>
      <c r="F138" s="3">
        <v>45698</v>
      </c>
      <c r="G138" s="2" t="s">
        <v>15</v>
      </c>
      <c r="H138" s="2">
        <v>19</v>
      </c>
      <c r="I138" s="2">
        <v>27</v>
      </c>
      <c r="J138">
        <f t="shared" si="10"/>
        <v>17</v>
      </c>
      <c r="K138">
        <f t="shared" si="11"/>
        <v>10</v>
      </c>
      <c r="L138" t="str">
        <f t="shared" si="12"/>
        <v>No</v>
      </c>
      <c r="M138" t="str">
        <f t="shared" si="14"/>
        <v>No</v>
      </c>
      <c r="N138" t="str">
        <f t="shared" si="13"/>
        <v>No</v>
      </c>
    </row>
    <row r="139" spans="1:14" x14ac:dyDescent="0.3">
      <c r="A139" s="4" t="s">
        <v>295</v>
      </c>
      <c r="B139" s="4" t="s">
        <v>296</v>
      </c>
      <c r="C139" s="4" t="s">
        <v>34</v>
      </c>
      <c r="D139" s="5">
        <v>45680</v>
      </c>
      <c r="E139" s="5">
        <v>45685</v>
      </c>
      <c r="F139" s="5">
        <v>45687</v>
      </c>
      <c r="G139" s="4" t="s">
        <v>18</v>
      </c>
      <c r="H139" s="4">
        <v>24</v>
      </c>
      <c r="I139" s="2">
        <v>24</v>
      </c>
      <c r="J139">
        <f t="shared" si="10"/>
        <v>7</v>
      </c>
      <c r="K139">
        <f t="shared" si="11"/>
        <v>2</v>
      </c>
      <c r="L139" t="str">
        <f t="shared" si="12"/>
        <v>No</v>
      </c>
      <c r="M139" t="str">
        <f t="shared" si="14"/>
        <v>Yes</v>
      </c>
      <c r="N139" t="str">
        <f t="shared" si="13"/>
        <v>No</v>
      </c>
    </row>
    <row r="140" spans="1:14" x14ac:dyDescent="0.3">
      <c r="A140" s="2" t="s">
        <v>297</v>
      </c>
      <c r="B140" s="2" t="s">
        <v>298</v>
      </c>
      <c r="C140" s="2" t="s">
        <v>10</v>
      </c>
      <c r="D140" s="3">
        <v>45681</v>
      </c>
      <c r="E140" s="3">
        <v>45690</v>
      </c>
      <c r="F140" s="3">
        <v>45685</v>
      </c>
      <c r="G140" s="2" t="s">
        <v>18</v>
      </c>
      <c r="H140" s="2">
        <v>12</v>
      </c>
      <c r="I140" s="2">
        <v>12</v>
      </c>
      <c r="J140">
        <f t="shared" si="10"/>
        <v>4</v>
      </c>
      <c r="K140">
        <f t="shared" si="11"/>
        <v>-5</v>
      </c>
      <c r="L140" t="str">
        <f t="shared" si="12"/>
        <v>Yes</v>
      </c>
      <c r="M140" t="str">
        <f t="shared" si="14"/>
        <v>Yes</v>
      </c>
      <c r="N140" t="str">
        <f t="shared" si="13"/>
        <v>Yes</v>
      </c>
    </row>
    <row r="141" spans="1:14" x14ac:dyDescent="0.3">
      <c r="A141" s="4" t="s">
        <v>299</v>
      </c>
      <c r="B141" s="4" t="s">
        <v>300</v>
      </c>
      <c r="C141" s="4" t="s">
        <v>14</v>
      </c>
      <c r="D141" s="5">
        <v>45680</v>
      </c>
      <c r="E141" s="5">
        <v>45688</v>
      </c>
      <c r="F141" s="5">
        <v>45695</v>
      </c>
      <c r="G141" s="4" t="s">
        <v>15</v>
      </c>
      <c r="H141" s="4">
        <v>10</v>
      </c>
      <c r="I141" s="2">
        <v>10</v>
      </c>
      <c r="J141">
        <f t="shared" si="10"/>
        <v>15</v>
      </c>
      <c r="K141">
        <f t="shared" si="11"/>
        <v>7</v>
      </c>
      <c r="L141" t="str">
        <f t="shared" si="12"/>
        <v>No</v>
      </c>
      <c r="M141" t="str">
        <f t="shared" si="14"/>
        <v>Yes</v>
      </c>
      <c r="N141" t="str">
        <f t="shared" si="13"/>
        <v>No</v>
      </c>
    </row>
    <row r="142" spans="1:14" x14ac:dyDescent="0.3">
      <c r="A142" s="2" t="s">
        <v>301</v>
      </c>
      <c r="B142" s="2" t="s">
        <v>302</v>
      </c>
      <c r="C142" s="2" t="s">
        <v>59</v>
      </c>
      <c r="D142" s="3">
        <v>45680</v>
      </c>
      <c r="E142" s="3">
        <v>45690</v>
      </c>
      <c r="F142" s="3">
        <v>45684</v>
      </c>
      <c r="G142" s="2" t="s">
        <v>11</v>
      </c>
      <c r="H142" s="2">
        <v>34</v>
      </c>
      <c r="I142" s="2">
        <v>34</v>
      </c>
      <c r="J142">
        <f t="shared" si="10"/>
        <v>4</v>
      </c>
      <c r="K142">
        <f t="shared" si="11"/>
        <v>-6</v>
      </c>
      <c r="L142" t="str">
        <f t="shared" si="12"/>
        <v>Yes</v>
      </c>
      <c r="M142" t="str">
        <f t="shared" si="14"/>
        <v>Yes</v>
      </c>
      <c r="N142" t="str">
        <f t="shared" si="13"/>
        <v>Yes</v>
      </c>
    </row>
    <row r="143" spans="1:14" x14ac:dyDescent="0.3">
      <c r="A143" s="4" t="s">
        <v>303</v>
      </c>
      <c r="B143" s="4" t="s">
        <v>304</v>
      </c>
      <c r="C143" s="4" t="s">
        <v>21</v>
      </c>
      <c r="D143" s="5">
        <v>45682</v>
      </c>
      <c r="E143" s="5">
        <v>45688</v>
      </c>
      <c r="F143" s="5">
        <v>45688</v>
      </c>
      <c r="G143" s="4" t="s">
        <v>15</v>
      </c>
      <c r="H143" s="4">
        <v>73</v>
      </c>
      <c r="I143" s="2">
        <v>73</v>
      </c>
      <c r="J143">
        <f t="shared" si="10"/>
        <v>6</v>
      </c>
      <c r="K143">
        <f t="shared" si="11"/>
        <v>0</v>
      </c>
      <c r="L143" t="str">
        <f t="shared" si="12"/>
        <v>Yes</v>
      </c>
      <c r="M143" t="str">
        <f t="shared" si="14"/>
        <v>Yes</v>
      </c>
      <c r="N143" t="str">
        <f t="shared" si="13"/>
        <v>Yes</v>
      </c>
    </row>
    <row r="144" spans="1:14" x14ac:dyDescent="0.3">
      <c r="A144" s="2" t="s">
        <v>305</v>
      </c>
      <c r="B144" s="2" t="s">
        <v>306</v>
      </c>
      <c r="C144" s="2" t="s">
        <v>27</v>
      </c>
      <c r="D144" s="3">
        <v>45681</v>
      </c>
      <c r="E144" s="3">
        <v>45686</v>
      </c>
      <c r="F144" s="3">
        <v>45695</v>
      </c>
      <c r="G144" s="2" t="s">
        <v>15</v>
      </c>
      <c r="H144" s="2">
        <v>31</v>
      </c>
      <c r="I144" s="2">
        <v>31</v>
      </c>
      <c r="J144">
        <f t="shared" si="10"/>
        <v>14</v>
      </c>
      <c r="K144">
        <f t="shared" si="11"/>
        <v>9</v>
      </c>
      <c r="L144" t="str">
        <f t="shared" si="12"/>
        <v>No</v>
      </c>
      <c r="M144" t="str">
        <f t="shared" si="14"/>
        <v>Yes</v>
      </c>
      <c r="N144" t="str">
        <f t="shared" si="13"/>
        <v>No</v>
      </c>
    </row>
    <row r="145" spans="1:14" x14ac:dyDescent="0.3">
      <c r="A145" s="4" t="s">
        <v>307</v>
      </c>
      <c r="B145" s="4" t="s">
        <v>308</v>
      </c>
      <c r="C145" s="4" t="s">
        <v>37</v>
      </c>
      <c r="D145" s="5">
        <v>45681</v>
      </c>
      <c r="E145" s="5">
        <v>45686</v>
      </c>
      <c r="F145" s="5">
        <v>45698</v>
      </c>
      <c r="G145" s="4" t="s">
        <v>40</v>
      </c>
      <c r="H145" s="4">
        <v>10</v>
      </c>
      <c r="I145" s="2">
        <v>10</v>
      </c>
      <c r="J145">
        <f t="shared" si="10"/>
        <v>17</v>
      </c>
      <c r="K145">
        <f t="shared" si="11"/>
        <v>12</v>
      </c>
      <c r="L145" t="str">
        <f t="shared" si="12"/>
        <v>No</v>
      </c>
      <c r="M145" t="str">
        <f t="shared" si="14"/>
        <v>Yes</v>
      </c>
      <c r="N145" t="str">
        <f t="shared" si="13"/>
        <v>No</v>
      </c>
    </row>
    <row r="146" spans="1:14" x14ac:dyDescent="0.3">
      <c r="A146" s="2" t="s">
        <v>309</v>
      </c>
      <c r="B146" s="2" t="s">
        <v>310</v>
      </c>
      <c r="C146" s="2" t="s">
        <v>10</v>
      </c>
      <c r="D146" s="3">
        <v>45681</v>
      </c>
      <c r="E146" s="3">
        <v>45689</v>
      </c>
      <c r="F146" s="3">
        <v>45687</v>
      </c>
      <c r="G146" s="2" t="s">
        <v>22</v>
      </c>
      <c r="H146" s="2">
        <v>8</v>
      </c>
      <c r="I146" s="2">
        <v>15</v>
      </c>
      <c r="J146">
        <f t="shared" si="10"/>
        <v>6</v>
      </c>
      <c r="K146">
        <f t="shared" si="11"/>
        <v>-2</v>
      </c>
      <c r="L146" t="str">
        <f t="shared" si="12"/>
        <v>Yes</v>
      </c>
      <c r="M146" t="str">
        <f t="shared" si="14"/>
        <v>No</v>
      </c>
      <c r="N146" t="str">
        <f t="shared" si="13"/>
        <v>No</v>
      </c>
    </row>
    <row r="147" spans="1:14" x14ac:dyDescent="0.3">
      <c r="A147" s="4" t="s">
        <v>311</v>
      </c>
      <c r="B147" s="4" t="s">
        <v>312</v>
      </c>
      <c r="C147" s="4" t="s">
        <v>10</v>
      </c>
      <c r="D147" s="5">
        <v>45682</v>
      </c>
      <c r="E147" s="5">
        <v>45688</v>
      </c>
      <c r="F147" s="5">
        <v>45687</v>
      </c>
      <c r="G147" s="4" t="s">
        <v>11</v>
      </c>
      <c r="H147" s="4">
        <v>23</v>
      </c>
      <c r="I147" s="2">
        <v>23</v>
      </c>
      <c r="J147">
        <f t="shared" si="10"/>
        <v>5</v>
      </c>
      <c r="K147">
        <f t="shared" si="11"/>
        <v>-1</v>
      </c>
      <c r="L147" t="str">
        <f t="shared" si="12"/>
        <v>Yes</v>
      </c>
      <c r="M147" t="str">
        <f t="shared" si="14"/>
        <v>Yes</v>
      </c>
      <c r="N147" t="str">
        <f t="shared" si="13"/>
        <v>Yes</v>
      </c>
    </row>
    <row r="148" spans="1:14" x14ac:dyDescent="0.3">
      <c r="A148" s="2" t="s">
        <v>313</v>
      </c>
      <c r="B148" s="2" t="s">
        <v>314</v>
      </c>
      <c r="C148" s="2" t="s">
        <v>21</v>
      </c>
      <c r="D148" s="3">
        <v>45682</v>
      </c>
      <c r="E148" s="3">
        <v>45684</v>
      </c>
      <c r="F148" s="3">
        <v>45688</v>
      </c>
      <c r="G148" s="2" t="s">
        <v>11</v>
      </c>
      <c r="H148" s="2">
        <v>4</v>
      </c>
      <c r="I148" s="2">
        <v>4</v>
      </c>
      <c r="J148">
        <f t="shared" si="10"/>
        <v>6</v>
      </c>
      <c r="K148">
        <f t="shared" si="11"/>
        <v>4</v>
      </c>
      <c r="L148" t="str">
        <f t="shared" si="12"/>
        <v>No</v>
      </c>
      <c r="M148" t="str">
        <f t="shared" si="14"/>
        <v>Yes</v>
      </c>
      <c r="N148" t="str">
        <f t="shared" si="13"/>
        <v>No</v>
      </c>
    </row>
    <row r="149" spans="1:14" x14ac:dyDescent="0.3">
      <c r="A149" s="4" t="s">
        <v>315</v>
      </c>
      <c r="B149" s="4" t="s">
        <v>316</v>
      </c>
      <c r="C149" s="4" t="s">
        <v>27</v>
      </c>
      <c r="D149" s="5">
        <v>45681</v>
      </c>
      <c r="E149" s="5">
        <v>45691</v>
      </c>
      <c r="F149" s="5">
        <v>45694</v>
      </c>
      <c r="G149" s="4" t="s">
        <v>22</v>
      </c>
      <c r="H149" s="4">
        <v>8</v>
      </c>
      <c r="I149" s="2">
        <v>8</v>
      </c>
      <c r="J149">
        <f t="shared" si="10"/>
        <v>13</v>
      </c>
      <c r="K149">
        <f t="shared" si="11"/>
        <v>3</v>
      </c>
      <c r="L149" t="str">
        <f t="shared" si="12"/>
        <v>No</v>
      </c>
      <c r="M149" t="str">
        <f t="shared" si="14"/>
        <v>Yes</v>
      </c>
      <c r="N149" t="str">
        <f t="shared" si="13"/>
        <v>No</v>
      </c>
    </row>
    <row r="150" spans="1:14" x14ac:dyDescent="0.3">
      <c r="A150" s="2" t="s">
        <v>317</v>
      </c>
      <c r="B150" s="2" t="s">
        <v>318</v>
      </c>
      <c r="C150" s="2" t="s">
        <v>72</v>
      </c>
      <c r="D150" s="3">
        <v>45683</v>
      </c>
      <c r="E150" s="3">
        <v>45686</v>
      </c>
      <c r="F150" s="3">
        <v>45697</v>
      </c>
      <c r="G150" s="2" t="s">
        <v>40</v>
      </c>
      <c r="H150" s="2">
        <v>19</v>
      </c>
      <c r="I150" s="2">
        <v>19</v>
      </c>
      <c r="J150">
        <f t="shared" si="10"/>
        <v>14</v>
      </c>
      <c r="K150">
        <f t="shared" si="11"/>
        <v>11</v>
      </c>
      <c r="L150" t="str">
        <f t="shared" si="12"/>
        <v>No</v>
      </c>
      <c r="M150" t="str">
        <f t="shared" si="14"/>
        <v>Yes</v>
      </c>
      <c r="N150" t="str">
        <f t="shared" si="13"/>
        <v>No</v>
      </c>
    </row>
    <row r="151" spans="1:14" x14ac:dyDescent="0.3">
      <c r="A151" s="4" t="s">
        <v>319</v>
      </c>
      <c r="B151" s="4" t="s">
        <v>320</v>
      </c>
      <c r="C151" s="4" t="s">
        <v>14</v>
      </c>
      <c r="D151" s="5">
        <v>45682</v>
      </c>
      <c r="E151" s="5">
        <v>45689</v>
      </c>
      <c r="F151" s="5">
        <v>45697</v>
      </c>
      <c r="G151" s="4" t="s">
        <v>11</v>
      </c>
      <c r="H151" s="4">
        <v>49</v>
      </c>
      <c r="I151" s="2">
        <v>49</v>
      </c>
      <c r="J151">
        <f t="shared" si="10"/>
        <v>15</v>
      </c>
      <c r="K151">
        <f t="shared" si="11"/>
        <v>8</v>
      </c>
      <c r="L151" t="str">
        <f t="shared" si="12"/>
        <v>No</v>
      </c>
      <c r="M151" t="str">
        <f t="shared" si="14"/>
        <v>Yes</v>
      </c>
      <c r="N151" t="str">
        <f t="shared" si="13"/>
        <v>No</v>
      </c>
    </row>
    <row r="152" spans="1:14" x14ac:dyDescent="0.3">
      <c r="A152" s="2" t="s">
        <v>321</v>
      </c>
      <c r="B152" s="2" t="s">
        <v>322</v>
      </c>
      <c r="C152" s="2" t="s">
        <v>59</v>
      </c>
      <c r="D152" s="3">
        <v>45682</v>
      </c>
      <c r="E152" s="3">
        <v>45688</v>
      </c>
      <c r="F152" s="3">
        <v>45686</v>
      </c>
      <c r="G152" s="2" t="s">
        <v>22</v>
      </c>
      <c r="H152" s="2">
        <v>15</v>
      </c>
      <c r="I152" s="2">
        <v>15</v>
      </c>
      <c r="J152">
        <f t="shared" si="10"/>
        <v>4</v>
      </c>
      <c r="K152">
        <f t="shared" si="11"/>
        <v>-2</v>
      </c>
      <c r="L152" t="str">
        <f t="shared" si="12"/>
        <v>Yes</v>
      </c>
      <c r="M152" t="str">
        <f t="shared" si="14"/>
        <v>Yes</v>
      </c>
      <c r="N152" t="str">
        <f t="shared" si="13"/>
        <v>Yes</v>
      </c>
    </row>
    <row r="153" spans="1:14" x14ac:dyDescent="0.3">
      <c r="A153" s="4" t="s">
        <v>323</v>
      </c>
      <c r="B153" s="4" t="s">
        <v>324</v>
      </c>
      <c r="C153" s="4" t="s">
        <v>21</v>
      </c>
      <c r="D153" s="5">
        <v>45683</v>
      </c>
      <c r="E153" s="5">
        <v>45692</v>
      </c>
      <c r="F153" s="5">
        <v>45689</v>
      </c>
      <c r="G153" s="4" t="s">
        <v>22</v>
      </c>
      <c r="H153" s="4">
        <v>13</v>
      </c>
      <c r="I153" s="2">
        <v>13</v>
      </c>
      <c r="J153">
        <f t="shared" si="10"/>
        <v>6</v>
      </c>
      <c r="K153">
        <f t="shared" si="11"/>
        <v>-3</v>
      </c>
      <c r="L153" t="str">
        <f t="shared" si="12"/>
        <v>Yes</v>
      </c>
      <c r="M153" t="str">
        <f t="shared" si="14"/>
        <v>Yes</v>
      </c>
      <c r="N153" t="str">
        <f t="shared" si="13"/>
        <v>Yes</v>
      </c>
    </row>
    <row r="154" spans="1:14" x14ac:dyDescent="0.3">
      <c r="A154" s="2" t="s">
        <v>325</v>
      </c>
      <c r="B154" s="2" t="s">
        <v>326</v>
      </c>
      <c r="C154" s="2" t="s">
        <v>27</v>
      </c>
      <c r="D154" s="3">
        <v>45683</v>
      </c>
      <c r="E154" s="3">
        <v>45687</v>
      </c>
      <c r="F154" s="3">
        <v>45697</v>
      </c>
      <c r="G154" s="2" t="s">
        <v>15</v>
      </c>
      <c r="H154" s="2">
        <v>20</v>
      </c>
      <c r="I154" s="2">
        <v>23</v>
      </c>
      <c r="J154">
        <f t="shared" si="10"/>
        <v>14</v>
      </c>
      <c r="K154">
        <f t="shared" si="11"/>
        <v>10</v>
      </c>
      <c r="L154" t="str">
        <f t="shared" si="12"/>
        <v>No</v>
      </c>
      <c r="M154" t="str">
        <f t="shared" si="14"/>
        <v>No</v>
      </c>
      <c r="N154" t="str">
        <f t="shared" si="13"/>
        <v>No</v>
      </c>
    </row>
    <row r="155" spans="1:14" x14ac:dyDescent="0.3">
      <c r="A155" s="4" t="s">
        <v>327</v>
      </c>
      <c r="B155" s="4" t="s">
        <v>328</v>
      </c>
      <c r="C155" s="4" t="s">
        <v>27</v>
      </c>
      <c r="D155" s="5">
        <v>45684</v>
      </c>
      <c r="E155" s="5">
        <v>45686</v>
      </c>
      <c r="F155" s="5">
        <v>45698</v>
      </c>
      <c r="G155" s="4" t="s">
        <v>22</v>
      </c>
      <c r="H155" s="4">
        <v>5</v>
      </c>
      <c r="I155" s="2">
        <v>8</v>
      </c>
      <c r="J155">
        <f t="shared" si="10"/>
        <v>14</v>
      </c>
      <c r="K155">
        <f t="shared" si="11"/>
        <v>12</v>
      </c>
      <c r="L155" t="str">
        <f t="shared" si="12"/>
        <v>No</v>
      </c>
      <c r="M155" t="str">
        <f t="shared" si="14"/>
        <v>No</v>
      </c>
      <c r="N155" t="str">
        <f t="shared" si="13"/>
        <v>No</v>
      </c>
    </row>
    <row r="156" spans="1:14" x14ac:dyDescent="0.3">
      <c r="A156" s="2" t="s">
        <v>329</v>
      </c>
      <c r="B156" s="2" t="s">
        <v>330</v>
      </c>
      <c r="C156" s="2" t="s">
        <v>27</v>
      </c>
      <c r="D156" s="3">
        <v>45682</v>
      </c>
      <c r="E156" s="3">
        <v>45685</v>
      </c>
      <c r="F156" s="3">
        <v>45697</v>
      </c>
      <c r="G156" s="2" t="s">
        <v>18</v>
      </c>
      <c r="H156" s="2">
        <v>1</v>
      </c>
      <c r="I156" s="2">
        <v>8</v>
      </c>
      <c r="J156">
        <f t="shared" si="10"/>
        <v>15</v>
      </c>
      <c r="K156">
        <f t="shared" si="11"/>
        <v>12</v>
      </c>
      <c r="L156" t="str">
        <f t="shared" si="12"/>
        <v>No</v>
      </c>
      <c r="M156" t="str">
        <f t="shared" si="14"/>
        <v>No</v>
      </c>
      <c r="N156" t="str">
        <f t="shared" si="13"/>
        <v>No</v>
      </c>
    </row>
    <row r="157" spans="1:14" x14ac:dyDescent="0.3">
      <c r="A157" s="4" t="s">
        <v>331</v>
      </c>
      <c r="B157" s="4" t="s">
        <v>332</v>
      </c>
      <c r="C157" s="4" t="s">
        <v>37</v>
      </c>
      <c r="D157" s="5">
        <v>45683</v>
      </c>
      <c r="E157" s="5">
        <v>45692</v>
      </c>
      <c r="F157" s="5">
        <v>45698</v>
      </c>
      <c r="G157" s="4" t="s">
        <v>18</v>
      </c>
      <c r="H157" s="4">
        <v>6</v>
      </c>
      <c r="I157" s="2">
        <v>6</v>
      </c>
      <c r="J157">
        <f t="shared" si="10"/>
        <v>15</v>
      </c>
      <c r="K157">
        <f t="shared" si="11"/>
        <v>6</v>
      </c>
      <c r="L157" t="str">
        <f t="shared" si="12"/>
        <v>No</v>
      </c>
      <c r="M157" t="str">
        <f t="shared" si="14"/>
        <v>Yes</v>
      </c>
      <c r="N157" t="str">
        <f t="shared" si="13"/>
        <v>No</v>
      </c>
    </row>
    <row r="158" spans="1:14" x14ac:dyDescent="0.3">
      <c r="A158" s="2" t="s">
        <v>333</v>
      </c>
      <c r="B158" s="2" t="s">
        <v>334</v>
      </c>
      <c r="C158" s="2" t="s">
        <v>72</v>
      </c>
      <c r="D158" s="3">
        <v>45683</v>
      </c>
      <c r="E158" s="3">
        <v>45693</v>
      </c>
      <c r="F158" s="3">
        <v>45698</v>
      </c>
      <c r="G158" s="2" t="s">
        <v>15</v>
      </c>
      <c r="H158" s="2">
        <v>21</v>
      </c>
      <c r="I158" s="2">
        <v>21</v>
      </c>
      <c r="J158">
        <f t="shared" si="10"/>
        <v>15</v>
      </c>
      <c r="K158">
        <f t="shared" si="11"/>
        <v>5</v>
      </c>
      <c r="L158" t="str">
        <f t="shared" si="12"/>
        <v>No</v>
      </c>
      <c r="M158" t="str">
        <f t="shared" si="14"/>
        <v>Yes</v>
      </c>
      <c r="N158" t="str">
        <f t="shared" si="13"/>
        <v>No</v>
      </c>
    </row>
    <row r="159" spans="1:14" x14ac:dyDescent="0.3">
      <c r="A159" s="4" t="s">
        <v>335</v>
      </c>
      <c r="B159" s="4" t="s">
        <v>336</v>
      </c>
      <c r="C159" s="4" t="s">
        <v>72</v>
      </c>
      <c r="D159" s="5">
        <v>45683</v>
      </c>
      <c r="E159" s="5">
        <v>45691</v>
      </c>
      <c r="F159" s="5">
        <v>45701</v>
      </c>
      <c r="G159" s="4" t="s">
        <v>40</v>
      </c>
      <c r="H159" s="4">
        <v>12</v>
      </c>
      <c r="I159" s="2">
        <v>12</v>
      </c>
      <c r="J159">
        <f t="shared" si="10"/>
        <v>18</v>
      </c>
      <c r="K159">
        <f t="shared" si="11"/>
        <v>10</v>
      </c>
      <c r="L159" t="str">
        <f t="shared" si="12"/>
        <v>No</v>
      </c>
      <c r="M159" t="str">
        <f t="shared" si="14"/>
        <v>Yes</v>
      </c>
      <c r="N159" t="str">
        <f t="shared" si="13"/>
        <v>No</v>
      </c>
    </row>
    <row r="160" spans="1:14" x14ac:dyDescent="0.3">
      <c r="A160" s="2" t="s">
        <v>337</v>
      </c>
      <c r="B160" s="2" t="s">
        <v>338</v>
      </c>
      <c r="C160" s="2" t="s">
        <v>27</v>
      </c>
      <c r="D160" s="3">
        <v>45683</v>
      </c>
      <c r="E160" s="3">
        <v>45690</v>
      </c>
      <c r="F160" s="3">
        <v>45700</v>
      </c>
      <c r="G160" s="2" t="s">
        <v>18</v>
      </c>
      <c r="H160" s="2">
        <v>10</v>
      </c>
      <c r="I160" s="2">
        <v>10</v>
      </c>
      <c r="J160">
        <f t="shared" si="10"/>
        <v>17</v>
      </c>
      <c r="K160">
        <f t="shared" si="11"/>
        <v>10</v>
      </c>
      <c r="L160" t="str">
        <f t="shared" si="12"/>
        <v>No</v>
      </c>
      <c r="M160" t="str">
        <f t="shared" si="14"/>
        <v>Yes</v>
      </c>
      <c r="N160" t="str">
        <f t="shared" si="13"/>
        <v>No</v>
      </c>
    </row>
    <row r="161" spans="1:14" x14ac:dyDescent="0.3">
      <c r="A161" s="4" t="s">
        <v>339</v>
      </c>
      <c r="B161" s="4" t="s">
        <v>340</v>
      </c>
      <c r="C161" s="4" t="s">
        <v>27</v>
      </c>
      <c r="D161" s="5">
        <v>45684</v>
      </c>
      <c r="E161" s="5">
        <v>45690</v>
      </c>
      <c r="F161" s="5">
        <v>45696</v>
      </c>
      <c r="G161" s="4" t="s">
        <v>18</v>
      </c>
      <c r="H161" s="4">
        <v>6</v>
      </c>
      <c r="I161" s="2">
        <v>6</v>
      </c>
      <c r="J161">
        <f t="shared" si="10"/>
        <v>12</v>
      </c>
      <c r="K161">
        <f t="shared" si="11"/>
        <v>6</v>
      </c>
      <c r="L161" t="str">
        <f t="shared" si="12"/>
        <v>No</v>
      </c>
      <c r="M161" t="str">
        <f t="shared" si="14"/>
        <v>Yes</v>
      </c>
      <c r="N161" t="str">
        <f t="shared" si="13"/>
        <v>No</v>
      </c>
    </row>
    <row r="162" spans="1:14" x14ac:dyDescent="0.3">
      <c r="A162" s="2" t="s">
        <v>341</v>
      </c>
      <c r="B162" s="2" t="s">
        <v>342</v>
      </c>
      <c r="C162" s="2" t="s">
        <v>34</v>
      </c>
      <c r="D162" s="3">
        <v>45686</v>
      </c>
      <c r="E162" s="3">
        <v>45693</v>
      </c>
      <c r="F162" s="3">
        <v>45692</v>
      </c>
      <c r="G162" s="2" t="s">
        <v>18</v>
      </c>
      <c r="H162" s="2">
        <v>43</v>
      </c>
      <c r="I162" s="2">
        <v>43</v>
      </c>
      <c r="J162">
        <f t="shared" si="10"/>
        <v>6</v>
      </c>
      <c r="K162">
        <f t="shared" si="11"/>
        <v>-1</v>
      </c>
      <c r="L162" t="str">
        <f t="shared" si="12"/>
        <v>Yes</v>
      </c>
      <c r="M162" t="str">
        <f t="shared" si="14"/>
        <v>Yes</v>
      </c>
      <c r="N162" t="str">
        <f t="shared" si="13"/>
        <v>Yes</v>
      </c>
    </row>
    <row r="163" spans="1:14" x14ac:dyDescent="0.3">
      <c r="A163" s="4" t="s">
        <v>343</v>
      </c>
      <c r="B163" s="4" t="s">
        <v>344</v>
      </c>
      <c r="C163" s="4" t="s">
        <v>72</v>
      </c>
      <c r="D163" s="5">
        <v>45685</v>
      </c>
      <c r="E163" s="5">
        <v>45690</v>
      </c>
      <c r="F163" s="5">
        <v>45701</v>
      </c>
      <c r="G163" s="4" t="s">
        <v>22</v>
      </c>
      <c r="H163" s="4">
        <v>9</v>
      </c>
      <c r="I163" s="2">
        <v>9</v>
      </c>
      <c r="J163">
        <f t="shared" si="10"/>
        <v>16</v>
      </c>
      <c r="K163">
        <f t="shared" si="11"/>
        <v>11</v>
      </c>
      <c r="L163" t="str">
        <f t="shared" si="12"/>
        <v>No</v>
      </c>
      <c r="M163" t="str">
        <f t="shared" si="14"/>
        <v>Yes</v>
      </c>
      <c r="N163" t="str">
        <f t="shared" si="13"/>
        <v>No</v>
      </c>
    </row>
    <row r="164" spans="1:14" x14ac:dyDescent="0.3">
      <c r="A164" s="2" t="s">
        <v>345</v>
      </c>
      <c r="B164" s="2" t="s">
        <v>346</v>
      </c>
      <c r="C164" s="2" t="s">
        <v>72</v>
      </c>
      <c r="D164" s="3">
        <v>45685</v>
      </c>
      <c r="E164" s="3">
        <v>45688</v>
      </c>
      <c r="F164" s="3">
        <v>45701</v>
      </c>
      <c r="G164" s="2" t="s">
        <v>40</v>
      </c>
      <c r="H164" s="2">
        <v>4</v>
      </c>
      <c r="I164" s="2">
        <v>12</v>
      </c>
      <c r="J164">
        <f t="shared" si="10"/>
        <v>16</v>
      </c>
      <c r="K164">
        <f t="shared" si="11"/>
        <v>13</v>
      </c>
      <c r="L164" t="str">
        <f t="shared" si="12"/>
        <v>No</v>
      </c>
      <c r="M164" t="str">
        <f t="shared" si="14"/>
        <v>No</v>
      </c>
      <c r="N164" t="str">
        <f t="shared" si="13"/>
        <v>No</v>
      </c>
    </row>
    <row r="165" spans="1:14" x14ac:dyDescent="0.3">
      <c r="A165" s="4" t="s">
        <v>347</v>
      </c>
      <c r="B165" s="4" t="s">
        <v>348</v>
      </c>
      <c r="C165" s="4" t="s">
        <v>14</v>
      </c>
      <c r="D165" s="5">
        <v>45686</v>
      </c>
      <c r="E165" s="5">
        <v>45687</v>
      </c>
      <c r="F165" s="5">
        <v>45705</v>
      </c>
      <c r="G165" s="4" t="s">
        <v>22</v>
      </c>
      <c r="H165" s="4">
        <v>17</v>
      </c>
      <c r="I165" s="2">
        <v>17</v>
      </c>
      <c r="J165">
        <f t="shared" si="10"/>
        <v>19</v>
      </c>
      <c r="K165">
        <f t="shared" si="11"/>
        <v>18</v>
      </c>
      <c r="L165" t="str">
        <f t="shared" si="12"/>
        <v>No</v>
      </c>
      <c r="M165" t="str">
        <f t="shared" si="14"/>
        <v>Yes</v>
      </c>
      <c r="N165" t="str">
        <f t="shared" si="13"/>
        <v>No</v>
      </c>
    </row>
    <row r="166" spans="1:14" x14ac:dyDescent="0.3">
      <c r="A166" s="2" t="s">
        <v>349</v>
      </c>
      <c r="B166" s="2" t="s">
        <v>350</v>
      </c>
      <c r="C166" s="2" t="s">
        <v>14</v>
      </c>
      <c r="D166" s="3">
        <v>45684</v>
      </c>
      <c r="E166" s="3">
        <v>45694</v>
      </c>
      <c r="F166" s="3">
        <v>45699</v>
      </c>
      <c r="G166" s="2" t="s">
        <v>22</v>
      </c>
      <c r="H166" s="2">
        <v>31</v>
      </c>
      <c r="I166" s="2">
        <v>31</v>
      </c>
      <c r="J166">
        <f t="shared" si="10"/>
        <v>15</v>
      </c>
      <c r="K166">
        <f t="shared" si="11"/>
        <v>5</v>
      </c>
      <c r="L166" t="str">
        <f t="shared" si="12"/>
        <v>No</v>
      </c>
      <c r="M166" t="str">
        <f t="shared" si="14"/>
        <v>Yes</v>
      </c>
      <c r="N166" t="str">
        <f t="shared" si="13"/>
        <v>No</v>
      </c>
    </row>
    <row r="167" spans="1:14" x14ac:dyDescent="0.3">
      <c r="A167" s="4" t="s">
        <v>351</v>
      </c>
      <c r="B167" s="4" t="s">
        <v>352</v>
      </c>
      <c r="C167" s="4" t="s">
        <v>59</v>
      </c>
      <c r="D167" s="5">
        <v>45684</v>
      </c>
      <c r="E167" s="5">
        <v>45688</v>
      </c>
      <c r="F167" s="5">
        <v>45688</v>
      </c>
      <c r="G167" s="4" t="s">
        <v>11</v>
      </c>
      <c r="H167" s="4">
        <v>13</v>
      </c>
      <c r="I167" s="2">
        <v>13</v>
      </c>
      <c r="J167">
        <f t="shared" si="10"/>
        <v>4</v>
      </c>
      <c r="K167">
        <f t="shared" si="11"/>
        <v>0</v>
      </c>
      <c r="L167" t="str">
        <f t="shared" si="12"/>
        <v>Yes</v>
      </c>
      <c r="M167" t="str">
        <f t="shared" si="14"/>
        <v>Yes</v>
      </c>
      <c r="N167" t="str">
        <f t="shared" si="13"/>
        <v>Yes</v>
      </c>
    </row>
    <row r="168" spans="1:14" x14ac:dyDescent="0.3">
      <c r="A168" s="2" t="s">
        <v>353</v>
      </c>
      <c r="B168" s="2" t="s">
        <v>354</v>
      </c>
      <c r="C168" s="2" t="s">
        <v>21</v>
      </c>
      <c r="D168" s="3">
        <v>45684</v>
      </c>
      <c r="E168" s="3">
        <v>45691</v>
      </c>
      <c r="F168" s="3">
        <v>45690</v>
      </c>
      <c r="G168" s="2" t="s">
        <v>11</v>
      </c>
      <c r="H168" s="2">
        <v>30</v>
      </c>
      <c r="I168" s="2">
        <v>30</v>
      </c>
      <c r="J168">
        <f t="shared" si="10"/>
        <v>6</v>
      </c>
      <c r="K168">
        <f t="shared" si="11"/>
        <v>-1</v>
      </c>
      <c r="L168" t="str">
        <f t="shared" si="12"/>
        <v>Yes</v>
      </c>
      <c r="M168" t="str">
        <f t="shared" si="14"/>
        <v>Yes</v>
      </c>
      <c r="N168" t="str">
        <f t="shared" si="13"/>
        <v>Yes</v>
      </c>
    </row>
    <row r="169" spans="1:14" x14ac:dyDescent="0.3">
      <c r="A169" s="4" t="s">
        <v>355</v>
      </c>
      <c r="B169" s="4" t="s">
        <v>356</v>
      </c>
      <c r="C169" s="4" t="s">
        <v>21</v>
      </c>
      <c r="D169" s="5">
        <v>45685</v>
      </c>
      <c r="E169" s="5">
        <v>45687</v>
      </c>
      <c r="F169" s="5">
        <v>45692</v>
      </c>
      <c r="G169" s="4" t="s">
        <v>22</v>
      </c>
      <c r="H169" s="4">
        <v>22</v>
      </c>
      <c r="I169" s="2">
        <v>22</v>
      </c>
      <c r="J169">
        <f t="shared" si="10"/>
        <v>7</v>
      </c>
      <c r="K169">
        <f t="shared" si="11"/>
        <v>5</v>
      </c>
      <c r="L169" t="str">
        <f t="shared" si="12"/>
        <v>No</v>
      </c>
      <c r="M169" t="str">
        <f t="shared" si="14"/>
        <v>Yes</v>
      </c>
      <c r="N169" t="str">
        <f t="shared" si="13"/>
        <v>No</v>
      </c>
    </row>
    <row r="170" spans="1:14" x14ac:dyDescent="0.3">
      <c r="A170" s="2" t="s">
        <v>357</v>
      </c>
      <c r="B170" s="2" t="s">
        <v>358</v>
      </c>
      <c r="C170" s="2" t="s">
        <v>21</v>
      </c>
      <c r="D170" s="3">
        <v>45685</v>
      </c>
      <c r="E170" s="3">
        <v>45691</v>
      </c>
      <c r="F170" s="3">
        <v>45692</v>
      </c>
      <c r="G170" s="2" t="s">
        <v>18</v>
      </c>
      <c r="H170" s="2">
        <v>25</v>
      </c>
      <c r="I170" s="2">
        <v>27</v>
      </c>
      <c r="J170">
        <f t="shared" si="10"/>
        <v>7</v>
      </c>
      <c r="K170">
        <f t="shared" si="11"/>
        <v>1</v>
      </c>
      <c r="L170" t="str">
        <f t="shared" si="12"/>
        <v>No</v>
      </c>
      <c r="M170" t="str">
        <f t="shared" si="14"/>
        <v>No</v>
      </c>
      <c r="N170" t="str">
        <f t="shared" si="13"/>
        <v>No</v>
      </c>
    </row>
    <row r="171" spans="1:14" x14ac:dyDescent="0.3">
      <c r="A171" s="4" t="s">
        <v>359</v>
      </c>
      <c r="B171" s="4" t="s">
        <v>360</v>
      </c>
      <c r="C171" s="4" t="s">
        <v>27</v>
      </c>
      <c r="D171" s="5">
        <v>45684</v>
      </c>
      <c r="E171" s="5">
        <v>45694</v>
      </c>
      <c r="F171" s="5">
        <v>45698</v>
      </c>
      <c r="G171" s="4" t="s">
        <v>15</v>
      </c>
      <c r="H171" s="4">
        <v>23</v>
      </c>
      <c r="I171" s="2">
        <v>30</v>
      </c>
      <c r="J171">
        <f t="shared" si="10"/>
        <v>14</v>
      </c>
      <c r="K171">
        <f t="shared" si="11"/>
        <v>4</v>
      </c>
      <c r="L171" t="str">
        <f t="shared" si="12"/>
        <v>No</v>
      </c>
      <c r="M171" t="str">
        <f t="shared" si="14"/>
        <v>No</v>
      </c>
      <c r="N171" t="str">
        <f t="shared" si="13"/>
        <v>No</v>
      </c>
    </row>
    <row r="172" spans="1:14" x14ac:dyDescent="0.3">
      <c r="A172" s="2" t="s">
        <v>361</v>
      </c>
      <c r="B172" s="2" t="s">
        <v>362</v>
      </c>
      <c r="C172" s="2" t="s">
        <v>27</v>
      </c>
      <c r="D172" s="3">
        <v>45686</v>
      </c>
      <c r="E172" s="3">
        <v>45692</v>
      </c>
      <c r="F172" s="3">
        <v>45700</v>
      </c>
      <c r="G172" s="2" t="s">
        <v>11</v>
      </c>
      <c r="H172" s="2">
        <v>4</v>
      </c>
      <c r="I172" s="2">
        <v>4</v>
      </c>
      <c r="J172">
        <f t="shared" si="10"/>
        <v>14</v>
      </c>
      <c r="K172">
        <f t="shared" si="11"/>
        <v>8</v>
      </c>
      <c r="L172" t="str">
        <f t="shared" si="12"/>
        <v>No</v>
      </c>
      <c r="M172" t="str">
        <f t="shared" si="14"/>
        <v>Yes</v>
      </c>
      <c r="N172" t="str">
        <f t="shared" si="13"/>
        <v>No</v>
      </c>
    </row>
    <row r="173" spans="1:14" x14ac:dyDescent="0.3">
      <c r="A173" s="4" t="s">
        <v>363</v>
      </c>
      <c r="B173" s="4" t="s">
        <v>364</v>
      </c>
      <c r="C173" s="4" t="s">
        <v>37</v>
      </c>
      <c r="D173" s="5">
        <v>45686</v>
      </c>
      <c r="E173" s="5">
        <v>45688</v>
      </c>
      <c r="F173" s="5">
        <v>45700</v>
      </c>
      <c r="G173" s="4" t="s">
        <v>11</v>
      </c>
      <c r="H173" s="4">
        <v>45</v>
      </c>
      <c r="I173" s="2">
        <v>45</v>
      </c>
      <c r="J173">
        <f t="shared" si="10"/>
        <v>14</v>
      </c>
      <c r="K173">
        <f t="shared" si="11"/>
        <v>12</v>
      </c>
      <c r="L173" t="str">
        <f t="shared" si="12"/>
        <v>No</v>
      </c>
      <c r="M173" t="str">
        <f t="shared" si="14"/>
        <v>Yes</v>
      </c>
      <c r="N173" t="str">
        <f t="shared" si="13"/>
        <v>No</v>
      </c>
    </row>
    <row r="174" spans="1:14" x14ac:dyDescent="0.3">
      <c r="A174" s="2" t="s">
        <v>365</v>
      </c>
      <c r="B174" s="2" t="s">
        <v>366</v>
      </c>
      <c r="C174" s="2" t="s">
        <v>10</v>
      </c>
      <c r="D174" s="3">
        <v>45685</v>
      </c>
      <c r="E174" s="3">
        <v>45693</v>
      </c>
      <c r="F174" s="3">
        <v>45690</v>
      </c>
      <c r="G174" s="2" t="s">
        <v>22</v>
      </c>
      <c r="H174" s="2">
        <v>14</v>
      </c>
      <c r="I174" s="2">
        <v>14</v>
      </c>
      <c r="J174">
        <f t="shared" si="10"/>
        <v>5</v>
      </c>
      <c r="K174">
        <f t="shared" si="11"/>
        <v>-3</v>
      </c>
      <c r="L174" t="str">
        <f t="shared" si="12"/>
        <v>Yes</v>
      </c>
      <c r="M174" t="str">
        <f t="shared" si="14"/>
        <v>Yes</v>
      </c>
      <c r="N174" t="str">
        <f t="shared" si="13"/>
        <v>Yes</v>
      </c>
    </row>
    <row r="175" spans="1:14" x14ac:dyDescent="0.3">
      <c r="A175" s="4" t="s">
        <v>367</v>
      </c>
      <c r="B175" s="4" t="s">
        <v>368</v>
      </c>
      <c r="C175" s="4" t="s">
        <v>14</v>
      </c>
      <c r="D175" s="5">
        <v>45685</v>
      </c>
      <c r="E175" s="5">
        <v>45689</v>
      </c>
      <c r="F175" s="5">
        <v>45701</v>
      </c>
      <c r="G175" s="4" t="s">
        <v>40</v>
      </c>
      <c r="H175" s="4">
        <v>20</v>
      </c>
      <c r="I175" s="2">
        <v>20</v>
      </c>
      <c r="J175">
        <f t="shared" si="10"/>
        <v>16</v>
      </c>
      <c r="K175">
        <f t="shared" si="11"/>
        <v>12</v>
      </c>
      <c r="L175" t="str">
        <f t="shared" si="12"/>
        <v>No</v>
      </c>
      <c r="M175" t="str">
        <f t="shared" si="14"/>
        <v>Yes</v>
      </c>
      <c r="N175" t="str">
        <f t="shared" si="13"/>
        <v>No</v>
      </c>
    </row>
    <row r="176" spans="1:14" x14ac:dyDescent="0.3">
      <c r="A176" s="2" t="s">
        <v>369</v>
      </c>
      <c r="B176" s="2" t="s">
        <v>370</v>
      </c>
      <c r="C176" s="2" t="s">
        <v>21</v>
      </c>
      <c r="D176" s="3">
        <v>45687</v>
      </c>
      <c r="E176" s="3">
        <v>45693</v>
      </c>
      <c r="F176" s="3">
        <v>45694</v>
      </c>
      <c r="G176" s="2" t="s">
        <v>11</v>
      </c>
      <c r="H176" s="2">
        <v>23</v>
      </c>
      <c r="I176" s="2">
        <v>23</v>
      </c>
      <c r="J176">
        <f t="shared" si="10"/>
        <v>7</v>
      </c>
      <c r="K176">
        <f t="shared" si="11"/>
        <v>1</v>
      </c>
      <c r="L176" t="str">
        <f t="shared" si="12"/>
        <v>No</v>
      </c>
      <c r="M176" t="str">
        <f t="shared" si="14"/>
        <v>Yes</v>
      </c>
      <c r="N176" t="str">
        <f t="shared" si="13"/>
        <v>No</v>
      </c>
    </row>
    <row r="177" spans="1:14" x14ac:dyDescent="0.3">
      <c r="A177" s="4" t="s">
        <v>371</v>
      </c>
      <c r="B177" s="4" t="s">
        <v>372</v>
      </c>
      <c r="C177" s="4" t="s">
        <v>27</v>
      </c>
      <c r="D177" s="5">
        <v>45687</v>
      </c>
      <c r="E177" s="5">
        <v>45689</v>
      </c>
      <c r="F177" s="5">
        <v>45700</v>
      </c>
      <c r="G177" s="4" t="s">
        <v>18</v>
      </c>
      <c r="H177" s="4">
        <v>33</v>
      </c>
      <c r="I177" s="2">
        <v>33</v>
      </c>
      <c r="J177">
        <f t="shared" si="10"/>
        <v>13</v>
      </c>
      <c r="K177">
        <f t="shared" si="11"/>
        <v>11</v>
      </c>
      <c r="L177" t="str">
        <f t="shared" si="12"/>
        <v>No</v>
      </c>
      <c r="M177" t="str">
        <f t="shared" si="14"/>
        <v>Yes</v>
      </c>
      <c r="N177" t="str">
        <f t="shared" si="13"/>
        <v>No</v>
      </c>
    </row>
    <row r="178" spans="1:14" x14ac:dyDescent="0.3">
      <c r="A178" s="2" t="s">
        <v>373</v>
      </c>
      <c r="B178" s="2" t="s">
        <v>374</v>
      </c>
      <c r="C178" s="2" t="s">
        <v>27</v>
      </c>
      <c r="D178" s="3">
        <v>45687</v>
      </c>
      <c r="E178" s="3">
        <v>45690</v>
      </c>
      <c r="F178" s="3">
        <v>45701</v>
      </c>
      <c r="G178" s="2" t="s">
        <v>22</v>
      </c>
      <c r="H178" s="2">
        <v>8</v>
      </c>
      <c r="I178" s="2">
        <v>8</v>
      </c>
      <c r="J178">
        <f t="shared" si="10"/>
        <v>14</v>
      </c>
      <c r="K178">
        <f t="shared" si="11"/>
        <v>11</v>
      </c>
      <c r="L178" t="str">
        <f t="shared" si="12"/>
        <v>No</v>
      </c>
      <c r="M178" t="str">
        <f t="shared" si="14"/>
        <v>Yes</v>
      </c>
      <c r="N178" t="str">
        <f t="shared" si="13"/>
        <v>No</v>
      </c>
    </row>
    <row r="179" spans="1:14" x14ac:dyDescent="0.3">
      <c r="A179" s="4" t="s">
        <v>375</v>
      </c>
      <c r="B179" s="4" t="s">
        <v>376</v>
      </c>
      <c r="C179" s="4" t="s">
        <v>37</v>
      </c>
      <c r="D179" s="5">
        <v>45687</v>
      </c>
      <c r="E179" s="5">
        <v>45692</v>
      </c>
      <c r="F179" s="5">
        <v>45700</v>
      </c>
      <c r="G179" s="4" t="s">
        <v>18</v>
      </c>
      <c r="H179" s="4">
        <v>12</v>
      </c>
      <c r="I179" s="2">
        <v>12</v>
      </c>
      <c r="J179">
        <f t="shared" si="10"/>
        <v>13</v>
      </c>
      <c r="K179">
        <f t="shared" si="11"/>
        <v>8</v>
      </c>
      <c r="L179" t="str">
        <f t="shared" si="12"/>
        <v>No</v>
      </c>
      <c r="M179" t="str">
        <f t="shared" si="14"/>
        <v>Yes</v>
      </c>
      <c r="N179" t="str">
        <f t="shared" si="13"/>
        <v>No</v>
      </c>
    </row>
    <row r="180" spans="1:14" x14ac:dyDescent="0.3">
      <c r="A180" s="2" t="s">
        <v>377</v>
      </c>
      <c r="B180" s="2" t="s">
        <v>378</v>
      </c>
      <c r="C180" s="2" t="s">
        <v>72</v>
      </c>
      <c r="D180" s="3">
        <v>45686</v>
      </c>
      <c r="E180" s="3">
        <v>45696</v>
      </c>
      <c r="F180" s="3">
        <v>45702</v>
      </c>
      <c r="G180" s="2" t="s">
        <v>22</v>
      </c>
      <c r="H180" s="2">
        <v>14</v>
      </c>
      <c r="I180" s="2">
        <v>14</v>
      </c>
      <c r="J180">
        <f t="shared" si="10"/>
        <v>16</v>
      </c>
      <c r="K180">
        <f t="shared" si="11"/>
        <v>6</v>
      </c>
      <c r="L180" t="str">
        <f t="shared" si="12"/>
        <v>No</v>
      </c>
      <c r="M180" t="str">
        <f t="shared" si="14"/>
        <v>Yes</v>
      </c>
      <c r="N180" t="str">
        <f t="shared" si="13"/>
        <v>No</v>
      </c>
    </row>
    <row r="181" spans="1:14" x14ac:dyDescent="0.3">
      <c r="A181" s="4" t="s">
        <v>379</v>
      </c>
      <c r="B181" s="4" t="s">
        <v>380</v>
      </c>
      <c r="C181" s="4" t="s">
        <v>14</v>
      </c>
      <c r="D181" s="5">
        <v>45686</v>
      </c>
      <c r="E181" s="5">
        <v>45690</v>
      </c>
      <c r="F181" s="5">
        <v>45701</v>
      </c>
      <c r="G181" s="4" t="s">
        <v>15</v>
      </c>
      <c r="H181" s="4">
        <v>8</v>
      </c>
      <c r="I181" s="2">
        <v>8</v>
      </c>
      <c r="J181">
        <f t="shared" si="10"/>
        <v>15</v>
      </c>
      <c r="K181">
        <f t="shared" si="11"/>
        <v>11</v>
      </c>
      <c r="L181" t="str">
        <f t="shared" si="12"/>
        <v>No</v>
      </c>
      <c r="M181" t="str">
        <f t="shared" si="14"/>
        <v>Yes</v>
      </c>
      <c r="N181" t="str">
        <f t="shared" si="13"/>
        <v>No</v>
      </c>
    </row>
    <row r="182" spans="1:14" x14ac:dyDescent="0.3">
      <c r="A182" s="2" t="s">
        <v>381</v>
      </c>
      <c r="B182" s="2" t="s">
        <v>382</v>
      </c>
      <c r="C182" s="2" t="s">
        <v>21</v>
      </c>
      <c r="D182" s="3">
        <v>45687</v>
      </c>
      <c r="E182" s="3">
        <v>45689</v>
      </c>
      <c r="F182" s="3">
        <v>45693</v>
      </c>
      <c r="G182" s="2" t="s">
        <v>40</v>
      </c>
      <c r="H182" s="2">
        <v>52</v>
      </c>
      <c r="I182" s="2">
        <v>52</v>
      </c>
      <c r="J182">
        <f t="shared" si="10"/>
        <v>6</v>
      </c>
      <c r="K182">
        <f t="shared" si="11"/>
        <v>4</v>
      </c>
      <c r="L182" t="str">
        <f t="shared" si="12"/>
        <v>No</v>
      </c>
      <c r="M182" t="str">
        <f t="shared" si="14"/>
        <v>Yes</v>
      </c>
      <c r="N182" t="str">
        <f t="shared" si="13"/>
        <v>No</v>
      </c>
    </row>
    <row r="183" spans="1:14" x14ac:dyDescent="0.3">
      <c r="A183" s="4" t="s">
        <v>383</v>
      </c>
      <c r="B183" s="4" t="s">
        <v>384</v>
      </c>
      <c r="C183" s="4" t="s">
        <v>27</v>
      </c>
      <c r="D183" s="5">
        <v>45688</v>
      </c>
      <c r="E183" s="5">
        <v>45690</v>
      </c>
      <c r="F183" s="5">
        <v>45701</v>
      </c>
      <c r="G183" s="4" t="s">
        <v>22</v>
      </c>
      <c r="H183" s="4">
        <v>30</v>
      </c>
      <c r="I183" s="2">
        <v>30</v>
      </c>
      <c r="J183">
        <f t="shared" si="10"/>
        <v>13</v>
      </c>
      <c r="K183">
        <f t="shared" si="11"/>
        <v>11</v>
      </c>
      <c r="L183" t="str">
        <f t="shared" si="12"/>
        <v>No</v>
      </c>
      <c r="M183" t="str">
        <f t="shared" si="14"/>
        <v>Yes</v>
      </c>
      <c r="N183" t="str">
        <f t="shared" si="13"/>
        <v>No</v>
      </c>
    </row>
    <row r="184" spans="1:14" x14ac:dyDescent="0.3">
      <c r="A184" s="2" t="s">
        <v>385</v>
      </c>
      <c r="B184" s="2" t="s">
        <v>386</v>
      </c>
      <c r="C184" s="2" t="s">
        <v>37</v>
      </c>
      <c r="D184" s="3">
        <v>45689</v>
      </c>
      <c r="E184" s="3">
        <v>45695</v>
      </c>
      <c r="F184" s="3">
        <v>45704</v>
      </c>
      <c r="G184" s="2" t="s">
        <v>15</v>
      </c>
      <c r="H184" s="2">
        <v>42</v>
      </c>
      <c r="I184" s="2">
        <v>42</v>
      </c>
      <c r="J184">
        <f t="shared" si="10"/>
        <v>15</v>
      </c>
      <c r="K184">
        <f t="shared" si="11"/>
        <v>9</v>
      </c>
      <c r="L184" t="str">
        <f t="shared" si="12"/>
        <v>No</v>
      </c>
      <c r="M184" t="str">
        <f t="shared" si="14"/>
        <v>Yes</v>
      </c>
      <c r="N184" t="str">
        <f t="shared" si="13"/>
        <v>No</v>
      </c>
    </row>
    <row r="185" spans="1:14" x14ac:dyDescent="0.3">
      <c r="A185" s="4" t="s">
        <v>387</v>
      </c>
      <c r="B185" s="4" t="s">
        <v>388</v>
      </c>
      <c r="C185" s="4" t="s">
        <v>21</v>
      </c>
      <c r="D185" s="5">
        <v>45689</v>
      </c>
      <c r="E185" s="5">
        <v>45692</v>
      </c>
      <c r="F185" s="5">
        <v>45696</v>
      </c>
      <c r="G185" s="4" t="s">
        <v>18</v>
      </c>
      <c r="H185" s="4">
        <v>20</v>
      </c>
      <c r="I185" s="2">
        <v>20</v>
      </c>
      <c r="J185">
        <f t="shared" si="10"/>
        <v>7</v>
      </c>
      <c r="K185">
        <f t="shared" si="11"/>
        <v>4</v>
      </c>
      <c r="L185" t="str">
        <f t="shared" si="12"/>
        <v>No</v>
      </c>
      <c r="M185" t="str">
        <f t="shared" si="14"/>
        <v>Yes</v>
      </c>
      <c r="N185" t="str">
        <f t="shared" si="13"/>
        <v>No</v>
      </c>
    </row>
    <row r="186" spans="1:14" x14ac:dyDescent="0.3">
      <c r="A186" s="2" t="s">
        <v>389</v>
      </c>
      <c r="B186" s="2" t="s">
        <v>390</v>
      </c>
      <c r="C186" s="2" t="s">
        <v>27</v>
      </c>
      <c r="D186" s="3">
        <v>45689</v>
      </c>
      <c r="E186" s="3">
        <v>45695</v>
      </c>
      <c r="F186" s="3">
        <v>45703</v>
      </c>
      <c r="G186" s="2" t="s">
        <v>18</v>
      </c>
      <c r="H186" s="2">
        <v>11</v>
      </c>
      <c r="I186" s="2">
        <v>11</v>
      </c>
      <c r="J186">
        <f t="shared" si="10"/>
        <v>14</v>
      </c>
      <c r="K186">
        <f t="shared" si="11"/>
        <v>8</v>
      </c>
      <c r="L186" t="str">
        <f t="shared" si="12"/>
        <v>No</v>
      </c>
      <c r="M186" t="str">
        <f t="shared" si="14"/>
        <v>Yes</v>
      </c>
      <c r="N186" t="str">
        <f t="shared" si="13"/>
        <v>No</v>
      </c>
    </row>
    <row r="187" spans="1:14" x14ac:dyDescent="0.3">
      <c r="A187" s="4" t="s">
        <v>391</v>
      </c>
      <c r="B187" s="4" t="s">
        <v>392</v>
      </c>
      <c r="C187" s="4" t="s">
        <v>34</v>
      </c>
      <c r="D187" s="5">
        <v>45690</v>
      </c>
      <c r="E187" s="5">
        <v>45692</v>
      </c>
      <c r="F187" s="5">
        <v>45701</v>
      </c>
      <c r="G187" s="4" t="s">
        <v>11</v>
      </c>
      <c r="H187" s="4">
        <v>26</v>
      </c>
      <c r="I187" s="2">
        <v>29</v>
      </c>
      <c r="J187">
        <f t="shared" si="10"/>
        <v>11</v>
      </c>
      <c r="K187">
        <f t="shared" si="11"/>
        <v>9</v>
      </c>
      <c r="L187" t="str">
        <f t="shared" si="12"/>
        <v>No</v>
      </c>
      <c r="M187" t="str">
        <f t="shared" si="14"/>
        <v>No</v>
      </c>
      <c r="N187" t="str">
        <f t="shared" si="13"/>
        <v>No</v>
      </c>
    </row>
    <row r="188" spans="1:14" x14ac:dyDescent="0.3">
      <c r="A188" s="2" t="s">
        <v>393</v>
      </c>
      <c r="B188" s="2" t="s">
        <v>394</v>
      </c>
      <c r="C188" s="2" t="s">
        <v>10</v>
      </c>
      <c r="D188" s="3">
        <v>45689</v>
      </c>
      <c r="E188" s="3">
        <v>45693</v>
      </c>
      <c r="F188" s="3">
        <v>45696</v>
      </c>
      <c r="G188" s="2" t="s">
        <v>18</v>
      </c>
      <c r="H188" s="2">
        <v>6</v>
      </c>
      <c r="I188" s="2">
        <v>12</v>
      </c>
      <c r="J188">
        <f t="shared" si="10"/>
        <v>7</v>
      </c>
      <c r="K188">
        <f t="shared" si="11"/>
        <v>3</v>
      </c>
      <c r="L188" t="str">
        <f t="shared" si="12"/>
        <v>No</v>
      </c>
      <c r="M188" t="str">
        <f t="shared" si="14"/>
        <v>No</v>
      </c>
      <c r="N188" t="str">
        <f t="shared" si="13"/>
        <v>No</v>
      </c>
    </row>
    <row r="189" spans="1:14" x14ac:dyDescent="0.3">
      <c r="A189" s="4" t="s">
        <v>395</v>
      </c>
      <c r="B189" s="4" t="s">
        <v>396</v>
      </c>
      <c r="C189" s="4" t="s">
        <v>10</v>
      </c>
      <c r="D189" s="5">
        <v>45689</v>
      </c>
      <c r="E189" s="5">
        <v>45696</v>
      </c>
      <c r="F189" s="5">
        <v>45696</v>
      </c>
      <c r="G189" s="4" t="s">
        <v>40</v>
      </c>
      <c r="H189" s="4">
        <v>7</v>
      </c>
      <c r="I189" s="2">
        <v>7</v>
      </c>
      <c r="J189">
        <f t="shared" si="10"/>
        <v>7</v>
      </c>
      <c r="K189">
        <f t="shared" si="11"/>
        <v>0</v>
      </c>
      <c r="L189" t="str">
        <f t="shared" si="12"/>
        <v>Yes</v>
      </c>
      <c r="M189" t="str">
        <f t="shared" si="14"/>
        <v>Yes</v>
      </c>
      <c r="N189" t="str">
        <f t="shared" si="13"/>
        <v>Yes</v>
      </c>
    </row>
    <row r="190" spans="1:14" x14ac:dyDescent="0.3">
      <c r="A190" s="2" t="s">
        <v>397</v>
      </c>
      <c r="B190" s="2" t="s">
        <v>398</v>
      </c>
      <c r="C190" s="2" t="s">
        <v>14</v>
      </c>
      <c r="D190" s="3">
        <v>45688</v>
      </c>
      <c r="E190" s="3">
        <v>45697</v>
      </c>
      <c r="F190" s="3">
        <v>45705</v>
      </c>
      <c r="G190" s="2" t="s">
        <v>22</v>
      </c>
      <c r="H190" s="2">
        <v>13</v>
      </c>
      <c r="I190" s="2">
        <v>13</v>
      </c>
      <c r="J190">
        <f t="shared" si="10"/>
        <v>17</v>
      </c>
      <c r="K190">
        <f t="shared" si="11"/>
        <v>8</v>
      </c>
      <c r="L190" t="str">
        <f t="shared" si="12"/>
        <v>No</v>
      </c>
      <c r="M190" t="str">
        <f t="shared" si="14"/>
        <v>Yes</v>
      </c>
      <c r="N190" t="str">
        <f t="shared" si="13"/>
        <v>No</v>
      </c>
    </row>
    <row r="191" spans="1:14" x14ac:dyDescent="0.3">
      <c r="A191" s="4" t="s">
        <v>399</v>
      </c>
      <c r="B191" s="4" t="s">
        <v>400</v>
      </c>
      <c r="C191" s="4" t="s">
        <v>27</v>
      </c>
      <c r="D191" s="5">
        <v>45689</v>
      </c>
      <c r="E191" s="5">
        <v>45696</v>
      </c>
      <c r="F191" s="5">
        <v>45702</v>
      </c>
      <c r="G191" s="4" t="s">
        <v>11</v>
      </c>
      <c r="H191" s="4">
        <v>7</v>
      </c>
      <c r="I191" s="2">
        <v>7</v>
      </c>
      <c r="J191">
        <f t="shared" si="10"/>
        <v>13</v>
      </c>
      <c r="K191">
        <f t="shared" si="11"/>
        <v>6</v>
      </c>
      <c r="L191" t="str">
        <f t="shared" si="12"/>
        <v>No</v>
      </c>
      <c r="M191" t="str">
        <f t="shared" si="14"/>
        <v>Yes</v>
      </c>
      <c r="N191" t="str">
        <f t="shared" si="13"/>
        <v>No</v>
      </c>
    </row>
    <row r="192" spans="1:14" x14ac:dyDescent="0.3">
      <c r="A192" s="2" t="s">
        <v>401</v>
      </c>
      <c r="B192" s="2" t="s">
        <v>402</v>
      </c>
      <c r="C192" s="2" t="s">
        <v>34</v>
      </c>
      <c r="D192" s="3">
        <v>45691</v>
      </c>
      <c r="E192" s="3">
        <v>45699</v>
      </c>
      <c r="F192" s="3">
        <v>45697</v>
      </c>
      <c r="G192" s="2" t="s">
        <v>40</v>
      </c>
      <c r="H192" s="2">
        <v>41</v>
      </c>
      <c r="I192" s="2">
        <v>43</v>
      </c>
      <c r="J192">
        <f t="shared" si="10"/>
        <v>6</v>
      </c>
      <c r="K192">
        <f t="shared" si="11"/>
        <v>-2</v>
      </c>
      <c r="L192" t="str">
        <f t="shared" si="12"/>
        <v>Yes</v>
      </c>
      <c r="M192" t="str">
        <f t="shared" si="14"/>
        <v>No</v>
      </c>
      <c r="N192" t="str">
        <f t="shared" si="13"/>
        <v>No</v>
      </c>
    </row>
    <row r="193" spans="1:14" x14ac:dyDescent="0.3">
      <c r="A193" s="4" t="s">
        <v>403</v>
      </c>
      <c r="B193" s="4" t="s">
        <v>404</v>
      </c>
      <c r="C193" s="4" t="s">
        <v>34</v>
      </c>
      <c r="D193" s="5">
        <v>45691</v>
      </c>
      <c r="E193" s="5">
        <v>45696</v>
      </c>
      <c r="F193" s="5">
        <v>45698</v>
      </c>
      <c r="G193" s="4" t="s">
        <v>11</v>
      </c>
      <c r="H193" s="4">
        <v>32</v>
      </c>
      <c r="I193" s="2">
        <v>32</v>
      </c>
      <c r="J193">
        <f t="shared" si="10"/>
        <v>7</v>
      </c>
      <c r="K193">
        <f t="shared" si="11"/>
        <v>2</v>
      </c>
      <c r="L193" t="str">
        <f t="shared" si="12"/>
        <v>No</v>
      </c>
      <c r="M193" t="str">
        <f t="shared" si="14"/>
        <v>Yes</v>
      </c>
      <c r="N193" t="str">
        <f t="shared" si="13"/>
        <v>No</v>
      </c>
    </row>
    <row r="194" spans="1:14" x14ac:dyDescent="0.3">
      <c r="A194" s="2" t="s">
        <v>405</v>
      </c>
      <c r="B194" s="2" t="s">
        <v>406</v>
      </c>
      <c r="C194" s="2" t="s">
        <v>14</v>
      </c>
      <c r="D194" s="3">
        <v>45690</v>
      </c>
      <c r="E194" s="3">
        <v>45694</v>
      </c>
      <c r="F194" s="3">
        <v>45705</v>
      </c>
      <c r="G194" s="2" t="s">
        <v>18</v>
      </c>
      <c r="H194" s="2">
        <v>49</v>
      </c>
      <c r="I194" s="2">
        <v>49</v>
      </c>
      <c r="J194">
        <f t="shared" si="10"/>
        <v>15</v>
      </c>
      <c r="K194">
        <f t="shared" si="11"/>
        <v>11</v>
      </c>
      <c r="L194" t="str">
        <f t="shared" si="12"/>
        <v>No</v>
      </c>
      <c r="M194" t="str">
        <f t="shared" si="14"/>
        <v>Yes</v>
      </c>
      <c r="N194" t="str">
        <f t="shared" si="13"/>
        <v>No</v>
      </c>
    </row>
    <row r="195" spans="1:14" x14ac:dyDescent="0.3">
      <c r="A195" s="4" t="s">
        <v>407</v>
      </c>
      <c r="B195" s="4" t="s">
        <v>408</v>
      </c>
      <c r="C195" s="4" t="s">
        <v>14</v>
      </c>
      <c r="D195" s="5">
        <v>45690</v>
      </c>
      <c r="E195" s="5">
        <v>45697</v>
      </c>
      <c r="F195" s="5">
        <v>45706</v>
      </c>
      <c r="G195" s="4" t="s">
        <v>40</v>
      </c>
      <c r="H195" s="4">
        <v>29</v>
      </c>
      <c r="I195" s="2">
        <v>29</v>
      </c>
      <c r="J195">
        <f t="shared" ref="J195:J258" si="15">F195-D195</f>
        <v>16</v>
      </c>
      <c r="K195">
        <f t="shared" ref="K195:K258" si="16">F195-E195</f>
        <v>9</v>
      </c>
      <c r="L195" t="str">
        <f t="shared" ref="L195:L258" si="17">IF(K195&lt;=0,"Yes","No")</f>
        <v>No</v>
      </c>
      <c r="M195" t="str">
        <f t="shared" si="14"/>
        <v>Yes</v>
      </c>
      <c r="N195" t="str">
        <f t="shared" ref="N195:N258" si="18">IF(AND(L195="Yes",M195="Yes"),"Yes","No")</f>
        <v>No</v>
      </c>
    </row>
    <row r="196" spans="1:14" x14ac:dyDescent="0.3">
      <c r="A196" s="2" t="s">
        <v>409</v>
      </c>
      <c r="B196" s="2" t="s">
        <v>410</v>
      </c>
      <c r="C196" s="2" t="s">
        <v>27</v>
      </c>
      <c r="D196" s="3">
        <v>45691</v>
      </c>
      <c r="E196" s="3">
        <v>45699</v>
      </c>
      <c r="F196" s="3">
        <v>45704</v>
      </c>
      <c r="G196" s="2" t="s">
        <v>40</v>
      </c>
      <c r="H196" s="2">
        <v>6</v>
      </c>
      <c r="I196" s="2">
        <v>6</v>
      </c>
      <c r="J196">
        <f t="shared" si="15"/>
        <v>13</v>
      </c>
      <c r="K196">
        <f t="shared" si="16"/>
        <v>5</v>
      </c>
      <c r="L196" t="str">
        <f t="shared" si="17"/>
        <v>No</v>
      </c>
      <c r="M196" t="str">
        <f t="shared" ref="M196:M259" si="19">IF(H196=I196,"Yes","No")</f>
        <v>Yes</v>
      </c>
      <c r="N196" t="str">
        <f t="shared" si="18"/>
        <v>No</v>
      </c>
    </row>
    <row r="197" spans="1:14" x14ac:dyDescent="0.3">
      <c r="A197" s="4" t="s">
        <v>411</v>
      </c>
      <c r="B197" s="4" t="s">
        <v>412</v>
      </c>
      <c r="C197" s="4" t="s">
        <v>37</v>
      </c>
      <c r="D197" s="5">
        <v>45692</v>
      </c>
      <c r="E197" s="5">
        <v>45697</v>
      </c>
      <c r="F197" s="5">
        <v>45706</v>
      </c>
      <c r="G197" s="4" t="s">
        <v>11</v>
      </c>
      <c r="H197" s="4">
        <v>32</v>
      </c>
      <c r="I197" s="2">
        <v>32</v>
      </c>
      <c r="J197">
        <f t="shared" si="15"/>
        <v>14</v>
      </c>
      <c r="K197">
        <f t="shared" si="16"/>
        <v>9</v>
      </c>
      <c r="L197" t="str">
        <f t="shared" si="17"/>
        <v>No</v>
      </c>
      <c r="M197" t="str">
        <f t="shared" si="19"/>
        <v>Yes</v>
      </c>
      <c r="N197" t="str">
        <f t="shared" si="18"/>
        <v>No</v>
      </c>
    </row>
    <row r="198" spans="1:14" x14ac:dyDescent="0.3">
      <c r="A198" s="2" t="s">
        <v>413</v>
      </c>
      <c r="B198" s="2" t="s">
        <v>414</v>
      </c>
      <c r="C198" s="2" t="s">
        <v>72</v>
      </c>
      <c r="D198" s="3">
        <v>45690</v>
      </c>
      <c r="E198" s="3">
        <v>45695</v>
      </c>
      <c r="F198" s="3">
        <v>45708</v>
      </c>
      <c r="G198" s="2" t="s">
        <v>18</v>
      </c>
      <c r="H198" s="2">
        <v>15</v>
      </c>
      <c r="I198" s="2">
        <v>15</v>
      </c>
      <c r="J198">
        <f t="shared" si="15"/>
        <v>18</v>
      </c>
      <c r="K198">
        <f t="shared" si="16"/>
        <v>13</v>
      </c>
      <c r="L198" t="str">
        <f t="shared" si="17"/>
        <v>No</v>
      </c>
      <c r="M198" t="str">
        <f t="shared" si="19"/>
        <v>Yes</v>
      </c>
      <c r="N198" t="str">
        <f t="shared" si="18"/>
        <v>No</v>
      </c>
    </row>
    <row r="199" spans="1:14" x14ac:dyDescent="0.3">
      <c r="A199" s="4" t="s">
        <v>415</v>
      </c>
      <c r="B199" s="4" t="s">
        <v>416</v>
      </c>
      <c r="C199" s="4" t="s">
        <v>59</v>
      </c>
      <c r="D199" s="5">
        <v>45691</v>
      </c>
      <c r="E199" s="5">
        <v>45694</v>
      </c>
      <c r="F199" s="5">
        <v>45695</v>
      </c>
      <c r="G199" s="4" t="s">
        <v>11</v>
      </c>
      <c r="H199" s="4">
        <v>46</v>
      </c>
      <c r="I199" s="2">
        <v>48</v>
      </c>
      <c r="J199">
        <f t="shared" si="15"/>
        <v>4</v>
      </c>
      <c r="K199">
        <f t="shared" si="16"/>
        <v>1</v>
      </c>
      <c r="L199" t="str">
        <f t="shared" si="17"/>
        <v>No</v>
      </c>
      <c r="M199" t="str">
        <f t="shared" si="19"/>
        <v>No</v>
      </c>
      <c r="N199" t="str">
        <f t="shared" si="18"/>
        <v>No</v>
      </c>
    </row>
    <row r="200" spans="1:14" x14ac:dyDescent="0.3">
      <c r="A200" s="2" t="s">
        <v>417</v>
      </c>
      <c r="B200" s="2" t="s">
        <v>418</v>
      </c>
      <c r="C200" s="2" t="s">
        <v>21</v>
      </c>
      <c r="D200" s="3">
        <v>45692</v>
      </c>
      <c r="E200" s="3">
        <v>45699</v>
      </c>
      <c r="F200" s="3">
        <v>45702</v>
      </c>
      <c r="G200" s="2" t="s">
        <v>15</v>
      </c>
      <c r="H200" s="2">
        <v>44</v>
      </c>
      <c r="I200" s="2">
        <v>44</v>
      </c>
      <c r="J200">
        <f t="shared" si="15"/>
        <v>10</v>
      </c>
      <c r="K200">
        <f t="shared" si="16"/>
        <v>3</v>
      </c>
      <c r="L200" t="str">
        <f t="shared" si="17"/>
        <v>No</v>
      </c>
      <c r="M200" t="str">
        <f t="shared" si="19"/>
        <v>Yes</v>
      </c>
      <c r="N200" t="str">
        <f t="shared" si="18"/>
        <v>No</v>
      </c>
    </row>
    <row r="201" spans="1:14" x14ac:dyDescent="0.3">
      <c r="A201" s="4" t="s">
        <v>419</v>
      </c>
      <c r="B201" s="4" t="s">
        <v>420</v>
      </c>
      <c r="C201" s="4" t="s">
        <v>27</v>
      </c>
      <c r="D201" s="5">
        <v>45691</v>
      </c>
      <c r="E201" s="5">
        <v>45699</v>
      </c>
      <c r="F201" s="5">
        <v>45704</v>
      </c>
      <c r="G201" s="4" t="s">
        <v>15</v>
      </c>
      <c r="H201" s="4">
        <v>2</v>
      </c>
      <c r="I201" s="2">
        <v>5</v>
      </c>
      <c r="J201">
        <f t="shared" si="15"/>
        <v>13</v>
      </c>
      <c r="K201">
        <f t="shared" si="16"/>
        <v>5</v>
      </c>
      <c r="L201" t="str">
        <f t="shared" si="17"/>
        <v>No</v>
      </c>
      <c r="M201" t="str">
        <f t="shared" si="19"/>
        <v>No</v>
      </c>
      <c r="N201" t="str">
        <f t="shared" si="18"/>
        <v>No</v>
      </c>
    </row>
    <row r="202" spans="1:14" x14ac:dyDescent="0.3">
      <c r="A202" s="2" t="s">
        <v>421</v>
      </c>
      <c r="B202" s="2" t="s">
        <v>422</v>
      </c>
      <c r="C202" s="2" t="s">
        <v>27</v>
      </c>
      <c r="D202" s="3">
        <v>45692</v>
      </c>
      <c r="E202" s="3">
        <v>45693</v>
      </c>
      <c r="F202" s="3">
        <v>45705</v>
      </c>
      <c r="G202" s="2" t="s">
        <v>18</v>
      </c>
      <c r="H202" s="2">
        <v>12</v>
      </c>
      <c r="I202" s="2">
        <v>12</v>
      </c>
      <c r="J202">
        <f t="shared" si="15"/>
        <v>13</v>
      </c>
      <c r="K202">
        <f t="shared" si="16"/>
        <v>12</v>
      </c>
      <c r="L202" t="str">
        <f t="shared" si="17"/>
        <v>No</v>
      </c>
      <c r="M202" t="str">
        <f t="shared" si="19"/>
        <v>Yes</v>
      </c>
      <c r="N202" t="str">
        <f t="shared" si="18"/>
        <v>No</v>
      </c>
    </row>
    <row r="203" spans="1:14" x14ac:dyDescent="0.3">
      <c r="A203" s="4" t="s">
        <v>423</v>
      </c>
      <c r="B203" s="4" t="s">
        <v>424</v>
      </c>
      <c r="C203" s="4" t="s">
        <v>72</v>
      </c>
      <c r="D203" s="5">
        <v>45691</v>
      </c>
      <c r="E203" s="5">
        <v>45698</v>
      </c>
      <c r="F203" s="5">
        <v>45705</v>
      </c>
      <c r="G203" s="4" t="s">
        <v>18</v>
      </c>
      <c r="H203" s="4">
        <v>13</v>
      </c>
      <c r="I203" s="2">
        <v>13</v>
      </c>
      <c r="J203">
        <f t="shared" si="15"/>
        <v>14</v>
      </c>
      <c r="K203">
        <f t="shared" si="16"/>
        <v>7</v>
      </c>
      <c r="L203" t="str">
        <f t="shared" si="17"/>
        <v>No</v>
      </c>
      <c r="M203" t="str">
        <f t="shared" si="19"/>
        <v>Yes</v>
      </c>
      <c r="N203" t="str">
        <f t="shared" si="18"/>
        <v>No</v>
      </c>
    </row>
    <row r="204" spans="1:14" x14ac:dyDescent="0.3">
      <c r="A204" s="2" t="s">
        <v>425</v>
      </c>
      <c r="B204" s="2" t="s">
        <v>426</v>
      </c>
      <c r="C204" s="2" t="s">
        <v>59</v>
      </c>
      <c r="D204" s="3">
        <v>45693</v>
      </c>
      <c r="E204" s="3">
        <v>45700</v>
      </c>
      <c r="F204" s="3">
        <v>45699</v>
      </c>
      <c r="G204" s="2" t="s">
        <v>11</v>
      </c>
      <c r="H204" s="2">
        <v>20</v>
      </c>
      <c r="I204" s="2">
        <v>20</v>
      </c>
      <c r="J204">
        <f t="shared" si="15"/>
        <v>6</v>
      </c>
      <c r="K204">
        <f t="shared" si="16"/>
        <v>-1</v>
      </c>
      <c r="L204" t="str">
        <f t="shared" si="17"/>
        <v>Yes</v>
      </c>
      <c r="M204" t="str">
        <f t="shared" si="19"/>
        <v>Yes</v>
      </c>
      <c r="N204" t="str">
        <f t="shared" si="18"/>
        <v>Yes</v>
      </c>
    </row>
    <row r="205" spans="1:14" x14ac:dyDescent="0.3">
      <c r="A205" s="4" t="s">
        <v>427</v>
      </c>
      <c r="B205" s="4" t="s">
        <v>428</v>
      </c>
      <c r="C205" s="4" t="s">
        <v>21</v>
      </c>
      <c r="D205" s="5">
        <v>45693</v>
      </c>
      <c r="E205" s="5">
        <v>45695</v>
      </c>
      <c r="F205" s="5">
        <v>45699</v>
      </c>
      <c r="G205" s="4" t="s">
        <v>15</v>
      </c>
      <c r="H205" s="4">
        <v>45</v>
      </c>
      <c r="I205" s="2">
        <v>45</v>
      </c>
      <c r="J205">
        <f t="shared" si="15"/>
        <v>6</v>
      </c>
      <c r="K205">
        <f t="shared" si="16"/>
        <v>4</v>
      </c>
      <c r="L205" t="str">
        <f t="shared" si="17"/>
        <v>No</v>
      </c>
      <c r="M205" t="str">
        <f t="shared" si="19"/>
        <v>Yes</v>
      </c>
      <c r="N205" t="str">
        <f t="shared" si="18"/>
        <v>No</v>
      </c>
    </row>
    <row r="206" spans="1:14" x14ac:dyDescent="0.3">
      <c r="A206" s="2" t="s">
        <v>429</v>
      </c>
      <c r="B206" s="2" t="s">
        <v>430</v>
      </c>
      <c r="C206" s="2" t="s">
        <v>21</v>
      </c>
      <c r="D206" s="3">
        <v>45691</v>
      </c>
      <c r="E206" s="3">
        <v>45695</v>
      </c>
      <c r="F206" s="3">
        <v>45698</v>
      </c>
      <c r="G206" s="2" t="s">
        <v>15</v>
      </c>
      <c r="H206" s="2">
        <v>42</v>
      </c>
      <c r="I206" s="2">
        <v>42</v>
      </c>
      <c r="J206">
        <f t="shared" si="15"/>
        <v>7</v>
      </c>
      <c r="K206">
        <f t="shared" si="16"/>
        <v>3</v>
      </c>
      <c r="L206" t="str">
        <f t="shared" si="17"/>
        <v>No</v>
      </c>
      <c r="M206" t="str">
        <f t="shared" si="19"/>
        <v>Yes</v>
      </c>
      <c r="N206" t="str">
        <f t="shared" si="18"/>
        <v>No</v>
      </c>
    </row>
    <row r="207" spans="1:14" x14ac:dyDescent="0.3">
      <c r="A207" s="4" t="s">
        <v>431</v>
      </c>
      <c r="B207" s="4" t="s">
        <v>432</v>
      </c>
      <c r="C207" s="4" t="s">
        <v>27</v>
      </c>
      <c r="D207" s="5">
        <v>45692</v>
      </c>
      <c r="E207" s="5">
        <v>45694</v>
      </c>
      <c r="F207" s="5">
        <v>45705</v>
      </c>
      <c r="G207" s="4" t="s">
        <v>18</v>
      </c>
      <c r="H207" s="4">
        <v>1</v>
      </c>
      <c r="I207" s="2">
        <v>5</v>
      </c>
      <c r="J207">
        <f t="shared" si="15"/>
        <v>13</v>
      </c>
      <c r="K207">
        <f t="shared" si="16"/>
        <v>11</v>
      </c>
      <c r="L207" t="str">
        <f t="shared" si="17"/>
        <v>No</v>
      </c>
      <c r="M207" t="str">
        <f t="shared" si="19"/>
        <v>No</v>
      </c>
      <c r="N207" t="str">
        <f t="shared" si="18"/>
        <v>No</v>
      </c>
    </row>
    <row r="208" spans="1:14" x14ac:dyDescent="0.3">
      <c r="A208" s="2" t="s">
        <v>433</v>
      </c>
      <c r="B208" s="2" t="s">
        <v>434</v>
      </c>
      <c r="C208" s="2" t="s">
        <v>37</v>
      </c>
      <c r="D208" s="3">
        <v>45694</v>
      </c>
      <c r="E208" s="3">
        <v>45696</v>
      </c>
      <c r="F208" s="3">
        <v>45708</v>
      </c>
      <c r="G208" s="2" t="s">
        <v>22</v>
      </c>
      <c r="H208" s="2">
        <v>18</v>
      </c>
      <c r="I208" s="2">
        <v>18</v>
      </c>
      <c r="J208">
        <f t="shared" si="15"/>
        <v>14</v>
      </c>
      <c r="K208">
        <f t="shared" si="16"/>
        <v>12</v>
      </c>
      <c r="L208" t="str">
        <f t="shared" si="17"/>
        <v>No</v>
      </c>
      <c r="M208" t="str">
        <f t="shared" si="19"/>
        <v>Yes</v>
      </c>
      <c r="N208" t="str">
        <f t="shared" si="18"/>
        <v>No</v>
      </c>
    </row>
    <row r="209" spans="1:14" x14ac:dyDescent="0.3">
      <c r="A209" s="4" t="s">
        <v>435</v>
      </c>
      <c r="B209" s="4" t="s">
        <v>436</v>
      </c>
      <c r="C209" s="4" t="s">
        <v>37</v>
      </c>
      <c r="D209" s="5">
        <v>45693</v>
      </c>
      <c r="E209" s="5">
        <v>45695</v>
      </c>
      <c r="F209" s="5">
        <v>45707</v>
      </c>
      <c r="G209" s="4" t="s">
        <v>22</v>
      </c>
      <c r="H209" s="4">
        <v>21</v>
      </c>
      <c r="I209" s="2">
        <v>21</v>
      </c>
      <c r="J209">
        <f t="shared" si="15"/>
        <v>14</v>
      </c>
      <c r="K209">
        <f t="shared" si="16"/>
        <v>12</v>
      </c>
      <c r="L209" t="str">
        <f t="shared" si="17"/>
        <v>No</v>
      </c>
      <c r="M209" t="str">
        <f t="shared" si="19"/>
        <v>Yes</v>
      </c>
      <c r="N209" t="str">
        <f t="shared" si="18"/>
        <v>No</v>
      </c>
    </row>
    <row r="210" spans="1:14" x14ac:dyDescent="0.3">
      <c r="A210" s="2" t="s">
        <v>437</v>
      </c>
      <c r="B210" s="2" t="s">
        <v>438</v>
      </c>
      <c r="C210" s="2" t="s">
        <v>37</v>
      </c>
      <c r="D210" s="3">
        <v>45694</v>
      </c>
      <c r="E210" s="3">
        <v>45695</v>
      </c>
      <c r="F210" s="3">
        <v>45711</v>
      </c>
      <c r="G210" s="2" t="s">
        <v>18</v>
      </c>
      <c r="H210" s="2">
        <v>26</v>
      </c>
      <c r="I210" s="2">
        <v>26</v>
      </c>
      <c r="J210">
        <f t="shared" si="15"/>
        <v>17</v>
      </c>
      <c r="K210">
        <f t="shared" si="16"/>
        <v>16</v>
      </c>
      <c r="L210" t="str">
        <f t="shared" si="17"/>
        <v>No</v>
      </c>
      <c r="M210" t="str">
        <f t="shared" si="19"/>
        <v>Yes</v>
      </c>
      <c r="N210" t="str">
        <f t="shared" si="18"/>
        <v>No</v>
      </c>
    </row>
    <row r="211" spans="1:14" x14ac:dyDescent="0.3">
      <c r="A211" s="4" t="s">
        <v>439</v>
      </c>
      <c r="B211" s="4" t="s">
        <v>440</v>
      </c>
      <c r="C211" s="4" t="s">
        <v>10</v>
      </c>
      <c r="D211" s="5">
        <v>45693</v>
      </c>
      <c r="E211" s="5">
        <v>45696</v>
      </c>
      <c r="F211" s="5">
        <v>45702</v>
      </c>
      <c r="G211" s="4" t="s">
        <v>40</v>
      </c>
      <c r="H211" s="4">
        <v>11</v>
      </c>
      <c r="I211" s="2">
        <v>17</v>
      </c>
      <c r="J211">
        <f t="shared" si="15"/>
        <v>9</v>
      </c>
      <c r="K211">
        <f t="shared" si="16"/>
        <v>6</v>
      </c>
      <c r="L211" t="str">
        <f t="shared" si="17"/>
        <v>No</v>
      </c>
      <c r="M211" t="str">
        <f t="shared" si="19"/>
        <v>No</v>
      </c>
      <c r="N211" t="str">
        <f t="shared" si="18"/>
        <v>No</v>
      </c>
    </row>
    <row r="212" spans="1:14" x14ac:dyDescent="0.3">
      <c r="A212" s="2" t="s">
        <v>441</v>
      </c>
      <c r="B212" s="2" t="s">
        <v>442</v>
      </c>
      <c r="C212" s="2" t="s">
        <v>72</v>
      </c>
      <c r="D212" s="3">
        <v>45693</v>
      </c>
      <c r="E212" s="3">
        <v>45697</v>
      </c>
      <c r="F212" s="3">
        <v>45706</v>
      </c>
      <c r="G212" s="2" t="s">
        <v>15</v>
      </c>
      <c r="H212" s="2">
        <v>22</v>
      </c>
      <c r="I212" s="2">
        <v>22</v>
      </c>
      <c r="J212">
        <f t="shared" si="15"/>
        <v>13</v>
      </c>
      <c r="K212">
        <f t="shared" si="16"/>
        <v>9</v>
      </c>
      <c r="L212" t="str">
        <f t="shared" si="17"/>
        <v>No</v>
      </c>
      <c r="M212" t="str">
        <f t="shared" si="19"/>
        <v>Yes</v>
      </c>
      <c r="N212" t="str">
        <f t="shared" si="18"/>
        <v>No</v>
      </c>
    </row>
    <row r="213" spans="1:14" x14ac:dyDescent="0.3">
      <c r="A213" s="4" t="s">
        <v>443</v>
      </c>
      <c r="B213" s="4" t="s">
        <v>444</v>
      </c>
      <c r="C213" s="4" t="s">
        <v>59</v>
      </c>
      <c r="D213" s="5">
        <v>45693</v>
      </c>
      <c r="E213" s="5">
        <v>45697</v>
      </c>
      <c r="F213" s="5">
        <v>45701</v>
      </c>
      <c r="G213" s="4" t="s">
        <v>22</v>
      </c>
      <c r="H213" s="4">
        <v>50</v>
      </c>
      <c r="I213" s="2">
        <v>50</v>
      </c>
      <c r="J213">
        <f t="shared" si="15"/>
        <v>8</v>
      </c>
      <c r="K213">
        <f t="shared" si="16"/>
        <v>4</v>
      </c>
      <c r="L213" t="str">
        <f t="shared" si="17"/>
        <v>No</v>
      </c>
      <c r="M213" t="str">
        <f t="shared" si="19"/>
        <v>Yes</v>
      </c>
      <c r="N213" t="str">
        <f t="shared" si="18"/>
        <v>No</v>
      </c>
    </row>
    <row r="214" spans="1:14" x14ac:dyDescent="0.3">
      <c r="A214" s="2" t="s">
        <v>445</v>
      </c>
      <c r="B214" s="2" t="s">
        <v>446</v>
      </c>
      <c r="C214" s="2" t="s">
        <v>59</v>
      </c>
      <c r="D214" s="3">
        <v>45694</v>
      </c>
      <c r="E214" s="3">
        <v>45695</v>
      </c>
      <c r="F214" s="3">
        <v>45698</v>
      </c>
      <c r="G214" s="2" t="s">
        <v>40</v>
      </c>
      <c r="H214" s="2">
        <v>23</v>
      </c>
      <c r="I214" s="2">
        <v>23</v>
      </c>
      <c r="J214">
        <f t="shared" si="15"/>
        <v>4</v>
      </c>
      <c r="K214">
        <f t="shared" si="16"/>
        <v>3</v>
      </c>
      <c r="L214" t="str">
        <f t="shared" si="17"/>
        <v>No</v>
      </c>
      <c r="M214" t="str">
        <f t="shared" si="19"/>
        <v>Yes</v>
      </c>
      <c r="N214" t="str">
        <f t="shared" si="18"/>
        <v>No</v>
      </c>
    </row>
    <row r="215" spans="1:14" x14ac:dyDescent="0.3">
      <c r="A215" s="4" t="s">
        <v>447</v>
      </c>
      <c r="B215" s="4" t="s">
        <v>448</v>
      </c>
      <c r="C215" s="4" t="s">
        <v>27</v>
      </c>
      <c r="D215" s="5">
        <v>45693</v>
      </c>
      <c r="E215" s="5">
        <v>45698</v>
      </c>
      <c r="F215" s="5">
        <v>45708</v>
      </c>
      <c r="G215" s="4" t="s">
        <v>18</v>
      </c>
      <c r="H215" s="4">
        <v>41</v>
      </c>
      <c r="I215" s="2">
        <v>41</v>
      </c>
      <c r="J215">
        <f t="shared" si="15"/>
        <v>15</v>
      </c>
      <c r="K215">
        <f t="shared" si="16"/>
        <v>10</v>
      </c>
      <c r="L215" t="str">
        <f t="shared" si="17"/>
        <v>No</v>
      </c>
      <c r="M215" t="str">
        <f t="shared" si="19"/>
        <v>Yes</v>
      </c>
      <c r="N215" t="str">
        <f t="shared" si="18"/>
        <v>No</v>
      </c>
    </row>
    <row r="216" spans="1:14" x14ac:dyDescent="0.3">
      <c r="A216" s="2" t="s">
        <v>449</v>
      </c>
      <c r="B216" s="2" t="s">
        <v>450</v>
      </c>
      <c r="C216" s="2" t="s">
        <v>27</v>
      </c>
      <c r="D216" s="3">
        <v>45692</v>
      </c>
      <c r="E216" s="3">
        <v>45700</v>
      </c>
      <c r="F216" s="3">
        <v>45709</v>
      </c>
      <c r="G216" s="2" t="s">
        <v>11</v>
      </c>
      <c r="H216" s="2">
        <v>7</v>
      </c>
      <c r="I216" s="2">
        <v>7</v>
      </c>
      <c r="J216">
        <f t="shared" si="15"/>
        <v>17</v>
      </c>
      <c r="K216">
        <f t="shared" si="16"/>
        <v>9</v>
      </c>
      <c r="L216" t="str">
        <f t="shared" si="17"/>
        <v>No</v>
      </c>
      <c r="M216" t="str">
        <f t="shared" si="19"/>
        <v>Yes</v>
      </c>
      <c r="N216" t="str">
        <f t="shared" si="18"/>
        <v>No</v>
      </c>
    </row>
    <row r="217" spans="1:14" x14ac:dyDescent="0.3">
      <c r="A217" s="4" t="s">
        <v>451</v>
      </c>
      <c r="B217" s="4" t="s">
        <v>452</v>
      </c>
      <c r="C217" s="4" t="s">
        <v>37</v>
      </c>
      <c r="D217" s="5">
        <v>45693</v>
      </c>
      <c r="E217" s="5">
        <v>45698</v>
      </c>
      <c r="F217" s="5">
        <v>45707</v>
      </c>
      <c r="G217" s="4" t="s">
        <v>40</v>
      </c>
      <c r="H217" s="4">
        <v>27</v>
      </c>
      <c r="I217" s="2">
        <v>27</v>
      </c>
      <c r="J217">
        <f t="shared" si="15"/>
        <v>14</v>
      </c>
      <c r="K217">
        <f t="shared" si="16"/>
        <v>9</v>
      </c>
      <c r="L217" t="str">
        <f t="shared" si="17"/>
        <v>No</v>
      </c>
      <c r="M217" t="str">
        <f t="shared" si="19"/>
        <v>Yes</v>
      </c>
      <c r="N217" t="str">
        <f t="shared" si="18"/>
        <v>No</v>
      </c>
    </row>
    <row r="218" spans="1:14" x14ac:dyDescent="0.3">
      <c r="A218" s="2" t="s">
        <v>453</v>
      </c>
      <c r="B218" s="2" t="s">
        <v>454</v>
      </c>
      <c r="C218" s="2" t="s">
        <v>10</v>
      </c>
      <c r="D218" s="3">
        <v>45694</v>
      </c>
      <c r="E218" s="3">
        <v>45697</v>
      </c>
      <c r="F218" s="3">
        <v>45703</v>
      </c>
      <c r="G218" s="2" t="s">
        <v>22</v>
      </c>
      <c r="H218" s="2">
        <v>15</v>
      </c>
      <c r="I218" s="2">
        <v>15</v>
      </c>
      <c r="J218">
        <f t="shared" si="15"/>
        <v>9</v>
      </c>
      <c r="K218">
        <f t="shared" si="16"/>
        <v>6</v>
      </c>
      <c r="L218" t="str">
        <f t="shared" si="17"/>
        <v>No</v>
      </c>
      <c r="M218" t="str">
        <f t="shared" si="19"/>
        <v>Yes</v>
      </c>
      <c r="N218" t="str">
        <f t="shared" si="18"/>
        <v>No</v>
      </c>
    </row>
    <row r="219" spans="1:14" x14ac:dyDescent="0.3">
      <c r="A219" s="4" t="s">
        <v>455</v>
      </c>
      <c r="B219" s="4" t="s">
        <v>456</v>
      </c>
      <c r="C219" s="4" t="s">
        <v>72</v>
      </c>
      <c r="D219" s="5">
        <v>45693</v>
      </c>
      <c r="E219" s="5">
        <v>45698</v>
      </c>
      <c r="F219" s="5">
        <v>45707</v>
      </c>
      <c r="G219" s="4" t="s">
        <v>18</v>
      </c>
      <c r="H219" s="4">
        <v>20</v>
      </c>
      <c r="I219" s="2">
        <v>20</v>
      </c>
      <c r="J219">
        <f t="shared" si="15"/>
        <v>14</v>
      </c>
      <c r="K219">
        <f t="shared" si="16"/>
        <v>9</v>
      </c>
      <c r="L219" t="str">
        <f t="shared" si="17"/>
        <v>No</v>
      </c>
      <c r="M219" t="str">
        <f t="shared" si="19"/>
        <v>Yes</v>
      </c>
      <c r="N219" t="str">
        <f t="shared" si="18"/>
        <v>No</v>
      </c>
    </row>
    <row r="220" spans="1:14" x14ac:dyDescent="0.3">
      <c r="A220" s="2" t="s">
        <v>457</v>
      </c>
      <c r="B220" s="2" t="s">
        <v>458</v>
      </c>
      <c r="C220" s="2" t="s">
        <v>10</v>
      </c>
      <c r="D220" s="3">
        <v>45695</v>
      </c>
      <c r="E220" s="3">
        <v>45700</v>
      </c>
      <c r="F220" s="3">
        <v>45701</v>
      </c>
      <c r="G220" s="2" t="s">
        <v>18</v>
      </c>
      <c r="H220" s="2">
        <v>20</v>
      </c>
      <c r="I220" s="2">
        <v>20</v>
      </c>
      <c r="J220">
        <f t="shared" si="15"/>
        <v>6</v>
      </c>
      <c r="K220">
        <f t="shared" si="16"/>
        <v>1</v>
      </c>
      <c r="L220" t="str">
        <f t="shared" si="17"/>
        <v>No</v>
      </c>
      <c r="M220" t="str">
        <f t="shared" si="19"/>
        <v>Yes</v>
      </c>
      <c r="N220" t="str">
        <f t="shared" si="18"/>
        <v>No</v>
      </c>
    </row>
    <row r="221" spans="1:14" x14ac:dyDescent="0.3">
      <c r="A221" s="4" t="s">
        <v>459</v>
      </c>
      <c r="B221" s="4" t="s">
        <v>460</v>
      </c>
      <c r="C221" s="4" t="s">
        <v>59</v>
      </c>
      <c r="D221" s="5">
        <v>45695</v>
      </c>
      <c r="E221" s="5">
        <v>45703</v>
      </c>
      <c r="F221" s="5">
        <v>45701</v>
      </c>
      <c r="G221" s="4" t="s">
        <v>15</v>
      </c>
      <c r="H221" s="4">
        <v>17</v>
      </c>
      <c r="I221" s="2">
        <v>17</v>
      </c>
      <c r="J221">
        <f t="shared" si="15"/>
        <v>6</v>
      </c>
      <c r="K221">
        <f t="shared" si="16"/>
        <v>-2</v>
      </c>
      <c r="L221" t="str">
        <f t="shared" si="17"/>
        <v>Yes</v>
      </c>
      <c r="M221" t="str">
        <f t="shared" si="19"/>
        <v>Yes</v>
      </c>
      <c r="N221" t="str">
        <f t="shared" si="18"/>
        <v>Yes</v>
      </c>
    </row>
    <row r="222" spans="1:14" x14ac:dyDescent="0.3">
      <c r="A222" s="2" t="s">
        <v>461</v>
      </c>
      <c r="B222" s="2" t="s">
        <v>462</v>
      </c>
      <c r="C222" s="2" t="s">
        <v>59</v>
      </c>
      <c r="D222" s="3">
        <v>45694</v>
      </c>
      <c r="E222" s="3">
        <v>45702</v>
      </c>
      <c r="F222" s="3">
        <v>45698</v>
      </c>
      <c r="G222" s="2" t="s">
        <v>15</v>
      </c>
      <c r="H222" s="2">
        <v>43</v>
      </c>
      <c r="I222" s="2">
        <v>49</v>
      </c>
      <c r="J222">
        <f t="shared" si="15"/>
        <v>4</v>
      </c>
      <c r="K222">
        <f t="shared" si="16"/>
        <v>-4</v>
      </c>
      <c r="L222" t="str">
        <f t="shared" si="17"/>
        <v>Yes</v>
      </c>
      <c r="M222" t="str">
        <f t="shared" si="19"/>
        <v>No</v>
      </c>
      <c r="N222" t="str">
        <f t="shared" si="18"/>
        <v>No</v>
      </c>
    </row>
    <row r="223" spans="1:14" x14ac:dyDescent="0.3">
      <c r="A223" s="4" t="s">
        <v>463</v>
      </c>
      <c r="B223" s="4" t="s">
        <v>464</v>
      </c>
      <c r="C223" s="4" t="s">
        <v>59</v>
      </c>
      <c r="D223" s="5">
        <v>45693</v>
      </c>
      <c r="E223" s="5">
        <v>45702</v>
      </c>
      <c r="F223" s="5">
        <v>45697</v>
      </c>
      <c r="G223" s="4" t="s">
        <v>15</v>
      </c>
      <c r="H223" s="4">
        <v>15</v>
      </c>
      <c r="I223" s="2">
        <v>15</v>
      </c>
      <c r="J223">
        <f t="shared" si="15"/>
        <v>4</v>
      </c>
      <c r="K223">
        <f t="shared" si="16"/>
        <v>-5</v>
      </c>
      <c r="L223" t="str">
        <f t="shared" si="17"/>
        <v>Yes</v>
      </c>
      <c r="M223" t="str">
        <f t="shared" si="19"/>
        <v>Yes</v>
      </c>
      <c r="N223" t="str">
        <f t="shared" si="18"/>
        <v>Yes</v>
      </c>
    </row>
    <row r="224" spans="1:14" x14ac:dyDescent="0.3">
      <c r="A224" s="2" t="s">
        <v>465</v>
      </c>
      <c r="B224" s="2" t="s">
        <v>466</v>
      </c>
      <c r="C224" s="2" t="s">
        <v>21</v>
      </c>
      <c r="D224" s="3">
        <v>45693</v>
      </c>
      <c r="E224" s="3">
        <v>45696</v>
      </c>
      <c r="F224" s="3">
        <v>45699</v>
      </c>
      <c r="G224" s="2" t="s">
        <v>18</v>
      </c>
      <c r="H224" s="2">
        <v>20</v>
      </c>
      <c r="I224" s="2">
        <v>20</v>
      </c>
      <c r="J224">
        <f t="shared" si="15"/>
        <v>6</v>
      </c>
      <c r="K224">
        <f t="shared" si="16"/>
        <v>3</v>
      </c>
      <c r="L224" t="str">
        <f t="shared" si="17"/>
        <v>No</v>
      </c>
      <c r="M224" t="str">
        <f t="shared" si="19"/>
        <v>Yes</v>
      </c>
      <c r="N224" t="str">
        <f t="shared" si="18"/>
        <v>No</v>
      </c>
    </row>
    <row r="225" spans="1:14" x14ac:dyDescent="0.3">
      <c r="A225" s="4" t="s">
        <v>467</v>
      </c>
      <c r="B225" s="4" t="s">
        <v>468</v>
      </c>
      <c r="C225" s="4" t="s">
        <v>21</v>
      </c>
      <c r="D225" s="5">
        <v>45694</v>
      </c>
      <c r="E225" s="5">
        <v>45701</v>
      </c>
      <c r="F225" s="5">
        <v>45701</v>
      </c>
      <c r="G225" s="4" t="s">
        <v>11</v>
      </c>
      <c r="H225" s="4">
        <v>16</v>
      </c>
      <c r="I225" s="2">
        <v>16</v>
      </c>
      <c r="J225">
        <f t="shared" si="15"/>
        <v>7</v>
      </c>
      <c r="K225">
        <f t="shared" si="16"/>
        <v>0</v>
      </c>
      <c r="L225" t="str">
        <f t="shared" si="17"/>
        <v>Yes</v>
      </c>
      <c r="M225" t="str">
        <f t="shared" si="19"/>
        <v>Yes</v>
      </c>
      <c r="N225" t="str">
        <f t="shared" si="18"/>
        <v>Yes</v>
      </c>
    </row>
    <row r="226" spans="1:14" x14ac:dyDescent="0.3">
      <c r="A226" s="2" t="s">
        <v>469</v>
      </c>
      <c r="B226" s="2" t="s">
        <v>470</v>
      </c>
      <c r="C226" s="2" t="s">
        <v>27</v>
      </c>
      <c r="D226" s="3">
        <v>45693</v>
      </c>
      <c r="E226" s="3">
        <v>45701</v>
      </c>
      <c r="F226" s="3">
        <v>45706</v>
      </c>
      <c r="G226" s="2" t="s">
        <v>18</v>
      </c>
      <c r="H226" s="2">
        <v>7</v>
      </c>
      <c r="I226" s="2">
        <v>7</v>
      </c>
      <c r="J226">
        <f t="shared" si="15"/>
        <v>13</v>
      </c>
      <c r="K226">
        <f t="shared" si="16"/>
        <v>5</v>
      </c>
      <c r="L226" t="str">
        <f t="shared" si="17"/>
        <v>No</v>
      </c>
      <c r="M226" t="str">
        <f t="shared" si="19"/>
        <v>Yes</v>
      </c>
      <c r="N226" t="str">
        <f t="shared" si="18"/>
        <v>No</v>
      </c>
    </row>
    <row r="227" spans="1:14" x14ac:dyDescent="0.3">
      <c r="A227" s="4" t="s">
        <v>471</v>
      </c>
      <c r="B227" s="4" t="s">
        <v>472</v>
      </c>
      <c r="C227" s="4" t="s">
        <v>34</v>
      </c>
      <c r="D227" s="5">
        <v>45696</v>
      </c>
      <c r="E227" s="5">
        <v>45701</v>
      </c>
      <c r="F227" s="5">
        <v>45705</v>
      </c>
      <c r="G227" s="4" t="s">
        <v>11</v>
      </c>
      <c r="H227" s="4">
        <v>46</v>
      </c>
      <c r="I227" s="2">
        <v>46</v>
      </c>
      <c r="J227">
        <f t="shared" si="15"/>
        <v>9</v>
      </c>
      <c r="K227">
        <f t="shared" si="16"/>
        <v>4</v>
      </c>
      <c r="L227" t="str">
        <f t="shared" si="17"/>
        <v>No</v>
      </c>
      <c r="M227" t="str">
        <f t="shared" si="19"/>
        <v>Yes</v>
      </c>
      <c r="N227" t="str">
        <f t="shared" si="18"/>
        <v>No</v>
      </c>
    </row>
    <row r="228" spans="1:14" x14ac:dyDescent="0.3">
      <c r="A228" s="2" t="s">
        <v>473</v>
      </c>
      <c r="B228" s="2" t="s">
        <v>474</v>
      </c>
      <c r="C228" s="2" t="s">
        <v>72</v>
      </c>
      <c r="D228" s="3">
        <v>45695</v>
      </c>
      <c r="E228" s="3">
        <v>45698</v>
      </c>
      <c r="F228" s="3">
        <v>45713</v>
      </c>
      <c r="G228" s="2" t="s">
        <v>18</v>
      </c>
      <c r="H228" s="2">
        <v>16</v>
      </c>
      <c r="I228" s="2">
        <v>16</v>
      </c>
      <c r="J228">
        <f t="shared" si="15"/>
        <v>18</v>
      </c>
      <c r="K228">
        <f t="shared" si="16"/>
        <v>15</v>
      </c>
      <c r="L228" t="str">
        <f t="shared" si="17"/>
        <v>No</v>
      </c>
      <c r="M228" t="str">
        <f t="shared" si="19"/>
        <v>Yes</v>
      </c>
      <c r="N228" t="str">
        <f t="shared" si="18"/>
        <v>No</v>
      </c>
    </row>
    <row r="229" spans="1:14" x14ac:dyDescent="0.3">
      <c r="A229" s="4" t="s">
        <v>475</v>
      </c>
      <c r="B229" s="4" t="s">
        <v>476</v>
      </c>
      <c r="C229" s="4" t="s">
        <v>72</v>
      </c>
      <c r="D229" s="5">
        <v>45694</v>
      </c>
      <c r="E229" s="5">
        <v>45701</v>
      </c>
      <c r="F229" s="5">
        <v>45709</v>
      </c>
      <c r="G229" s="4" t="s">
        <v>22</v>
      </c>
      <c r="H229" s="4">
        <v>17</v>
      </c>
      <c r="I229" s="2">
        <v>19</v>
      </c>
      <c r="J229">
        <f t="shared" si="15"/>
        <v>15</v>
      </c>
      <c r="K229">
        <f t="shared" si="16"/>
        <v>8</v>
      </c>
      <c r="L229" t="str">
        <f t="shared" si="17"/>
        <v>No</v>
      </c>
      <c r="M229" t="str">
        <f t="shared" si="19"/>
        <v>No</v>
      </c>
      <c r="N229" t="str">
        <f t="shared" si="18"/>
        <v>No</v>
      </c>
    </row>
    <row r="230" spans="1:14" x14ac:dyDescent="0.3">
      <c r="A230" s="2" t="s">
        <v>477</v>
      </c>
      <c r="B230" s="2" t="s">
        <v>478</v>
      </c>
      <c r="C230" s="2" t="s">
        <v>14</v>
      </c>
      <c r="D230" s="3">
        <v>45695</v>
      </c>
      <c r="E230" s="3">
        <v>45699</v>
      </c>
      <c r="F230" s="3">
        <v>45709</v>
      </c>
      <c r="G230" s="2" t="s">
        <v>22</v>
      </c>
      <c r="H230" s="2">
        <v>14</v>
      </c>
      <c r="I230" s="2">
        <v>15</v>
      </c>
      <c r="J230">
        <f t="shared" si="15"/>
        <v>14</v>
      </c>
      <c r="K230">
        <f t="shared" si="16"/>
        <v>10</v>
      </c>
      <c r="L230" t="str">
        <f t="shared" si="17"/>
        <v>No</v>
      </c>
      <c r="M230" t="str">
        <f t="shared" si="19"/>
        <v>No</v>
      </c>
      <c r="N230" t="str">
        <f t="shared" si="18"/>
        <v>No</v>
      </c>
    </row>
    <row r="231" spans="1:14" x14ac:dyDescent="0.3">
      <c r="A231" s="4" t="s">
        <v>479</v>
      </c>
      <c r="B231" s="4" t="s">
        <v>480</v>
      </c>
      <c r="C231" s="4" t="s">
        <v>27</v>
      </c>
      <c r="D231" s="5">
        <v>45694</v>
      </c>
      <c r="E231" s="5">
        <v>45701</v>
      </c>
      <c r="F231" s="5">
        <v>45711</v>
      </c>
      <c r="G231" s="4" t="s">
        <v>40</v>
      </c>
      <c r="H231" s="4">
        <v>9</v>
      </c>
      <c r="I231" s="2">
        <v>9</v>
      </c>
      <c r="J231">
        <f t="shared" si="15"/>
        <v>17</v>
      </c>
      <c r="K231">
        <f t="shared" si="16"/>
        <v>10</v>
      </c>
      <c r="L231" t="str">
        <f t="shared" si="17"/>
        <v>No</v>
      </c>
      <c r="M231" t="str">
        <f t="shared" si="19"/>
        <v>Yes</v>
      </c>
      <c r="N231" t="str">
        <f t="shared" si="18"/>
        <v>No</v>
      </c>
    </row>
    <row r="232" spans="1:14" x14ac:dyDescent="0.3">
      <c r="A232" s="2" t="s">
        <v>481</v>
      </c>
      <c r="B232" s="2" t="s">
        <v>482</v>
      </c>
      <c r="C232" s="2" t="s">
        <v>37</v>
      </c>
      <c r="D232" s="3">
        <v>45695</v>
      </c>
      <c r="E232" s="3">
        <v>45705</v>
      </c>
      <c r="F232" s="3">
        <v>45708</v>
      </c>
      <c r="G232" s="2" t="s">
        <v>11</v>
      </c>
      <c r="H232" s="2">
        <v>35</v>
      </c>
      <c r="I232" s="2">
        <v>37</v>
      </c>
      <c r="J232">
        <f t="shared" si="15"/>
        <v>13</v>
      </c>
      <c r="K232">
        <f t="shared" si="16"/>
        <v>3</v>
      </c>
      <c r="L232" t="str">
        <f t="shared" si="17"/>
        <v>No</v>
      </c>
      <c r="M232" t="str">
        <f t="shared" si="19"/>
        <v>No</v>
      </c>
      <c r="N232" t="str">
        <f t="shared" si="18"/>
        <v>No</v>
      </c>
    </row>
    <row r="233" spans="1:14" x14ac:dyDescent="0.3">
      <c r="A233" s="4" t="s">
        <v>483</v>
      </c>
      <c r="B233" s="4" t="s">
        <v>484</v>
      </c>
      <c r="C233" s="4" t="s">
        <v>72</v>
      </c>
      <c r="D233" s="5">
        <v>45695</v>
      </c>
      <c r="E233" s="5">
        <v>45700</v>
      </c>
      <c r="F233" s="5">
        <v>45709</v>
      </c>
      <c r="G233" s="4" t="s">
        <v>15</v>
      </c>
      <c r="H233" s="4">
        <v>26</v>
      </c>
      <c r="I233" s="2">
        <v>32</v>
      </c>
      <c r="J233">
        <f t="shared" si="15"/>
        <v>14</v>
      </c>
      <c r="K233">
        <f t="shared" si="16"/>
        <v>9</v>
      </c>
      <c r="L233" t="str">
        <f t="shared" si="17"/>
        <v>No</v>
      </c>
      <c r="M233" t="str">
        <f t="shared" si="19"/>
        <v>No</v>
      </c>
      <c r="N233" t="str">
        <f t="shared" si="18"/>
        <v>No</v>
      </c>
    </row>
    <row r="234" spans="1:14" x14ac:dyDescent="0.3">
      <c r="A234" s="2" t="s">
        <v>485</v>
      </c>
      <c r="B234" s="2" t="s">
        <v>486</v>
      </c>
      <c r="C234" s="2" t="s">
        <v>10</v>
      </c>
      <c r="D234" s="3">
        <v>45697</v>
      </c>
      <c r="E234" s="3">
        <v>45705</v>
      </c>
      <c r="F234" s="3">
        <v>45702</v>
      </c>
      <c r="G234" s="2" t="s">
        <v>15</v>
      </c>
      <c r="H234" s="2">
        <v>8</v>
      </c>
      <c r="I234" s="2">
        <v>8</v>
      </c>
      <c r="J234">
        <f t="shared" si="15"/>
        <v>5</v>
      </c>
      <c r="K234">
        <f t="shared" si="16"/>
        <v>-3</v>
      </c>
      <c r="L234" t="str">
        <f t="shared" si="17"/>
        <v>Yes</v>
      </c>
      <c r="M234" t="str">
        <f t="shared" si="19"/>
        <v>Yes</v>
      </c>
      <c r="N234" t="str">
        <f t="shared" si="18"/>
        <v>Yes</v>
      </c>
    </row>
    <row r="235" spans="1:14" x14ac:dyDescent="0.3">
      <c r="A235" s="4" t="s">
        <v>487</v>
      </c>
      <c r="B235" s="4" t="s">
        <v>488</v>
      </c>
      <c r="C235" s="4" t="s">
        <v>59</v>
      </c>
      <c r="D235" s="5">
        <v>45697</v>
      </c>
      <c r="E235" s="5">
        <v>45703</v>
      </c>
      <c r="F235" s="5">
        <v>45700</v>
      </c>
      <c r="G235" s="4" t="s">
        <v>11</v>
      </c>
      <c r="H235" s="4">
        <v>26</v>
      </c>
      <c r="I235" s="2">
        <v>26</v>
      </c>
      <c r="J235">
        <f t="shared" si="15"/>
        <v>3</v>
      </c>
      <c r="K235">
        <f t="shared" si="16"/>
        <v>-3</v>
      </c>
      <c r="L235" t="str">
        <f t="shared" si="17"/>
        <v>Yes</v>
      </c>
      <c r="M235" t="str">
        <f t="shared" si="19"/>
        <v>Yes</v>
      </c>
      <c r="N235" t="str">
        <f t="shared" si="18"/>
        <v>Yes</v>
      </c>
    </row>
    <row r="236" spans="1:14" x14ac:dyDescent="0.3">
      <c r="A236" s="2" t="s">
        <v>489</v>
      </c>
      <c r="B236" s="2" t="s">
        <v>490</v>
      </c>
      <c r="C236" s="2" t="s">
        <v>21</v>
      </c>
      <c r="D236" s="3">
        <v>45696</v>
      </c>
      <c r="E236" s="3">
        <v>45700</v>
      </c>
      <c r="F236" s="3">
        <v>45703</v>
      </c>
      <c r="G236" s="2" t="s">
        <v>15</v>
      </c>
      <c r="H236" s="2">
        <v>33</v>
      </c>
      <c r="I236" s="2">
        <v>33</v>
      </c>
      <c r="J236">
        <f t="shared" si="15"/>
        <v>7</v>
      </c>
      <c r="K236">
        <f t="shared" si="16"/>
        <v>3</v>
      </c>
      <c r="L236" t="str">
        <f t="shared" si="17"/>
        <v>No</v>
      </c>
      <c r="M236" t="str">
        <f t="shared" si="19"/>
        <v>Yes</v>
      </c>
      <c r="N236" t="str">
        <f t="shared" si="18"/>
        <v>No</v>
      </c>
    </row>
    <row r="237" spans="1:14" x14ac:dyDescent="0.3">
      <c r="A237" s="4" t="s">
        <v>491</v>
      </c>
      <c r="B237" s="4" t="s">
        <v>492</v>
      </c>
      <c r="C237" s="4" t="s">
        <v>21</v>
      </c>
      <c r="D237" s="5">
        <v>45696</v>
      </c>
      <c r="E237" s="5">
        <v>45698</v>
      </c>
      <c r="F237" s="5">
        <v>45706</v>
      </c>
      <c r="G237" s="4" t="s">
        <v>40</v>
      </c>
      <c r="H237" s="4">
        <v>27</v>
      </c>
      <c r="I237" s="2">
        <v>27</v>
      </c>
      <c r="J237">
        <f t="shared" si="15"/>
        <v>10</v>
      </c>
      <c r="K237">
        <f t="shared" si="16"/>
        <v>8</v>
      </c>
      <c r="L237" t="str">
        <f t="shared" si="17"/>
        <v>No</v>
      </c>
      <c r="M237" t="str">
        <f t="shared" si="19"/>
        <v>Yes</v>
      </c>
      <c r="N237" t="str">
        <f t="shared" si="18"/>
        <v>No</v>
      </c>
    </row>
    <row r="238" spans="1:14" x14ac:dyDescent="0.3">
      <c r="A238" s="2" t="s">
        <v>493</v>
      </c>
      <c r="B238" s="2" t="s">
        <v>494</v>
      </c>
      <c r="C238" s="2" t="s">
        <v>21</v>
      </c>
      <c r="D238" s="3">
        <v>45696</v>
      </c>
      <c r="E238" s="3">
        <v>45701</v>
      </c>
      <c r="F238" s="3">
        <v>45704</v>
      </c>
      <c r="G238" s="2" t="s">
        <v>11</v>
      </c>
      <c r="H238" s="2">
        <v>37</v>
      </c>
      <c r="I238" s="2">
        <v>37</v>
      </c>
      <c r="J238">
        <f t="shared" si="15"/>
        <v>8</v>
      </c>
      <c r="K238">
        <f t="shared" si="16"/>
        <v>3</v>
      </c>
      <c r="L238" t="str">
        <f t="shared" si="17"/>
        <v>No</v>
      </c>
      <c r="M238" t="str">
        <f t="shared" si="19"/>
        <v>Yes</v>
      </c>
      <c r="N238" t="str">
        <f t="shared" si="18"/>
        <v>No</v>
      </c>
    </row>
    <row r="239" spans="1:14" x14ac:dyDescent="0.3">
      <c r="A239" s="4" t="s">
        <v>495</v>
      </c>
      <c r="B239" s="4" t="s">
        <v>496</v>
      </c>
      <c r="C239" s="4" t="s">
        <v>27</v>
      </c>
      <c r="D239" s="5">
        <v>45695</v>
      </c>
      <c r="E239" s="5">
        <v>45702</v>
      </c>
      <c r="F239" s="5">
        <v>45710</v>
      </c>
      <c r="G239" s="4" t="s">
        <v>18</v>
      </c>
      <c r="H239" s="4">
        <v>4</v>
      </c>
      <c r="I239" s="2">
        <v>10</v>
      </c>
      <c r="J239">
        <f t="shared" si="15"/>
        <v>15</v>
      </c>
      <c r="K239">
        <f t="shared" si="16"/>
        <v>8</v>
      </c>
      <c r="L239" t="str">
        <f t="shared" si="17"/>
        <v>No</v>
      </c>
      <c r="M239" t="str">
        <f t="shared" si="19"/>
        <v>No</v>
      </c>
      <c r="N239" t="str">
        <f t="shared" si="18"/>
        <v>No</v>
      </c>
    </row>
    <row r="240" spans="1:14" x14ac:dyDescent="0.3">
      <c r="A240" s="2" t="s">
        <v>497</v>
      </c>
      <c r="B240" s="2" t="s">
        <v>498</v>
      </c>
      <c r="C240" s="2" t="s">
        <v>37</v>
      </c>
      <c r="D240" s="3">
        <v>45697</v>
      </c>
      <c r="E240" s="3">
        <v>45701</v>
      </c>
      <c r="F240" s="3">
        <v>45710</v>
      </c>
      <c r="G240" s="2" t="s">
        <v>22</v>
      </c>
      <c r="H240" s="2">
        <v>23</v>
      </c>
      <c r="I240" s="2">
        <v>23</v>
      </c>
      <c r="J240">
        <f t="shared" si="15"/>
        <v>13</v>
      </c>
      <c r="K240">
        <f t="shared" si="16"/>
        <v>9</v>
      </c>
      <c r="L240" t="str">
        <f t="shared" si="17"/>
        <v>No</v>
      </c>
      <c r="M240" t="str">
        <f t="shared" si="19"/>
        <v>Yes</v>
      </c>
      <c r="N240" t="str">
        <f t="shared" si="18"/>
        <v>No</v>
      </c>
    </row>
    <row r="241" spans="1:14" x14ac:dyDescent="0.3">
      <c r="A241" s="4" t="s">
        <v>499</v>
      </c>
      <c r="B241" s="4" t="s">
        <v>500</v>
      </c>
      <c r="C241" s="4" t="s">
        <v>10</v>
      </c>
      <c r="D241" s="5">
        <v>45696</v>
      </c>
      <c r="E241" s="5">
        <v>45699</v>
      </c>
      <c r="F241" s="5">
        <v>45703</v>
      </c>
      <c r="G241" s="4" t="s">
        <v>22</v>
      </c>
      <c r="H241" s="4">
        <v>17</v>
      </c>
      <c r="I241" s="2">
        <v>17</v>
      </c>
      <c r="J241">
        <f t="shared" si="15"/>
        <v>7</v>
      </c>
      <c r="K241">
        <f t="shared" si="16"/>
        <v>4</v>
      </c>
      <c r="L241" t="str">
        <f t="shared" si="17"/>
        <v>No</v>
      </c>
      <c r="M241" t="str">
        <f t="shared" si="19"/>
        <v>Yes</v>
      </c>
      <c r="N241" t="str">
        <f t="shared" si="18"/>
        <v>No</v>
      </c>
    </row>
    <row r="242" spans="1:14" x14ac:dyDescent="0.3">
      <c r="A242" s="2" t="s">
        <v>501</v>
      </c>
      <c r="B242" s="2" t="s">
        <v>502</v>
      </c>
      <c r="C242" s="2" t="s">
        <v>59</v>
      </c>
      <c r="D242" s="3">
        <v>45696</v>
      </c>
      <c r="E242" s="3">
        <v>45703</v>
      </c>
      <c r="F242" s="3">
        <v>45704</v>
      </c>
      <c r="G242" s="2" t="s">
        <v>18</v>
      </c>
      <c r="H242" s="2">
        <v>25</v>
      </c>
      <c r="I242" s="2">
        <v>29</v>
      </c>
      <c r="J242">
        <f t="shared" si="15"/>
        <v>8</v>
      </c>
      <c r="K242">
        <f t="shared" si="16"/>
        <v>1</v>
      </c>
      <c r="L242" t="str">
        <f t="shared" si="17"/>
        <v>No</v>
      </c>
      <c r="M242" t="str">
        <f t="shared" si="19"/>
        <v>No</v>
      </c>
      <c r="N242" t="str">
        <f t="shared" si="18"/>
        <v>No</v>
      </c>
    </row>
    <row r="243" spans="1:14" x14ac:dyDescent="0.3">
      <c r="A243" s="4" t="s">
        <v>503</v>
      </c>
      <c r="B243" s="4" t="s">
        <v>504</v>
      </c>
      <c r="C243" s="4" t="s">
        <v>21</v>
      </c>
      <c r="D243" s="5">
        <v>45698</v>
      </c>
      <c r="E243" s="5">
        <v>45700</v>
      </c>
      <c r="F243" s="5">
        <v>45703</v>
      </c>
      <c r="G243" s="4" t="s">
        <v>18</v>
      </c>
      <c r="H243" s="4">
        <v>18</v>
      </c>
      <c r="I243" s="2">
        <v>18</v>
      </c>
      <c r="J243">
        <f t="shared" si="15"/>
        <v>5</v>
      </c>
      <c r="K243">
        <f t="shared" si="16"/>
        <v>3</v>
      </c>
      <c r="L243" t="str">
        <f t="shared" si="17"/>
        <v>No</v>
      </c>
      <c r="M243" t="str">
        <f t="shared" si="19"/>
        <v>Yes</v>
      </c>
      <c r="N243" t="str">
        <f t="shared" si="18"/>
        <v>No</v>
      </c>
    </row>
    <row r="244" spans="1:14" x14ac:dyDescent="0.3">
      <c r="A244" s="2" t="s">
        <v>505</v>
      </c>
      <c r="B244" s="2" t="s">
        <v>506</v>
      </c>
      <c r="C244" s="2" t="s">
        <v>27</v>
      </c>
      <c r="D244" s="3">
        <v>45696</v>
      </c>
      <c r="E244" s="3">
        <v>45704</v>
      </c>
      <c r="F244" s="3">
        <v>45709</v>
      </c>
      <c r="G244" s="2" t="s">
        <v>22</v>
      </c>
      <c r="H244" s="2">
        <v>17</v>
      </c>
      <c r="I244" s="2">
        <v>17</v>
      </c>
      <c r="J244">
        <f t="shared" si="15"/>
        <v>13</v>
      </c>
      <c r="K244">
        <f t="shared" si="16"/>
        <v>5</v>
      </c>
      <c r="L244" t="str">
        <f t="shared" si="17"/>
        <v>No</v>
      </c>
      <c r="M244" t="str">
        <f t="shared" si="19"/>
        <v>Yes</v>
      </c>
      <c r="N244" t="str">
        <f t="shared" si="18"/>
        <v>No</v>
      </c>
    </row>
    <row r="245" spans="1:14" x14ac:dyDescent="0.3">
      <c r="A245" s="4" t="s">
        <v>507</v>
      </c>
      <c r="B245" s="4" t="s">
        <v>508</v>
      </c>
      <c r="C245" s="4" t="s">
        <v>27</v>
      </c>
      <c r="D245" s="5">
        <v>45697</v>
      </c>
      <c r="E245" s="5">
        <v>45704</v>
      </c>
      <c r="F245" s="5">
        <v>45710</v>
      </c>
      <c r="G245" s="4" t="s">
        <v>40</v>
      </c>
      <c r="H245" s="4">
        <v>7</v>
      </c>
      <c r="I245" s="2">
        <v>7</v>
      </c>
      <c r="J245">
        <f t="shared" si="15"/>
        <v>13</v>
      </c>
      <c r="K245">
        <f t="shared" si="16"/>
        <v>6</v>
      </c>
      <c r="L245" t="str">
        <f t="shared" si="17"/>
        <v>No</v>
      </c>
      <c r="M245" t="str">
        <f t="shared" si="19"/>
        <v>Yes</v>
      </c>
      <c r="N245" t="str">
        <f t="shared" si="18"/>
        <v>No</v>
      </c>
    </row>
    <row r="246" spans="1:14" x14ac:dyDescent="0.3">
      <c r="A246" s="2" t="s">
        <v>509</v>
      </c>
      <c r="B246" s="2" t="s">
        <v>510</v>
      </c>
      <c r="C246" s="2" t="s">
        <v>34</v>
      </c>
      <c r="D246" s="3">
        <v>45698</v>
      </c>
      <c r="E246" s="3">
        <v>45705</v>
      </c>
      <c r="F246" s="3">
        <v>45704</v>
      </c>
      <c r="G246" s="2" t="s">
        <v>15</v>
      </c>
      <c r="H246" s="2">
        <v>23</v>
      </c>
      <c r="I246" s="2">
        <v>23</v>
      </c>
      <c r="J246">
        <f t="shared" si="15"/>
        <v>6</v>
      </c>
      <c r="K246">
        <f t="shared" si="16"/>
        <v>-1</v>
      </c>
      <c r="L246" t="str">
        <f t="shared" si="17"/>
        <v>Yes</v>
      </c>
      <c r="M246" t="str">
        <f t="shared" si="19"/>
        <v>Yes</v>
      </c>
      <c r="N246" t="str">
        <f t="shared" si="18"/>
        <v>Yes</v>
      </c>
    </row>
    <row r="247" spans="1:14" x14ac:dyDescent="0.3">
      <c r="A247" s="4" t="s">
        <v>511</v>
      </c>
      <c r="B247" s="4" t="s">
        <v>512</v>
      </c>
      <c r="C247" s="4" t="s">
        <v>34</v>
      </c>
      <c r="D247" s="5">
        <v>45699</v>
      </c>
      <c r="E247" s="5">
        <v>45707</v>
      </c>
      <c r="F247" s="5">
        <v>45708</v>
      </c>
      <c r="G247" s="4" t="s">
        <v>40</v>
      </c>
      <c r="H247" s="4">
        <v>15</v>
      </c>
      <c r="I247" s="2">
        <v>23</v>
      </c>
      <c r="J247">
        <f t="shared" si="15"/>
        <v>9</v>
      </c>
      <c r="K247">
        <f t="shared" si="16"/>
        <v>1</v>
      </c>
      <c r="L247" t="str">
        <f t="shared" si="17"/>
        <v>No</v>
      </c>
      <c r="M247" t="str">
        <f t="shared" si="19"/>
        <v>No</v>
      </c>
      <c r="N247" t="str">
        <f t="shared" si="18"/>
        <v>No</v>
      </c>
    </row>
    <row r="248" spans="1:14" x14ac:dyDescent="0.3">
      <c r="A248" s="2" t="s">
        <v>513</v>
      </c>
      <c r="B248" s="2" t="s">
        <v>514</v>
      </c>
      <c r="C248" s="2" t="s">
        <v>37</v>
      </c>
      <c r="D248" s="3">
        <v>45698</v>
      </c>
      <c r="E248" s="3">
        <v>45706</v>
      </c>
      <c r="F248" s="3">
        <v>45711</v>
      </c>
      <c r="G248" s="2" t="s">
        <v>11</v>
      </c>
      <c r="H248" s="2">
        <v>32</v>
      </c>
      <c r="I248" s="2">
        <v>32</v>
      </c>
      <c r="J248">
        <f t="shared" si="15"/>
        <v>13</v>
      </c>
      <c r="K248">
        <f t="shared" si="16"/>
        <v>5</v>
      </c>
      <c r="L248" t="str">
        <f t="shared" si="17"/>
        <v>No</v>
      </c>
      <c r="M248" t="str">
        <f t="shared" si="19"/>
        <v>Yes</v>
      </c>
      <c r="N248" t="str">
        <f t="shared" si="18"/>
        <v>No</v>
      </c>
    </row>
    <row r="249" spans="1:14" x14ac:dyDescent="0.3">
      <c r="A249" s="4" t="s">
        <v>515</v>
      </c>
      <c r="B249" s="4" t="s">
        <v>516</v>
      </c>
      <c r="C249" s="4" t="s">
        <v>14</v>
      </c>
      <c r="D249" s="5">
        <v>45699</v>
      </c>
      <c r="E249" s="5">
        <v>45702</v>
      </c>
      <c r="F249" s="5">
        <v>45716</v>
      </c>
      <c r="G249" s="4" t="s">
        <v>40</v>
      </c>
      <c r="H249" s="4">
        <v>18</v>
      </c>
      <c r="I249" s="2">
        <v>18</v>
      </c>
      <c r="J249">
        <f t="shared" si="15"/>
        <v>17</v>
      </c>
      <c r="K249">
        <f t="shared" si="16"/>
        <v>14</v>
      </c>
      <c r="L249" t="str">
        <f t="shared" si="17"/>
        <v>No</v>
      </c>
      <c r="M249" t="str">
        <f t="shared" si="19"/>
        <v>Yes</v>
      </c>
      <c r="N249" t="str">
        <f t="shared" si="18"/>
        <v>No</v>
      </c>
    </row>
    <row r="250" spans="1:14" x14ac:dyDescent="0.3">
      <c r="A250" s="2" t="s">
        <v>517</v>
      </c>
      <c r="B250" s="2" t="s">
        <v>518</v>
      </c>
      <c r="C250" s="2" t="s">
        <v>14</v>
      </c>
      <c r="D250" s="3">
        <v>45697</v>
      </c>
      <c r="E250" s="3">
        <v>45707</v>
      </c>
      <c r="F250" s="3">
        <v>45716</v>
      </c>
      <c r="G250" s="2" t="s">
        <v>22</v>
      </c>
      <c r="H250" s="2">
        <v>35</v>
      </c>
      <c r="I250" s="2">
        <v>35</v>
      </c>
      <c r="J250">
        <f t="shared" si="15"/>
        <v>19</v>
      </c>
      <c r="K250">
        <f t="shared" si="16"/>
        <v>9</v>
      </c>
      <c r="L250" t="str">
        <f t="shared" si="17"/>
        <v>No</v>
      </c>
      <c r="M250" t="str">
        <f t="shared" si="19"/>
        <v>Yes</v>
      </c>
      <c r="N250" t="str">
        <f t="shared" si="18"/>
        <v>No</v>
      </c>
    </row>
    <row r="251" spans="1:14" x14ac:dyDescent="0.3">
      <c r="A251" s="4" t="s">
        <v>519</v>
      </c>
      <c r="B251" s="4" t="s">
        <v>520</v>
      </c>
      <c r="C251" s="4" t="s">
        <v>21</v>
      </c>
      <c r="D251" s="5">
        <v>45697</v>
      </c>
      <c r="E251" s="5">
        <v>45704</v>
      </c>
      <c r="F251" s="5">
        <v>45704</v>
      </c>
      <c r="G251" s="4" t="s">
        <v>15</v>
      </c>
      <c r="H251" s="4">
        <v>35</v>
      </c>
      <c r="I251" s="2">
        <v>43</v>
      </c>
      <c r="J251">
        <f t="shared" si="15"/>
        <v>7</v>
      </c>
      <c r="K251">
        <f t="shared" si="16"/>
        <v>0</v>
      </c>
      <c r="L251" t="str">
        <f t="shared" si="17"/>
        <v>Yes</v>
      </c>
      <c r="M251" t="str">
        <f t="shared" si="19"/>
        <v>No</v>
      </c>
      <c r="N251" t="str">
        <f t="shared" si="18"/>
        <v>No</v>
      </c>
    </row>
    <row r="252" spans="1:14" x14ac:dyDescent="0.3">
      <c r="A252" s="2" t="s">
        <v>521</v>
      </c>
      <c r="B252" s="2" t="s">
        <v>522</v>
      </c>
      <c r="C252" s="2" t="s">
        <v>21</v>
      </c>
      <c r="D252" s="3">
        <v>45699</v>
      </c>
      <c r="E252" s="3">
        <v>45702</v>
      </c>
      <c r="F252" s="3">
        <v>45704</v>
      </c>
      <c r="G252" s="2" t="s">
        <v>18</v>
      </c>
      <c r="H252" s="2">
        <v>30</v>
      </c>
      <c r="I252" s="2">
        <v>30</v>
      </c>
      <c r="J252">
        <f t="shared" si="15"/>
        <v>5</v>
      </c>
      <c r="K252">
        <f t="shared" si="16"/>
        <v>2</v>
      </c>
      <c r="L252" t="str">
        <f t="shared" si="17"/>
        <v>No</v>
      </c>
      <c r="M252" t="str">
        <f t="shared" si="19"/>
        <v>Yes</v>
      </c>
      <c r="N252" t="str">
        <f t="shared" si="18"/>
        <v>No</v>
      </c>
    </row>
    <row r="253" spans="1:14" x14ac:dyDescent="0.3">
      <c r="A253" s="4" t="s">
        <v>523</v>
      </c>
      <c r="B253" s="4" t="s">
        <v>524</v>
      </c>
      <c r="C253" s="4" t="s">
        <v>27</v>
      </c>
      <c r="D253" s="5">
        <v>45699</v>
      </c>
      <c r="E253" s="5">
        <v>45706</v>
      </c>
      <c r="F253" s="5">
        <v>45712</v>
      </c>
      <c r="G253" s="4" t="s">
        <v>15</v>
      </c>
      <c r="H253" s="4">
        <v>6</v>
      </c>
      <c r="I253" s="2">
        <v>6</v>
      </c>
      <c r="J253">
        <f t="shared" si="15"/>
        <v>13</v>
      </c>
      <c r="K253">
        <f t="shared" si="16"/>
        <v>6</v>
      </c>
      <c r="L253" t="str">
        <f t="shared" si="17"/>
        <v>No</v>
      </c>
      <c r="M253" t="str">
        <f t="shared" si="19"/>
        <v>Yes</v>
      </c>
      <c r="N253" t="str">
        <f t="shared" si="18"/>
        <v>No</v>
      </c>
    </row>
    <row r="254" spans="1:14" x14ac:dyDescent="0.3">
      <c r="A254" s="2" t="s">
        <v>525</v>
      </c>
      <c r="B254" s="2" t="s">
        <v>526</v>
      </c>
      <c r="C254" s="2" t="s">
        <v>27</v>
      </c>
      <c r="D254" s="3">
        <v>45697</v>
      </c>
      <c r="E254" s="3">
        <v>45707</v>
      </c>
      <c r="F254" s="3">
        <v>45710</v>
      </c>
      <c r="G254" s="2" t="s">
        <v>40</v>
      </c>
      <c r="H254" s="2">
        <v>8</v>
      </c>
      <c r="I254" s="2">
        <v>8</v>
      </c>
      <c r="J254">
        <f t="shared" si="15"/>
        <v>13</v>
      </c>
      <c r="K254">
        <f t="shared" si="16"/>
        <v>3</v>
      </c>
      <c r="L254" t="str">
        <f t="shared" si="17"/>
        <v>No</v>
      </c>
      <c r="M254" t="str">
        <f t="shared" si="19"/>
        <v>Yes</v>
      </c>
      <c r="N254" t="str">
        <f t="shared" si="18"/>
        <v>No</v>
      </c>
    </row>
    <row r="255" spans="1:14" x14ac:dyDescent="0.3">
      <c r="A255" s="4" t="s">
        <v>527</v>
      </c>
      <c r="B255" s="4" t="s">
        <v>528</v>
      </c>
      <c r="C255" s="4" t="s">
        <v>72</v>
      </c>
      <c r="D255" s="5">
        <v>45700</v>
      </c>
      <c r="E255" s="5">
        <v>45702</v>
      </c>
      <c r="F255" s="5">
        <v>45716</v>
      </c>
      <c r="G255" s="4" t="s">
        <v>18</v>
      </c>
      <c r="H255" s="4">
        <v>18</v>
      </c>
      <c r="I255" s="2">
        <v>18</v>
      </c>
      <c r="J255">
        <f t="shared" si="15"/>
        <v>16</v>
      </c>
      <c r="K255">
        <f t="shared" si="16"/>
        <v>14</v>
      </c>
      <c r="L255" t="str">
        <f t="shared" si="17"/>
        <v>No</v>
      </c>
      <c r="M255" t="str">
        <f t="shared" si="19"/>
        <v>Yes</v>
      </c>
      <c r="N255" t="str">
        <f t="shared" si="18"/>
        <v>No</v>
      </c>
    </row>
    <row r="256" spans="1:14" x14ac:dyDescent="0.3">
      <c r="A256" s="2" t="s">
        <v>529</v>
      </c>
      <c r="B256" s="2" t="s">
        <v>530</v>
      </c>
      <c r="C256" s="2" t="s">
        <v>10</v>
      </c>
      <c r="D256" s="3">
        <v>45698</v>
      </c>
      <c r="E256" s="3">
        <v>45704</v>
      </c>
      <c r="F256" s="3">
        <v>45703</v>
      </c>
      <c r="G256" s="2" t="s">
        <v>40</v>
      </c>
      <c r="H256" s="2">
        <v>21</v>
      </c>
      <c r="I256" s="2">
        <v>21</v>
      </c>
      <c r="J256">
        <f t="shared" si="15"/>
        <v>5</v>
      </c>
      <c r="K256">
        <f t="shared" si="16"/>
        <v>-1</v>
      </c>
      <c r="L256" t="str">
        <f t="shared" si="17"/>
        <v>Yes</v>
      </c>
      <c r="M256" t="str">
        <f t="shared" si="19"/>
        <v>Yes</v>
      </c>
      <c r="N256" t="str">
        <f t="shared" si="18"/>
        <v>Yes</v>
      </c>
    </row>
    <row r="257" spans="1:14" x14ac:dyDescent="0.3">
      <c r="A257" s="4" t="s">
        <v>531</v>
      </c>
      <c r="B257" s="4" t="s">
        <v>532</v>
      </c>
      <c r="C257" s="4" t="s">
        <v>59</v>
      </c>
      <c r="D257" s="5">
        <v>45700</v>
      </c>
      <c r="E257" s="5">
        <v>45703</v>
      </c>
      <c r="F257" s="5">
        <v>45704</v>
      </c>
      <c r="G257" s="4" t="s">
        <v>22</v>
      </c>
      <c r="H257" s="4">
        <v>31</v>
      </c>
      <c r="I257" s="2">
        <v>31</v>
      </c>
      <c r="J257">
        <f t="shared" si="15"/>
        <v>4</v>
      </c>
      <c r="K257">
        <f t="shared" si="16"/>
        <v>1</v>
      </c>
      <c r="L257" t="str">
        <f t="shared" si="17"/>
        <v>No</v>
      </c>
      <c r="M257" t="str">
        <f t="shared" si="19"/>
        <v>Yes</v>
      </c>
      <c r="N257" t="str">
        <f t="shared" si="18"/>
        <v>No</v>
      </c>
    </row>
    <row r="258" spans="1:14" x14ac:dyDescent="0.3">
      <c r="A258" s="2" t="s">
        <v>533</v>
      </c>
      <c r="B258" s="2" t="s">
        <v>534</v>
      </c>
      <c r="C258" s="2" t="s">
        <v>21</v>
      </c>
      <c r="D258" s="3">
        <v>45699</v>
      </c>
      <c r="E258" s="3">
        <v>45706</v>
      </c>
      <c r="F258" s="3">
        <v>45707</v>
      </c>
      <c r="G258" s="2" t="s">
        <v>22</v>
      </c>
      <c r="H258" s="2">
        <v>44</v>
      </c>
      <c r="I258" s="2">
        <v>44</v>
      </c>
      <c r="J258">
        <f t="shared" si="15"/>
        <v>8</v>
      </c>
      <c r="K258">
        <f t="shared" si="16"/>
        <v>1</v>
      </c>
      <c r="L258" t="str">
        <f t="shared" si="17"/>
        <v>No</v>
      </c>
      <c r="M258" t="str">
        <f t="shared" si="19"/>
        <v>Yes</v>
      </c>
      <c r="N258" t="str">
        <f t="shared" si="18"/>
        <v>No</v>
      </c>
    </row>
    <row r="259" spans="1:14" x14ac:dyDescent="0.3">
      <c r="A259" s="4" t="s">
        <v>535</v>
      </c>
      <c r="B259" s="4" t="s">
        <v>536</v>
      </c>
      <c r="C259" s="4" t="s">
        <v>27</v>
      </c>
      <c r="D259" s="5">
        <v>45698</v>
      </c>
      <c r="E259" s="5">
        <v>45706</v>
      </c>
      <c r="F259" s="5">
        <v>45712</v>
      </c>
      <c r="G259" s="4" t="s">
        <v>40</v>
      </c>
      <c r="H259" s="4">
        <v>5</v>
      </c>
      <c r="I259" s="2">
        <v>5</v>
      </c>
      <c r="J259">
        <f t="shared" ref="J259:J322" si="20">F259-D259</f>
        <v>14</v>
      </c>
      <c r="K259">
        <f t="shared" ref="K259:K322" si="21">F259-E259</f>
        <v>6</v>
      </c>
      <c r="L259" t="str">
        <f t="shared" ref="L259:L322" si="22">IF(K259&lt;=0,"Yes","No")</f>
        <v>No</v>
      </c>
      <c r="M259" t="str">
        <f t="shared" si="19"/>
        <v>Yes</v>
      </c>
      <c r="N259" t="str">
        <f t="shared" ref="N259:N322" si="23">IF(AND(L259="Yes",M259="Yes"),"Yes","No")</f>
        <v>No</v>
      </c>
    </row>
    <row r="260" spans="1:14" x14ac:dyDescent="0.3">
      <c r="A260" s="2" t="s">
        <v>537</v>
      </c>
      <c r="B260" s="2" t="s">
        <v>538</v>
      </c>
      <c r="C260" s="2" t="s">
        <v>37</v>
      </c>
      <c r="D260" s="3">
        <v>45700</v>
      </c>
      <c r="E260" s="3">
        <v>45703</v>
      </c>
      <c r="F260" s="3">
        <v>45715</v>
      </c>
      <c r="G260" s="2" t="s">
        <v>40</v>
      </c>
      <c r="H260" s="2">
        <v>38</v>
      </c>
      <c r="I260" s="2">
        <v>38</v>
      </c>
      <c r="J260">
        <f t="shared" si="20"/>
        <v>15</v>
      </c>
      <c r="K260">
        <f t="shared" si="21"/>
        <v>12</v>
      </c>
      <c r="L260" t="str">
        <f t="shared" si="22"/>
        <v>No</v>
      </c>
      <c r="M260" t="str">
        <f t="shared" ref="M260:M323" si="24">IF(H260=I260,"Yes","No")</f>
        <v>Yes</v>
      </c>
      <c r="N260" t="str">
        <f t="shared" si="23"/>
        <v>No</v>
      </c>
    </row>
    <row r="261" spans="1:14" x14ac:dyDescent="0.3">
      <c r="A261" s="4" t="s">
        <v>539</v>
      </c>
      <c r="B261" s="4" t="s">
        <v>540</v>
      </c>
      <c r="C261" s="4" t="s">
        <v>10</v>
      </c>
      <c r="D261" s="5">
        <v>45700</v>
      </c>
      <c r="E261" s="5">
        <v>45709</v>
      </c>
      <c r="F261" s="5">
        <v>45706</v>
      </c>
      <c r="G261" s="4" t="s">
        <v>11</v>
      </c>
      <c r="H261" s="4">
        <v>19</v>
      </c>
      <c r="I261" s="2">
        <v>19</v>
      </c>
      <c r="J261">
        <f t="shared" si="20"/>
        <v>6</v>
      </c>
      <c r="K261">
        <f t="shared" si="21"/>
        <v>-3</v>
      </c>
      <c r="L261" t="str">
        <f t="shared" si="22"/>
        <v>Yes</v>
      </c>
      <c r="M261" t="str">
        <f t="shared" si="24"/>
        <v>Yes</v>
      </c>
      <c r="N261" t="str">
        <f t="shared" si="23"/>
        <v>Yes</v>
      </c>
    </row>
    <row r="262" spans="1:14" x14ac:dyDescent="0.3">
      <c r="A262" s="2" t="s">
        <v>541</v>
      </c>
      <c r="B262" s="2" t="s">
        <v>542</v>
      </c>
      <c r="C262" s="2" t="s">
        <v>14</v>
      </c>
      <c r="D262" s="3">
        <v>45699</v>
      </c>
      <c r="E262" s="3">
        <v>45708</v>
      </c>
      <c r="F262" s="3">
        <v>45714</v>
      </c>
      <c r="G262" s="2" t="s">
        <v>15</v>
      </c>
      <c r="H262" s="2">
        <v>27</v>
      </c>
      <c r="I262" s="2">
        <v>27</v>
      </c>
      <c r="J262">
        <f t="shared" si="20"/>
        <v>15</v>
      </c>
      <c r="K262">
        <f t="shared" si="21"/>
        <v>6</v>
      </c>
      <c r="L262" t="str">
        <f t="shared" si="22"/>
        <v>No</v>
      </c>
      <c r="M262" t="str">
        <f t="shared" si="24"/>
        <v>Yes</v>
      </c>
      <c r="N262" t="str">
        <f t="shared" si="23"/>
        <v>No</v>
      </c>
    </row>
    <row r="263" spans="1:14" x14ac:dyDescent="0.3">
      <c r="A263" s="4" t="s">
        <v>543</v>
      </c>
      <c r="B263" s="4" t="s">
        <v>544</v>
      </c>
      <c r="C263" s="4" t="s">
        <v>14</v>
      </c>
      <c r="D263" s="5">
        <v>45699</v>
      </c>
      <c r="E263" s="5">
        <v>45703</v>
      </c>
      <c r="F263" s="5">
        <v>45714</v>
      </c>
      <c r="G263" s="4" t="s">
        <v>11</v>
      </c>
      <c r="H263" s="4">
        <v>12</v>
      </c>
      <c r="I263" s="2">
        <v>12</v>
      </c>
      <c r="J263">
        <f t="shared" si="20"/>
        <v>15</v>
      </c>
      <c r="K263">
        <f t="shared" si="21"/>
        <v>11</v>
      </c>
      <c r="L263" t="str">
        <f t="shared" si="22"/>
        <v>No</v>
      </c>
      <c r="M263" t="str">
        <f t="shared" si="24"/>
        <v>Yes</v>
      </c>
      <c r="N263" t="str">
        <f t="shared" si="23"/>
        <v>No</v>
      </c>
    </row>
    <row r="264" spans="1:14" x14ac:dyDescent="0.3">
      <c r="A264" s="2" t="s">
        <v>545</v>
      </c>
      <c r="B264" s="2" t="s">
        <v>546</v>
      </c>
      <c r="C264" s="2" t="s">
        <v>21</v>
      </c>
      <c r="D264" s="3">
        <v>45699</v>
      </c>
      <c r="E264" s="3">
        <v>45705</v>
      </c>
      <c r="F264" s="3">
        <v>45706</v>
      </c>
      <c r="G264" s="2" t="s">
        <v>11</v>
      </c>
      <c r="H264" s="2">
        <v>26</v>
      </c>
      <c r="I264" s="2">
        <v>26</v>
      </c>
      <c r="J264">
        <f t="shared" si="20"/>
        <v>7</v>
      </c>
      <c r="K264">
        <f t="shared" si="21"/>
        <v>1</v>
      </c>
      <c r="L264" t="str">
        <f t="shared" si="22"/>
        <v>No</v>
      </c>
      <c r="M264" t="str">
        <f t="shared" si="24"/>
        <v>Yes</v>
      </c>
      <c r="N264" t="str">
        <f t="shared" si="23"/>
        <v>No</v>
      </c>
    </row>
    <row r="265" spans="1:14" x14ac:dyDescent="0.3">
      <c r="A265" s="4" t="s">
        <v>547</v>
      </c>
      <c r="B265" s="4" t="s">
        <v>548</v>
      </c>
      <c r="C265" s="4" t="s">
        <v>27</v>
      </c>
      <c r="D265" s="5">
        <v>45701</v>
      </c>
      <c r="E265" s="5">
        <v>45704</v>
      </c>
      <c r="F265" s="5">
        <v>45716</v>
      </c>
      <c r="G265" s="4" t="s">
        <v>40</v>
      </c>
      <c r="H265" s="4">
        <v>30</v>
      </c>
      <c r="I265" s="2">
        <v>30</v>
      </c>
      <c r="J265">
        <f t="shared" si="20"/>
        <v>15</v>
      </c>
      <c r="K265">
        <f t="shared" si="21"/>
        <v>12</v>
      </c>
      <c r="L265" t="str">
        <f t="shared" si="22"/>
        <v>No</v>
      </c>
      <c r="M265" t="str">
        <f t="shared" si="24"/>
        <v>Yes</v>
      </c>
      <c r="N265" t="str">
        <f t="shared" si="23"/>
        <v>No</v>
      </c>
    </row>
    <row r="266" spans="1:14" x14ac:dyDescent="0.3">
      <c r="A266" s="2" t="s">
        <v>549</v>
      </c>
      <c r="B266" s="2" t="s">
        <v>550</v>
      </c>
      <c r="C266" s="2" t="s">
        <v>34</v>
      </c>
      <c r="D266" s="3">
        <v>45702</v>
      </c>
      <c r="E266" s="3">
        <v>45708</v>
      </c>
      <c r="F266" s="3">
        <v>45713</v>
      </c>
      <c r="G266" s="2" t="s">
        <v>18</v>
      </c>
      <c r="H266" s="2">
        <v>23</v>
      </c>
      <c r="I266" s="2">
        <v>23</v>
      </c>
      <c r="J266">
        <f t="shared" si="20"/>
        <v>11</v>
      </c>
      <c r="K266">
        <f t="shared" si="21"/>
        <v>5</v>
      </c>
      <c r="L266" t="str">
        <f t="shared" si="22"/>
        <v>No</v>
      </c>
      <c r="M266" t="str">
        <f t="shared" si="24"/>
        <v>Yes</v>
      </c>
      <c r="N266" t="str">
        <f t="shared" si="23"/>
        <v>No</v>
      </c>
    </row>
    <row r="267" spans="1:14" x14ac:dyDescent="0.3">
      <c r="A267" s="4" t="s">
        <v>551</v>
      </c>
      <c r="B267" s="4" t="s">
        <v>552</v>
      </c>
      <c r="C267" s="4" t="s">
        <v>14</v>
      </c>
      <c r="D267" s="5">
        <v>45700</v>
      </c>
      <c r="E267" s="5">
        <v>45710</v>
      </c>
      <c r="F267" s="5">
        <v>45715</v>
      </c>
      <c r="G267" s="4" t="s">
        <v>15</v>
      </c>
      <c r="H267" s="4">
        <v>12</v>
      </c>
      <c r="I267" s="2">
        <v>12</v>
      </c>
      <c r="J267">
        <f t="shared" si="20"/>
        <v>15</v>
      </c>
      <c r="K267">
        <f t="shared" si="21"/>
        <v>5</v>
      </c>
      <c r="L267" t="str">
        <f t="shared" si="22"/>
        <v>No</v>
      </c>
      <c r="M267" t="str">
        <f t="shared" si="24"/>
        <v>Yes</v>
      </c>
      <c r="N267" t="str">
        <f t="shared" si="23"/>
        <v>No</v>
      </c>
    </row>
    <row r="268" spans="1:14" x14ac:dyDescent="0.3">
      <c r="A268" s="2" t="s">
        <v>553</v>
      </c>
      <c r="B268" s="2" t="s">
        <v>554</v>
      </c>
      <c r="C268" s="2" t="s">
        <v>59</v>
      </c>
      <c r="D268" s="3">
        <v>45700</v>
      </c>
      <c r="E268" s="3">
        <v>45707</v>
      </c>
      <c r="F268" s="3">
        <v>45703</v>
      </c>
      <c r="G268" s="2" t="s">
        <v>18</v>
      </c>
      <c r="H268" s="2">
        <v>30</v>
      </c>
      <c r="I268" s="2">
        <v>30</v>
      </c>
      <c r="J268">
        <f t="shared" si="20"/>
        <v>3</v>
      </c>
      <c r="K268">
        <f t="shared" si="21"/>
        <v>-4</v>
      </c>
      <c r="L268" t="str">
        <f t="shared" si="22"/>
        <v>Yes</v>
      </c>
      <c r="M268" t="str">
        <f t="shared" si="24"/>
        <v>Yes</v>
      </c>
      <c r="N268" t="str">
        <f t="shared" si="23"/>
        <v>Yes</v>
      </c>
    </row>
    <row r="269" spans="1:14" x14ac:dyDescent="0.3">
      <c r="A269" s="4" t="s">
        <v>555</v>
      </c>
      <c r="B269" s="4" t="s">
        <v>556</v>
      </c>
      <c r="C269" s="4" t="s">
        <v>34</v>
      </c>
      <c r="D269" s="5">
        <v>45703</v>
      </c>
      <c r="E269" s="5">
        <v>45710</v>
      </c>
      <c r="F269" s="5">
        <v>45710</v>
      </c>
      <c r="G269" s="4" t="s">
        <v>40</v>
      </c>
      <c r="H269" s="4">
        <v>59</v>
      </c>
      <c r="I269" s="2">
        <v>59</v>
      </c>
      <c r="J269">
        <f t="shared" si="20"/>
        <v>7</v>
      </c>
      <c r="K269">
        <f t="shared" si="21"/>
        <v>0</v>
      </c>
      <c r="L269" t="str">
        <f t="shared" si="22"/>
        <v>Yes</v>
      </c>
      <c r="M269" t="str">
        <f t="shared" si="24"/>
        <v>Yes</v>
      </c>
      <c r="N269" t="str">
        <f t="shared" si="23"/>
        <v>Yes</v>
      </c>
    </row>
    <row r="270" spans="1:14" x14ac:dyDescent="0.3">
      <c r="A270" s="2" t="s">
        <v>557</v>
      </c>
      <c r="B270" s="2" t="s">
        <v>558</v>
      </c>
      <c r="C270" s="2" t="s">
        <v>72</v>
      </c>
      <c r="D270" s="3">
        <v>45703</v>
      </c>
      <c r="E270" s="3">
        <v>45709</v>
      </c>
      <c r="F270" s="3">
        <v>45721</v>
      </c>
      <c r="G270" s="2" t="s">
        <v>18</v>
      </c>
      <c r="H270" s="2">
        <v>12</v>
      </c>
      <c r="I270" s="2">
        <v>12</v>
      </c>
      <c r="J270">
        <f t="shared" si="20"/>
        <v>18</v>
      </c>
      <c r="K270">
        <f t="shared" si="21"/>
        <v>12</v>
      </c>
      <c r="L270" t="str">
        <f t="shared" si="22"/>
        <v>No</v>
      </c>
      <c r="M270" t="str">
        <f t="shared" si="24"/>
        <v>Yes</v>
      </c>
      <c r="N270" t="str">
        <f t="shared" si="23"/>
        <v>No</v>
      </c>
    </row>
    <row r="271" spans="1:14" x14ac:dyDescent="0.3">
      <c r="A271" s="4" t="s">
        <v>559</v>
      </c>
      <c r="B271" s="4" t="s">
        <v>560</v>
      </c>
      <c r="C271" s="4" t="s">
        <v>10</v>
      </c>
      <c r="D271" s="5">
        <v>45701</v>
      </c>
      <c r="E271" s="5">
        <v>45708</v>
      </c>
      <c r="F271" s="5">
        <v>45706</v>
      </c>
      <c r="G271" s="4" t="s">
        <v>40</v>
      </c>
      <c r="H271" s="4">
        <v>19</v>
      </c>
      <c r="I271" s="2">
        <v>21</v>
      </c>
      <c r="J271">
        <f t="shared" si="20"/>
        <v>5</v>
      </c>
      <c r="K271">
        <f t="shared" si="21"/>
        <v>-2</v>
      </c>
      <c r="L271" t="str">
        <f t="shared" si="22"/>
        <v>Yes</v>
      </c>
      <c r="M271" t="str">
        <f t="shared" si="24"/>
        <v>No</v>
      </c>
      <c r="N271" t="str">
        <f t="shared" si="23"/>
        <v>No</v>
      </c>
    </row>
    <row r="272" spans="1:14" x14ac:dyDescent="0.3">
      <c r="A272" s="2" t="s">
        <v>561</v>
      </c>
      <c r="B272" s="2" t="s">
        <v>562</v>
      </c>
      <c r="C272" s="2" t="s">
        <v>14</v>
      </c>
      <c r="D272" s="3">
        <v>45702</v>
      </c>
      <c r="E272" s="3">
        <v>45707</v>
      </c>
      <c r="F272" s="3">
        <v>45719</v>
      </c>
      <c r="G272" s="2" t="s">
        <v>22</v>
      </c>
      <c r="H272" s="2">
        <v>9</v>
      </c>
      <c r="I272" s="2">
        <v>9</v>
      </c>
      <c r="J272">
        <f t="shared" si="20"/>
        <v>17</v>
      </c>
      <c r="K272">
        <f t="shared" si="21"/>
        <v>12</v>
      </c>
      <c r="L272" t="str">
        <f t="shared" si="22"/>
        <v>No</v>
      </c>
      <c r="M272" t="str">
        <f t="shared" si="24"/>
        <v>Yes</v>
      </c>
      <c r="N272" t="str">
        <f t="shared" si="23"/>
        <v>No</v>
      </c>
    </row>
    <row r="273" spans="1:14" x14ac:dyDescent="0.3">
      <c r="A273" s="4" t="s">
        <v>563</v>
      </c>
      <c r="B273" s="4" t="s">
        <v>564</v>
      </c>
      <c r="C273" s="4" t="s">
        <v>59</v>
      </c>
      <c r="D273" s="5">
        <v>45701</v>
      </c>
      <c r="E273" s="5">
        <v>45710</v>
      </c>
      <c r="F273" s="5">
        <v>45704</v>
      </c>
      <c r="G273" s="4" t="s">
        <v>11</v>
      </c>
      <c r="H273" s="4">
        <v>13</v>
      </c>
      <c r="I273" s="2">
        <v>13</v>
      </c>
      <c r="J273">
        <f t="shared" si="20"/>
        <v>3</v>
      </c>
      <c r="K273">
        <f t="shared" si="21"/>
        <v>-6</v>
      </c>
      <c r="L273" t="str">
        <f t="shared" si="22"/>
        <v>Yes</v>
      </c>
      <c r="M273" t="str">
        <f t="shared" si="24"/>
        <v>Yes</v>
      </c>
      <c r="N273" t="str">
        <f t="shared" si="23"/>
        <v>Yes</v>
      </c>
    </row>
    <row r="274" spans="1:14" x14ac:dyDescent="0.3">
      <c r="A274" s="2" t="s">
        <v>565</v>
      </c>
      <c r="B274" s="2" t="s">
        <v>566</v>
      </c>
      <c r="C274" s="2" t="s">
        <v>21</v>
      </c>
      <c r="D274" s="3">
        <v>45703</v>
      </c>
      <c r="E274" s="3">
        <v>45706</v>
      </c>
      <c r="F274" s="3">
        <v>45713</v>
      </c>
      <c r="G274" s="2" t="s">
        <v>15</v>
      </c>
      <c r="H274" s="2">
        <v>38</v>
      </c>
      <c r="I274" s="2">
        <v>38</v>
      </c>
      <c r="J274">
        <f t="shared" si="20"/>
        <v>10</v>
      </c>
      <c r="K274">
        <f t="shared" si="21"/>
        <v>7</v>
      </c>
      <c r="L274" t="str">
        <f t="shared" si="22"/>
        <v>No</v>
      </c>
      <c r="M274" t="str">
        <f t="shared" si="24"/>
        <v>Yes</v>
      </c>
      <c r="N274" t="str">
        <f t="shared" si="23"/>
        <v>No</v>
      </c>
    </row>
    <row r="275" spans="1:14" x14ac:dyDescent="0.3">
      <c r="A275" s="4" t="s">
        <v>567</v>
      </c>
      <c r="B275" s="4" t="s">
        <v>568</v>
      </c>
      <c r="C275" s="4" t="s">
        <v>21</v>
      </c>
      <c r="D275" s="5">
        <v>45702</v>
      </c>
      <c r="E275" s="5">
        <v>45708</v>
      </c>
      <c r="F275" s="5">
        <v>45710</v>
      </c>
      <c r="G275" s="4" t="s">
        <v>11</v>
      </c>
      <c r="H275" s="4">
        <v>25</v>
      </c>
      <c r="I275" s="2">
        <v>25</v>
      </c>
      <c r="J275">
        <f t="shared" si="20"/>
        <v>8</v>
      </c>
      <c r="K275">
        <f t="shared" si="21"/>
        <v>2</v>
      </c>
      <c r="L275" t="str">
        <f t="shared" si="22"/>
        <v>No</v>
      </c>
      <c r="M275" t="str">
        <f t="shared" si="24"/>
        <v>Yes</v>
      </c>
      <c r="N275" t="str">
        <f t="shared" si="23"/>
        <v>No</v>
      </c>
    </row>
    <row r="276" spans="1:14" x14ac:dyDescent="0.3">
      <c r="A276" s="2" t="s">
        <v>569</v>
      </c>
      <c r="B276" s="2" t="s">
        <v>570</v>
      </c>
      <c r="C276" s="2" t="s">
        <v>27</v>
      </c>
      <c r="D276" s="3">
        <v>45701</v>
      </c>
      <c r="E276" s="3">
        <v>45704</v>
      </c>
      <c r="F276" s="3">
        <v>45714</v>
      </c>
      <c r="G276" s="2" t="s">
        <v>15</v>
      </c>
      <c r="H276" s="2">
        <v>5</v>
      </c>
      <c r="I276" s="2">
        <v>5</v>
      </c>
      <c r="J276">
        <f t="shared" si="20"/>
        <v>13</v>
      </c>
      <c r="K276">
        <f t="shared" si="21"/>
        <v>10</v>
      </c>
      <c r="L276" t="str">
        <f t="shared" si="22"/>
        <v>No</v>
      </c>
      <c r="M276" t="str">
        <f t="shared" si="24"/>
        <v>Yes</v>
      </c>
      <c r="N276" t="str">
        <f t="shared" si="23"/>
        <v>No</v>
      </c>
    </row>
    <row r="277" spans="1:14" x14ac:dyDescent="0.3">
      <c r="A277" s="4" t="s">
        <v>571</v>
      </c>
      <c r="B277" s="4" t="s">
        <v>572</v>
      </c>
      <c r="C277" s="4" t="s">
        <v>37</v>
      </c>
      <c r="D277" s="5">
        <v>45702</v>
      </c>
      <c r="E277" s="5">
        <v>45705</v>
      </c>
      <c r="F277" s="5">
        <v>45715</v>
      </c>
      <c r="G277" s="4" t="s">
        <v>40</v>
      </c>
      <c r="H277" s="4">
        <v>9</v>
      </c>
      <c r="I277" s="2">
        <v>14</v>
      </c>
      <c r="J277">
        <f t="shared" si="20"/>
        <v>13</v>
      </c>
      <c r="K277">
        <f t="shared" si="21"/>
        <v>10</v>
      </c>
      <c r="L277" t="str">
        <f t="shared" si="22"/>
        <v>No</v>
      </c>
      <c r="M277" t="str">
        <f t="shared" si="24"/>
        <v>No</v>
      </c>
      <c r="N277" t="str">
        <f t="shared" si="23"/>
        <v>No</v>
      </c>
    </row>
    <row r="278" spans="1:14" x14ac:dyDescent="0.3">
      <c r="A278" s="2" t="s">
        <v>573</v>
      </c>
      <c r="B278" s="2" t="s">
        <v>574</v>
      </c>
      <c r="C278" s="2" t="s">
        <v>34</v>
      </c>
      <c r="D278" s="3">
        <v>45704</v>
      </c>
      <c r="E278" s="3">
        <v>45709</v>
      </c>
      <c r="F278" s="3">
        <v>45710</v>
      </c>
      <c r="G278" s="2" t="s">
        <v>18</v>
      </c>
      <c r="H278" s="2">
        <v>35</v>
      </c>
      <c r="I278" s="2">
        <v>35</v>
      </c>
      <c r="J278">
        <f t="shared" si="20"/>
        <v>6</v>
      </c>
      <c r="K278">
        <f t="shared" si="21"/>
        <v>1</v>
      </c>
      <c r="L278" t="str">
        <f t="shared" si="22"/>
        <v>No</v>
      </c>
      <c r="M278" t="str">
        <f t="shared" si="24"/>
        <v>Yes</v>
      </c>
      <c r="N278" t="str">
        <f t="shared" si="23"/>
        <v>No</v>
      </c>
    </row>
    <row r="279" spans="1:14" x14ac:dyDescent="0.3">
      <c r="A279" s="4" t="s">
        <v>575</v>
      </c>
      <c r="B279" s="4" t="s">
        <v>576</v>
      </c>
      <c r="C279" s="4" t="s">
        <v>72</v>
      </c>
      <c r="D279" s="5">
        <v>45702</v>
      </c>
      <c r="E279" s="5">
        <v>45706</v>
      </c>
      <c r="F279" s="5">
        <v>45716</v>
      </c>
      <c r="G279" s="4" t="s">
        <v>40</v>
      </c>
      <c r="H279" s="4">
        <v>1</v>
      </c>
      <c r="I279" s="2">
        <v>4</v>
      </c>
      <c r="J279">
        <f t="shared" si="20"/>
        <v>14</v>
      </c>
      <c r="K279">
        <f t="shared" si="21"/>
        <v>10</v>
      </c>
      <c r="L279" t="str">
        <f t="shared" si="22"/>
        <v>No</v>
      </c>
      <c r="M279" t="str">
        <f t="shared" si="24"/>
        <v>No</v>
      </c>
      <c r="N279" t="str">
        <f t="shared" si="23"/>
        <v>No</v>
      </c>
    </row>
    <row r="280" spans="1:14" x14ac:dyDescent="0.3">
      <c r="A280" s="2" t="s">
        <v>577</v>
      </c>
      <c r="B280" s="2" t="s">
        <v>578</v>
      </c>
      <c r="C280" s="2" t="s">
        <v>59</v>
      </c>
      <c r="D280" s="3">
        <v>45702</v>
      </c>
      <c r="E280" s="3">
        <v>45706</v>
      </c>
      <c r="F280" s="3">
        <v>45710</v>
      </c>
      <c r="G280" s="2" t="s">
        <v>18</v>
      </c>
      <c r="H280" s="2">
        <v>11</v>
      </c>
      <c r="I280" s="2">
        <v>14</v>
      </c>
      <c r="J280">
        <f t="shared" si="20"/>
        <v>8</v>
      </c>
      <c r="K280">
        <f t="shared" si="21"/>
        <v>4</v>
      </c>
      <c r="L280" t="str">
        <f t="shared" si="22"/>
        <v>No</v>
      </c>
      <c r="M280" t="str">
        <f t="shared" si="24"/>
        <v>No</v>
      </c>
      <c r="N280" t="str">
        <f t="shared" si="23"/>
        <v>No</v>
      </c>
    </row>
    <row r="281" spans="1:14" x14ac:dyDescent="0.3">
      <c r="A281" s="4" t="s">
        <v>579</v>
      </c>
      <c r="B281" s="4" t="s">
        <v>580</v>
      </c>
      <c r="C281" s="4" t="s">
        <v>27</v>
      </c>
      <c r="D281" s="5">
        <v>45704</v>
      </c>
      <c r="E281" s="5">
        <v>45710</v>
      </c>
      <c r="F281" s="5">
        <v>45716</v>
      </c>
      <c r="G281" s="4" t="s">
        <v>15</v>
      </c>
      <c r="H281" s="4">
        <v>21</v>
      </c>
      <c r="I281" s="2">
        <v>25</v>
      </c>
      <c r="J281">
        <f t="shared" si="20"/>
        <v>12</v>
      </c>
      <c r="K281">
        <f t="shared" si="21"/>
        <v>6</v>
      </c>
      <c r="L281" t="str">
        <f t="shared" si="22"/>
        <v>No</v>
      </c>
      <c r="M281" t="str">
        <f t="shared" si="24"/>
        <v>No</v>
      </c>
      <c r="N281" t="str">
        <f t="shared" si="23"/>
        <v>No</v>
      </c>
    </row>
    <row r="282" spans="1:14" x14ac:dyDescent="0.3">
      <c r="A282" s="2" t="s">
        <v>581</v>
      </c>
      <c r="B282" s="2" t="s">
        <v>582</v>
      </c>
      <c r="C282" s="2" t="s">
        <v>27</v>
      </c>
      <c r="D282" s="3">
        <v>45704</v>
      </c>
      <c r="E282" s="3">
        <v>45711</v>
      </c>
      <c r="F282" s="3">
        <v>45721</v>
      </c>
      <c r="G282" s="2" t="s">
        <v>40</v>
      </c>
      <c r="H282" s="2">
        <v>9</v>
      </c>
      <c r="I282" s="2">
        <v>9</v>
      </c>
      <c r="J282">
        <f t="shared" si="20"/>
        <v>17</v>
      </c>
      <c r="K282">
        <f t="shared" si="21"/>
        <v>10</v>
      </c>
      <c r="L282" t="str">
        <f t="shared" si="22"/>
        <v>No</v>
      </c>
      <c r="M282" t="str">
        <f t="shared" si="24"/>
        <v>Yes</v>
      </c>
      <c r="N282" t="str">
        <f t="shared" si="23"/>
        <v>No</v>
      </c>
    </row>
    <row r="283" spans="1:14" x14ac:dyDescent="0.3">
      <c r="A283" s="4" t="s">
        <v>583</v>
      </c>
      <c r="B283" s="4" t="s">
        <v>584</v>
      </c>
      <c r="C283" s="4" t="s">
        <v>27</v>
      </c>
      <c r="D283" s="5">
        <v>45704</v>
      </c>
      <c r="E283" s="5">
        <v>45706</v>
      </c>
      <c r="F283" s="5">
        <v>45721</v>
      </c>
      <c r="G283" s="4" t="s">
        <v>22</v>
      </c>
      <c r="H283" s="4">
        <v>4</v>
      </c>
      <c r="I283" s="2">
        <v>4</v>
      </c>
      <c r="J283">
        <f t="shared" si="20"/>
        <v>17</v>
      </c>
      <c r="K283">
        <f t="shared" si="21"/>
        <v>15</v>
      </c>
      <c r="L283" t="str">
        <f t="shared" si="22"/>
        <v>No</v>
      </c>
      <c r="M283" t="str">
        <f t="shared" si="24"/>
        <v>Yes</v>
      </c>
      <c r="N283" t="str">
        <f t="shared" si="23"/>
        <v>No</v>
      </c>
    </row>
    <row r="284" spans="1:14" x14ac:dyDescent="0.3">
      <c r="A284" s="2" t="s">
        <v>585</v>
      </c>
      <c r="B284" s="2" t="s">
        <v>586</v>
      </c>
      <c r="C284" s="2" t="s">
        <v>34</v>
      </c>
      <c r="D284" s="3">
        <v>45704</v>
      </c>
      <c r="E284" s="3">
        <v>45710</v>
      </c>
      <c r="F284" s="3">
        <v>45710</v>
      </c>
      <c r="G284" s="2" t="s">
        <v>18</v>
      </c>
      <c r="H284" s="2">
        <v>25</v>
      </c>
      <c r="I284" s="2">
        <v>25</v>
      </c>
      <c r="J284">
        <f t="shared" si="20"/>
        <v>6</v>
      </c>
      <c r="K284">
        <f t="shared" si="21"/>
        <v>0</v>
      </c>
      <c r="L284" t="str">
        <f t="shared" si="22"/>
        <v>Yes</v>
      </c>
      <c r="M284" t="str">
        <f t="shared" si="24"/>
        <v>Yes</v>
      </c>
      <c r="N284" t="str">
        <f t="shared" si="23"/>
        <v>Yes</v>
      </c>
    </row>
    <row r="285" spans="1:14" x14ac:dyDescent="0.3">
      <c r="A285" s="4" t="s">
        <v>587</v>
      </c>
      <c r="B285" s="4" t="s">
        <v>588</v>
      </c>
      <c r="C285" s="4" t="s">
        <v>72</v>
      </c>
      <c r="D285" s="5">
        <v>45703</v>
      </c>
      <c r="E285" s="5">
        <v>45711</v>
      </c>
      <c r="F285" s="5">
        <v>45718</v>
      </c>
      <c r="G285" s="4" t="s">
        <v>40</v>
      </c>
      <c r="H285" s="4">
        <v>17</v>
      </c>
      <c r="I285" s="2">
        <v>17</v>
      </c>
      <c r="J285">
        <f t="shared" si="20"/>
        <v>15</v>
      </c>
      <c r="K285">
        <f t="shared" si="21"/>
        <v>7</v>
      </c>
      <c r="L285" t="str">
        <f t="shared" si="22"/>
        <v>No</v>
      </c>
      <c r="M285" t="str">
        <f t="shared" si="24"/>
        <v>Yes</v>
      </c>
      <c r="N285" t="str">
        <f t="shared" si="23"/>
        <v>No</v>
      </c>
    </row>
    <row r="286" spans="1:14" x14ac:dyDescent="0.3">
      <c r="A286" s="2" t="s">
        <v>589</v>
      </c>
      <c r="B286" s="2" t="s">
        <v>590</v>
      </c>
      <c r="C286" s="2" t="s">
        <v>14</v>
      </c>
      <c r="D286" s="3">
        <v>45703</v>
      </c>
      <c r="E286" s="3">
        <v>45712</v>
      </c>
      <c r="F286" s="3">
        <v>45720</v>
      </c>
      <c r="G286" s="2" t="s">
        <v>22</v>
      </c>
      <c r="H286" s="2">
        <v>13</v>
      </c>
      <c r="I286" s="2">
        <v>16</v>
      </c>
      <c r="J286">
        <f t="shared" si="20"/>
        <v>17</v>
      </c>
      <c r="K286">
        <f t="shared" si="21"/>
        <v>8</v>
      </c>
      <c r="L286" t="str">
        <f t="shared" si="22"/>
        <v>No</v>
      </c>
      <c r="M286" t="str">
        <f t="shared" si="24"/>
        <v>No</v>
      </c>
      <c r="N286" t="str">
        <f t="shared" si="23"/>
        <v>No</v>
      </c>
    </row>
    <row r="287" spans="1:14" x14ac:dyDescent="0.3">
      <c r="A287" s="4" t="s">
        <v>591</v>
      </c>
      <c r="B287" s="4" t="s">
        <v>592</v>
      </c>
      <c r="C287" s="4" t="s">
        <v>21</v>
      </c>
      <c r="D287" s="5">
        <v>45703</v>
      </c>
      <c r="E287" s="5">
        <v>45709</v>
      </c>
      <c r="F287" s="5">
        <v>45708</v>
      </c>
      <c r="G287" s="4" t="s">
        <v>15</v>
      </c>
      <c r="H287" s="4">
        <v>46</v>
      </c>
      <c r="I287" s="2">
        <v>46</v>
      </c>
      <c r="J287">
        <f t="shared" si="20"/>
        <v>5</v>
      </c>
      <c r="K287">
        <f t="shared" si="21"/>
        <v>-1</v>
      </c>
      <c r="L287" t="str">
        <f t="shared" si="22"/>
        <v>Yes</v>
      </c>
      <c r="M287" t="str">
        <f t="shared" si="24"/>
        <v>Yes</v>
      </c>
      <c r="N287" t="str">
        <f t="shared" si="23"/>
        <v>Yes</v>
      </c>
    </row>
    <row r="288" spans="1:14" x14ac:dyDescent="0.3">
      <c r="A288" s="2" t="s">
        <v>593</v>
      </c>
      <c r="B288" s="2" t="s">
        <v>594</v>
      </c>
      <c r="C288" s="2" t="s">
        <v>27</v>
      </c>
      <c r="D288" s="3">
        <v>45704</v>
      </c>
      <c r="E288" s="3">
        <v>45709</v>
      </c>
      <c r="F288" s="3">
        <v>45721</v>
      </c>
      <c r="G288" s="2" t="s">
        <v>22</v>
      </c>
      <c r="H288" s="2">
        <v>7</v>
      </c>
      <c r="I288" s="2">
        <v>7</v>
      </c>
      <c r="J288">
        <f t="shared" si="20"/>
        <v>17</v>
      </c>
      <c r="K288">
        <f t="shared" si="21"/>
        <v>12</v>
      </c>
      <c r="L288" t="str">
        <f t="shared" si="22"/>
        <v>No</v>
      </c>
      <c r="M288" t="str">
        <f t="shared" si="24"/>
        <v>Yes</v>
      </c>
      <c r="N288" t="str">
        <f t="shared" si="23"/>
        <v>No</v>
      </c>
    </row>
    <row r="289" spans="1:14" x14ac:dyDescent="0.3">
      <c r="A289" s="4" t="s">
        <v>595</v>
      </c>
      <c r="B289" s="4" t="s">
        <v>596</v>
      </c>
      <c r="C289" s="4" t="s">
        <v>10</v>
      </c>
      <c r="D289" s="5">
        <v>45706</v>
      </c>
      <c r="E289" s="5">
        <v>45708</v>
      </c>
      <c r="F289" s="5">
        <v>45715</v>
      </c>
      <c r="G289" s="4" t="s">
        <v>22</v>
      </c>
      <c r="H289" s="4">
        <v>4</v>
      </c>
      <c r="I289" s="2">
        <v>4</v>
      </c>
      <c r="J289">
        <f t="shared" si="20"/>
        <v>9</v>
      </c>
      <c r="K289">
        <f t="shared" si="21"/>
        <v>7</v>
      </c>
      <c r="L289" t="str">
        <f t="shared" si="22"/>
        <v>No</v>
      </c>
      <c r="M289" t="str">
        <f t="shared" si="24"/>
        <v>Yes</v>
      </c>
      <c r="N289" t="str">
        <f t="shared" si="23"/>
        <v>No</v>
      </c>
    </row>
    <row r="290" spans="1:14" x14ac:dyDescent="0.3">
      <c r="A290" s="2" t="s">
        <v>597</v>
      </c>
      <c r="B290" s="2" t="s">
        <v>598</v>
      </c>
      <c r="C290" s="2" t="s">
        <v>59</v>
      </c>
      <c r="D290" s="3">
        <v>45704</v>
      </c>
      <c r="E290" s="3">
        <v>45708</v>
      </c>
      <c r="F290" s="3">
        <v>45708</v>
      </c>
      <c r="G290" s="2" t="s">
        <v>40</v>
      </c>
      <c r="H290" s="2">
        <v>32</v>
      </c>
      <c r="I290" s="2">
        <v>32</v>
      </c>
      <c r="J290">
        <f t="shared" si="20"/>
        <v>4</v>
      </c>
      <c r="K290">
        <f t="shared" si="21"/>
        <v>0</v>
      </c>
      <c r="L290" t="str">
        <f t="shared" si="22"/>
        <v>Yes</v>
      </c>
      <c r="M290" t="str">
        <f t="shared" si="24"/>
        <v>Yes</v>
      </c>
      <c r="N290" t="str">
        <f t="shared" si="23"/>
        <v>Yes</v>
      </c>
    </row>
    <row r="291" spans="1:14" x14ac:dyDescent="0.3">
      <c r="A291" s="4" t="s">
        <v>599</v>
      </c>
      <c r="B291" s="4" t="s">
        <v>600</v>
      </c>
      <c r="C291" s="4" t="s">
        <v>21</v>
      </c>
      <c r="D291" s="5">
        <v>45704</v>
      </c>
      <c r="E291" s="5">
        <v>45707</v>
      </c>
      <c r="F291" s="5">
        <v>45709</v>
      </c>
      <c r="G291" s="4" t="s">
        <v>22</v>
      </c>
      <c r="H291" s="4">
        <v>36</v>
      </c>
      <c r="I291" s="2">
        <v>36</v>
      </c>
      <c r="J291">
        <f t="shared" si="20"/>
        <v>5</v>
      </c>
      <c r="K291">
        <f t="shared" si="21"/>
        <v>2</v>
      </c>
      <c r="L291" t="str">
        <f t="shared" si="22"/>
        <v>No</v>
      </c>
      <c r="M291" t="str">
        <f t="shared" si="24"/>
        <v>Yes</v>
      </c>
      <c r="N291" t="str">
        <f t="shared" si="23"/>
        <v>No</v>
      </c>
    </row>
    <row r="292" spans="1:14" x14ac:dyDescent="0.3">
      <c r="A292" s="2" t="s">
        <v>601</v>
      </c>
      <c r="B292" s="2" t="s">
        <v>602</v>
      </c>
      <c r="C292" s="2" t="s">
        <v>27</v>
      </c>
      <c r="D292" s="3">
        <v>45704</v>
      </c>
      <c r="E292" s="3">
        <v>45707</v>
      </c>
      <c r="F292" s="3">
        <v>45719</v>
      </c>
      <c r="G292" s="2" t="s">
        <v>18</v>
      </c>
      <c r="H292" s="2">
        <v>3</v>
      </c>
      <c r="I292" s="2">
        <v>3</v>
      </c>
      <c r="J292">
        <f t="shared" si="20"/>
        <v>15</v>
      </c>
      <c r="K292">
        <f t="shared" si="21"/>
        <v>12</v>
      </c>
      <c r="L292" t="str">
        <f t="shared" si="22"/>
        <v>No</v>
      </c>
      <c r="M292" t="str">
        <f t="shared" si="24"/>
        <v>Yes</v>
      </c>
      <c r="N292" t="str">
        <f t="shared" si="23"/>
        <v>No</v>
      </c>
    </row>
    <row r="293" spans="1:14" x14ac:dyDescent="0.3">
      <c r="A293" s="4" t="s">
        <v>603</v>
      </c>
      <c r="B293" s="4" t="s">
        <v>604</v>
      </c>
      <c r="C293" s="4" t="s">
        <v>72</v>
      </c>
      <c r="D293" s="5">
        <v>45705</v>
      </c>
      <c r="E293" s="5">
        <v>45713</v>
      </c>
      <c r="F293" s="5">
        <v>45719</v>
      </c>
      <c r="G293" s="4" t="s">
        <v>40</v>
      </c>
      <c r="H293" s="4">
        <v>16</v>
      </c>
      <c r="I293" s="2">
        <v>16</v>
      </c>
      <c r="J293">
        <f t="shared" si="20"/>
        <v>14</v>
      </c>
      <c r="K293">
        <f t="shared" si="21"/>
        <v>6</v>
      </c>
      <c r="L293" t="str">
        <f t="shared" si="22"/>
        <v>No</v>
      </c>
      <c r="M293" t="str">
        <f t="shared" si="24"/>
        <v>Yes</v>
      </c>
      <c r="N293" t="str">
        <f t="shared" si="23"/>
        <v>No</v>
      </c>
    </row>
    <row r="294" spans="1:14" x14ac:dyDescent="0.3">
      <c r="A294" s="2" t="s">
        <v>605</v>
      </c>
      <c r="B294" s="2" t="s">
        <v>606</v>
      </c>
      <c r="C294" s="2" t="s">
        <v>10</v>
      </c>
      <c r="D294" s="3">
        <v>45706</v>
      </c>
      <c r="E294" s="3">
        <v>45715</v>
      </c>
      <c r="F294" s="3">
        <v>45712</v>
      </c>
      <c r="G294" s="2" t="s">
        <v>15</v>
      </c>
      <c r="H294" s="2">
        <v>25</v>
      </c>
      <c r="I294" s="2">
        <v>25</v>
      </c>
      <c r="J294">
        <f t="shared" si="20"/>
        <v>6</v>
      </c>
      <c r="K294">
        <f t="shared" si="21"/>
        <v>-3</v>
      </c>
      <c r="L294" t="str">
        <f t="shared" si="22"/>
        <v>Yes</v>
      </c>
      <c r="M294" t="str">
        <f t="shared" si="24"/>
        <v>Yes</v>
      </c>
      <c r="N294" t="str">
        <f t="shared" si="23"/>
        <v>Yes</v>
      </c>
    </row>
    <row r="295" spans="1:14" x14ac:dyDescent="0.3">
      <c r="A295" s="4" t="s">
        <v>607</v>
      </c>
      <c r="B295" s="4" t="s">
        <v>608</v>
      </c>
      <c r="C295" s="4" t="s">
        <v>14</v>
      </c>
      <c r="D295" s="5">
        <v>45705</v>
      </c>
      <c r="E295" s="5">
        <v>45710</v>
      </c>
      <c r="F295" s="5">
        <v>45721</v>
      </c>
      <c r="G295" s="4" t="s">
        <v>15</v>
      </c>
      <c r="H295" s="4">
        <v>2</v>
      </c>
      <c r="I295" s="2">
        <v>5</v>
      </c>
      <c r="J295">
        <f t="shared" si="20"/>
        <v>16</v>
      </c>
      <c r="K295">
        <f t="shared" si="21"/>
        <v>11</v>
      </c>
      <c r="L295" t="str">
        <f t="shared" si="22"/>
        <v>No</v>
      </c>
      <c r="M295" t="str">
        <f t="shared" si="24"/>
        <v>No</v>
      </c>
      <c r="N295" t="str">
        <f t="shared" si="23"/>
        <v>No</v>
      </c>
    </row>
    <row r="296" spans="1:14" x14ac:dyDescent="0.3">
      <c r="A296" s="2" t="s">
        <v>609</v>
      </c>
      <c r="B296" s="2" t="s">
        <v>610</v>
      </c>
      <c r="C296" s="2" t="s">
        <v>14</v>
      </c>
      <c r="D296" s="3">
        <v>45707</v>
      </c>
      <c r="E296" s="3">
        <v>45714</v>
      </c>
      <c r="F296" s="3">
        <v>45721</v>
      </c>
      <c r="G296" s="2" t="s">
        <v>40</v>
      </c>
      <c r="H296" s="2">
        <v>47</v>
      </c>
      <c r="I296" s="2">
        <v>52</v>
      </c>
      <c r="J296">
        <f t="shared" si="20"/>
        <v>14</v>
      </c>
      <c r="K296">
        <f t="shared" si="21"/>
        <v>7</v>
      </c>
      <c r="L296" t="str">
        <f t="shared" si="22"/>
        <v>No</v>
      </c>
      <c r="M296" t="str">
        <f t="shared" si="24"/>
        <v>No</v>
      </c>
      <c r="N296" t="str">
        <f t="shared" si="23"/>
        <v>No</v>
      </c>
    </row>
    <row r="297" spans="1:14" x14ac:dyDescent="0.3">
      <c r="A297" s="4" t="s">
        <v>611</v>
      </c>
      <c r="B297" s="4" t="s">
        <v>612</v>
      </c>
      <c r="C297" s="4" t="s">
        <v>27</v>
      </c>
      <c r="D297" s="5">
        <v>45705</v>
      </c>
      <c r="E297" s="5">
        <v>45710</v>
      </c>
      <c r="F297" s="5">
        <v>45718</v>
      </c>
      <c r="G297" s="4" t="s">
        <v>18</v>
      </c>
      <c r="H297" s="4">
        <v>12</v>
      </c>
      <c r="I297" s="2">
        <v>19</v>
      </c>
      <c r="J297">
        <f t="shared" si="20"/>
        <v>13</v>
      </c>
      <c r="K297">
        <f t="shared" si="21"/>
        <v>8</v>
      </c>
      <c r="L297" t="str">
        <f t="shared" si="22"/>
        <v>No</v>
      </c>
      <c r="M297" t="str">
        <f t="shared" si="24"/>
        <v>No</v>
      </c>
      <c r="N297" t="str">
        <f t="shared" si="23"/>
        <v>No</v>
      </c>
    </row>
    <row r="298" spans="1:14" x14ac:dyDescent="0.3">
      <c r="A298" s="2" t="s">
        <v>613</v>
      </c>
      <c r="B298" s="2" t="s">
        <v>614</v>
      </c>
      <c r="C298" s="2" t="s">
        <v>37</v>
      </c>
      <c r="D298" s="3">
        <v>45707</v>
      </c>
      <c r="E298" s="3">
        <v>45713</v>
      </c>
      <c r="F298" s="3">
        <v>45724</v>
      </c>
      <c r="G298" s="2" t="s">
        <v>40</v>
      </c>
      <c r="H298" s="2">
        <v>30</v>
      </c>
      <c r="I298" s="2">
        <v>36</v>
      </c>
      <c r="J298">
        <f t="shared" si="20"/>
        <v>17</v>
      </c>
      <c r="K298">
        <f t="shared" si="21"/>
        <v>11</v>
      </c>
      <c r="L298" t="str">
        <f t="shared" si="22"/>
        <v>No</v>
      </c>
      <c r="M298" t="str">
        <f t="shared" si="24"/>
        <v>No</v>
      </c>
      <c r="N298" t="str">
        <f t="shared" si="23"/>
        <v>No</v>
      </c>
    </row>
    <row r="299" spans="1:14" x14ac:dyDescent="0.3">
      <c r="A299" s="4" t="s">
        <v>615</v>
      </c>
      <c r="B299" s="4" t="s">
        <v>616</v>
      </c>
      <c r="C299" s="4" t="s">
        <v>10</v>
      </c>
      <c r="D299" s="5">
        <v>45708</v>
      </c>
      <c r="E299" s="5">
        <v>45714</v>
      </c>
      <c r="F299" s="5">
        <v>45713</v>
      </c>
      <c r="G299" s="4" t="s">
        <v>22</v>
      </c>
      <c r="H299" s="4">
        <v>14</v>
      </c>
      <c r="I299" s="2">
        <v>14</v>
      </c>
      <c r="J299">
        <f t="shared" si="20"/>
        <v>5</v>
      </c>
      <c r="K299">
        <f t="shared" si="21"/>
        <v>-1</v>
      </c>
      <c r="L299" t="str">
        <f t="shared" si="22"/>
        <v>Yes</v>
      </c>
      <c r="M299" t="str">
        <f t="shared" si="24"/>
        <v>Yes</v>
      </c>
      <c r="N299" t="str">
        <f t="shared" si="23"/>
        <v>Yes</v>
      </c>
    </row>
    <row r="300" spans="1:14" x14ac:dyDescent="0.3">
      <c r="A300" s="2" t="s">
        <v>617</v>
      </c>
      <c r="B300" s="2" t="s">
        <v>618</v>
      </c>
      <c r="C300" s="2" t="s">
        <v>10</v>
      </c>
      <c r="D300" s="3">
        <v>45708</v>
      </c>
      <c r="E300" s="3">
        <v>45709</v>
      </c>
      <c r="F300" s="3">
        <v>45717</v>
      </c>
      <c r="G300" s="2" t="s">
        <v>11</v>
      </c>
      <c r="H300" s="2">
        <v>38</v>
      </c>
      <c r="I300" s="2">
        <v>38</v>
      </c>
      <c r="J300">
        <f t="shared" si="20"/>
        <v>9</v>
      </c>
      <c r="K300">
        <f t="shared" si="21"/>
        <v>8</v>
      </c>
      <c r="L300" t="str">
        <f t="shared" si="22"/>
        <v>No</v>
      </c>
      <c r="M300" t="str">
        <f t="shared" si="24"/>
        <v>Yes</v>
      </c>
      <c r="N300" t="str">
        <f t="shared" si="23"/>
        <v>No</v>
      </c>
    </row>
    <row r="301" spans="1:14" x14ac:dyDescent="0.3">
      <c r="A301" s="4" t="s">
        <v>619</v>
      </c>
      <c r="B301" s="4" t="s">
        <v>620</v>
      </c>
      <c r="C301" s="4" t="s">
        <v>14</v>
      </c>
      <c r="D301" s="5">
        <v>45706</v>
      </c>
      <c r="E301" s="5">
        <v>45710</v>
      </c>
      <c r="F301" s="5">
        <v>45725</v>
      </c>
      <c r="G301" s="4" t="s">
        <v>22</v>
      </c>
      <c r="H301" s="4">
        <v>11</v>
      </c>
      <c r="I301" s="2">
        <v>11</v>
      </c>
      <c r="J301">
        <f t="shared" si="20"/>
        <v>19</v>
      </c>
      <c r="K301">
        <f t="shared" si="21"/>
        <v>15</v>
      </c>
      <c r="L301" t="str">
        <f t="shared" si="22"/>
        <v>No</v>
      </c>
      <c r="M301" t="str">
        <f t="shared" si="24"/>
        <v>Yes</v>
      </c>
      <c r="N301" t="str">
        <f t="shared" si="23"/>
        <v>No</v>
      </c>
    </row>
    <row r="302" spans="1:14" x14ac:dyDescent="0.3">
      <c r="A302" s="2" t="s">
        <v>621</v>
      </c>
      <c r="B302" s="2" t="s">
        <v>622</v>
      </c>
      <c r="C302" s="2" t="s">
        <v>21</v>
      </c>
      <c r="D302" s="3">
        <v>45708</v>
      </c>
      <c r="E302" s="3">
        <v>45712</v>
      </c>
      <c r="F302" s="3">
        <v>45716</v>
      </c>
      <c r="G302" s="2" t="s">
        <v>11</v>
      </c>
      <c r="H302" s="2">
        <v>25</v>
      </c>
      <c r="I302" s="2">
        <v>25</v>
      </c>
      <c r="J302">
        <f t="shared" si="20"/>
        <v>8</v>
      </c>
      <c r="K302">
        <f t="shared" si="21"/>
        <v>4</v>
      </c>
      <c r="L302" t="str">
        <f t="shared" si="22"/>
        <v>No</v>
      </c>
      <c r="M302" t="str">
        <f t="shared" si="24"/>
        <v>Yes</v>
      </c>
      <c r="N302" t="str">
        <f t="shared" si="23"/>
        <v>No</v>
      </c>
    </row>
    <row r="303" spans="1:14" x14ac:dyDescent="0.3">
      <c r="A303" s="4" t="s">
        <v>623</v>
      </c>
      <c r="B303" s="4" t="s">
        <v>624</v>
      </c>
      <c r="C303" s="4" t="s">
        <v>21</v>
      </c>
      <c r="D303" s="5">
        <v>45708</v>
      </c>
      <c r="E303" s="5">
        <v>45712</v>
      </c>
      <c r="F303" s="5">
        <v>45715</v>
      </c>
      <c r="G303" s="4" t="s">
        <v>22</v>
      </c>
      <c r="H303" s="4">
        <v>14</v>
      </c>
      <c r="I303" s="2">
        <v>14</v>
      </c>
      <c r="J303">
        <f t="shared" si="20"/>
        <v>7</v>
      </c>
      <c r="K303">
        <f t="shared" si="21"/>
        <v>3</v>
      </c>
      <c r="L303" t="str">
        <f t="shared" si="22"/>
        <v>No</v>
      </c>
      <c r="M303" t="str">
        <f t="shared" si="24"/>
        <v>Yes</v>
      </c>
      <c r="N303" t="str">
        <f t="shared" si="23"/>
        <v>No</v>
      </c>
    </row>
    <row r="304" spans="1:14" x14ac:dyDescent="0.3">
      <c r="A304" s="2" t="s">
        <v>625</v>
      </c>
      <c r="B304" s="2" t="s">
        <v>626</v>
      </c>
      <c r="C304" s="2" t="s">
        <v>27</v>
      </c>
      <c r="D304" s="3">
        <v>45706</v>
      </c>
      <c r="E304" s="3">
        <v>45714</v>
      </c>
      <c r="F304" s="3">
        <v>45719</v>
      </c>
      <c r="G304" s="2" t="s">
        <v>40</v>
      </c>
      <c r="H304" s="2">
        <v>3</v>
      </c>
      <c r="I304" s="2">
        <v>8</v>
      </c>
      <c r="J304">
        <f t="shared" si="20"/>
        <v>13</v>
      </c>
      <c r="K304">
        <f t="shared" si="21"/>
        <v>5</v>
      </c>
      <c r="L304" t="str">
        <f t="shared" si="22"/>
        <v>No</v>
      </c>
      <c r="M304" t="str">
        <f t="shared" si="24"/>
        <v>No</v>
      </c>
      <c r="N304" t="str">
        <f t="shared" si="23"/>
        <v>No</v>
      </c>
    </row>
    <row r="305" spans="1:14" x14ac:dyDescent="0.3">
      <c r="A305" s="4" t="s">
        <v>627</v>
      </c>
      <c r="B305" s="4" t="s">
        <v>628</v>
      </c>
      <c r="C305" s="4" t="s">
        <v>27</v>
      </c>
      <c r="D305" s="5">
        <v>45707</v>
      </c>
      <c r="E305" s="5">
        <v>45711</v>
      </c>
      <c r="F305" s="5">
        <v>45721</v>
      </c>
      <c r="G305" s="4" t="s">
        <v>11</v>
      </c>
      <c r="H305" s="4">
        <v>9</v>
      </c>
      <c r="I305" s="2">
        <v>9</v>
      </c>
      <c r="J305">
        <f t="shared" si="20"/>
        <v>14</v>
      </c>
      <c r="K305">
        <f t="shared" si="21"/>
        <v>10</v>
      </c>
      <c r="L305" t="str">
        <f t="shared" si="22"/>
        <v>No</v>
      </c>
      <c r="M305" t="str">
        <f t="shared" si="24"/>
        <v>Yes</v>
      </c>
      <c r="N305" t="str">
        <f t="shared" si="23"/>
        <v>No</v>
      </c>
    </row>
    <row r="306" spans="1:14" x14ac:dyDescent="0.3">
      <c r="A306" s="2" t="s">
        <v>629</v>
      </c>
      <c r="B306" s="2" t="s">
        <v>630</v>
      </c>
      <c r="C306" s="2" t="s">
        <v>34</v>
      </c>
      <c r="D306" s="3">
        <v>45708</v>
      </c>
      <c r="E306" s="3">
        <v>45712</v>
      </c>
      <c r="F306" s="3">
        <v>45719</v>
      </c>
      <c r="G306" s="2" t="s">
        <v>40</v>
      </c>
      <c r="H306" s="2">
        <v>31</v>
      </c>
      <c r="I306" s="2">
        <v>31</v>
      </c>
      <c r="J306">
        <f t="shared" si="20"/>
        <v>11</v>
      </c>
      <c r="K306">
        <f t="shared" si="21"/>
        <v>7</v>
      </c>
      <c r="L306" t="str">
        <f t="shared" si="22"/>
        <v>No</v>
      </c>
      <c r="M306" t="str">
        <f t="shared" si="24"/>
        <v>Yes</v>
      </c>
      <c r="N306" t="str">
        <f t="shared" si="23"/>
        <v>No</v>
      </c>
    </row>
    <row r="307" spans="1:14" x14ac:dyDescent="0.3">
      <c r="A307" s="4" t="s">
        <v>631</v>
      </c>
      <c r="B307" s="4" t="s">
        <v>632</v>
      </c>
      <c r="C307" s="4" t="s">
        <v>37</v>
      </c>
      <c r="D307" s="5">
        <v>45708</v>
      </c>
      <c r="E307" s="5">
        <v>45715</v>
      </c>
      <c r="F307" s="5">
        <v>45720</v>
      </c>
      <c r="G307" s="4" t="s">
        <v>40</v>
      </c>
      <c r="H307" s="4">
        <v>51</v>
      </c>
      <c r="I307" s="2">
        <v>51</v>
      </c>
      <c r="J307">
        <f t="shared" si="20"/>
        <v>12</v>
      </c>
      <c r="K307">
        <f t="shared" si="21"/>
        <v>5</v>
      </c>
      <c r="L307" t="str">
        <f t="shared" si="22"/>
        <v>No</v>
      </c>
      <c r="M307" t="str">
        <f t="shared" si="24"/>
        <v>Yes</v>
      </c>
      <c r="N307" t="str">
        <f t="shared" si="23"/>
        <v>No</v>
      </c>
    </row>
    <row r="308" spans="1:14" x14ac:dyDescent="0.3">
      <c r="A308" s="2" t="s">
        <v>633</v>
      </c>
      <c r="B308" s="2" t="s">
        <v>634</v>
      </c>
      <c r="C308" s="2" t="s">
        <v>10</v>
      </c>
      <c r="D308" s="3">
        <v>45707</v>
      </c>
      <c r="E308" s="3">
        <v>45716</v>
      </c>
      <c r="F308" s="3">
        <v>45712</v>
      </c>
      <c r="G308" s="2" t="s">
        <v>15</v>
      </c>
      <c r="H308" s="2">
        <v>22</v>
      </c>
      <c r="I308" s="2">
        <v>22</v>
      </c>
      <c r="J308">
        <f t="shared" si="20"/>
        <v>5</v>
      </c>
      <c r="K308">
        <f t="shared" si="21"/>
        <v>-4</v>
      </c>
      <c r="L308" t="str">
        <f t="shared" si="22"/>
        <v>Yes</v>
      </c>
      <c r="M308" t="str">
        <f t="shared" si="24"/>
        <v>Yes</v>
      </c>
      <c r="N308" t="str">
        <f t="shared" si="23"/>
        <v>Yes</v>
      </c>
    </row>
    <row r="309" spans="1:14" x14ac:dyDescent="0.3">
      <c r="A309" s="4" t="s">
        <v>635</v>
      </c>
      <c r="B309" s="4" t="s">
        <v>636</v>
      </c>
      <c r="C309" s="4" t="s">
        <v>10</v>
      </c>
      <c r="D309" s="5">
        <v>45708</v>
      </c>
      <c r="E309" s="5">
        <v>45713</v>
      </c>
      <c r="F309" s="5">
        <v>45714</v>
      </c>
      <c r="G309" s="4" t="s">
        <v>18</v>
      </c>
      <c r="H309" s="4">
        <v>11</v>
      </c>
      <c r="I309" s="2">
        <v>15</v>
      </c>
      <c r="J309">
        <f t="shared" si="20"/>
        <v>6</v>
      </c>
      <c r="K309">
        <f t="shared" si="21"/>
        <v>1</v>
      </c>
      <c r="L309" t="str">
        <f t="shared" si="22"/>
        <v>No</v>
      </c>
      <c r="M309" t="str">
        <f t="shared" si="24"/>
        <v>No</v>
      </c>
      <c r="N309" t="str">
        <f t="shared" si="23"/>
        <v>No</v>
      </c>
    </row>
    <row r="310" spans="1:14" x14ac:dyDescent="0.3">
      <c r="A310" s="2" t="s">
        <v>637</v>
      </c>
      <c r="B310" s="2" t="s">
        <v>638</v>
      </c>
      <c r="C310" s="2" t="s">
        <v>21</v>
      </c>
      <c r="D310" s="3">
        <v>45708</v>
      </c>
      <c r="E310" s="3">
        <v>45711</v>
      </c>
      <c r="F310" s="3">
        <v>45713</v>
      </c>
      <c r="G310" s="2" t="s">
        <v>15</v>
      </c>
      <c r="H310" s="2">
        <v>25</v>
      </c>
      <c r="I310" s="2">
        <v>26</v>
      </c>
      <c r="J310">
        <f t="shared" si="20"/>
        <v>5</v>
      </c>
      <c r="K310">
        <f t="shared" si="21"/>
        <v>2</v>
      </c>
      <c r="L310" t="str">
        <f t="shared" si="22"/>
        <v>No</v>
      </c>
      <c r="M310" t="str">
        <f t="shared" si="24"/>
        <v>No</v>
      </c>
      <c r="N310" t="str">
        <f t="shared" si="23"/>
        <v>No</v>
      </c>
    </row>
    <row r="311" spans="1:14" x14ac:dyDescent="0.3">
      <c r="A311" s="4" t="s">
        <v>639</v>
      </c>
      <c r="B311" s="4" t="s">
        <v>640</v>
      </c>
      <c r="C311" s="4" t="s">
        <v>27</v>
      </c>
      <c r="D311" s="5">
        <v>45708</v>
      </c>
      <c r="E311" s="5">
        <v>45713</v>
      </c>
      <c r="F311" s="5">
        <v>45721</v>
      </c>
      <c r="G311" s="4" t="s">
        <v>22</v>
      </c>
      <c r="H311" s="4">
        <v>32</v>
      </c>
      <c r="I311" s="2">
        <v>32</v>
      </c>
      <c r="J311">
        <f t="shared" si="20"/>
        <v>13</v>
      </c>
      <c r="K311">
        <f t="shared" si="21"/>
        <v>8</v>
      </c>
      <c r="L311" t="str">
        <f t="shared" si="22"/>
        <v>No</v>
      </c>
      <c r="M311" t="str">
        <f t="shared" si="24"/>
        <v>Yes</v>
      </c>
      <c r="N311" t="str">
        <f t="shared" si="23"/>
        <v>No</v>
      </c>
    </row>
    <row r="312" spans="1:14" x14ac:dyDescent="0.3">
      <c r="A312" s="2" t="s">
        <v>641</v>
      </c>
      <c r="B312" s="2" t="s">
        <v>642</v>
      </c>
      <c r="C312" s="2" t="s">
        <v>27</v>
      </c>
      <c r="D312" s="3">
        <v>45707</v>
      </c>
      <c r="E312" s="3">
        <v>45711</v>
      </c>
      <c r="F312" s="3">
        <v>45720</v>
      </c>
      <c r="G312" s="2" t="s">
        <v>18</v>
      </c>
      <c r="H312" s="2">
        <v>1</v>
      </c>
      <c r="I312" s="2">
        <v>6</v>
      </c>
      <c r="J312">
        <f t="shared" si="20"/>
        <v>13</v>
      </c>
      <c r="K312">
        <f t="shared" si="21"/>
        <v>9</v>
      </c>
      <c r="L312" t="str">
        <f t="shared" si="22"/>
        <v>No</v>
      </c>
      <c r="M312" t="str">
        <f t="shared" si="24"/>
        <v>No</v>
      </c>
      <c r="N312" t="str">
        <f t="shared" si="23"/>
        <v>No</v>
      </c>
    </row>
    <row r="313" spans="1:14" x14ac:dyDescent="0.3">
      <c r="A313" s="4" t="s">
        <v>643</v>
      </c>
      <c r="B313" s="4" t="s">
        <v>644</v>
      </c>
      <c r="C313" s="4" t="s">
        <v>37</v>
      </c>
      <c r="D313" s="5">
        <v>45709</v>
      </c>
      <c r="E313" s="5">
        <v>45711</v>
      </c>
      <c r="F313" s="5">
        <v>45722</v>
      </c>
      <c r="G313" s="4" t="s">
        <v>40</v>
      </c>
      <c r="H313" s="4">
        <v>16</v>
      </c>
      <c r="I313" s="2">
        <v>16</v>
      </c>
      <c r="J313">
        <f t="shared" si="20"/>
        <v>13</v>
      </c>
      <c r="K313">
        <f t="shared" si="21"/>
        <v>11</v>
      </c>
      <c r="L313" t="str">
        <f t="shared" si="22"/>
        <v>No</v>
      </c>
      <c r="M313" t="str">
        <f t="shared" si="24"/>
        <v>Yes</v>
      </c>
      <c r="N313" t="str">
        <f t="shared" si="23"/>
        <v>No</v>
      </c>
    </row>
    <row r="314" spans="1:14" x14ac:dyDescent="0.3">
      <c r="A314" s="2" t="s">
        <v>645</v>
      </c>
      <c r="B314" s="2" t="s">
        <v>646</v>
      </c>
      <c r="C314" s="2" t="s">
        <v>10</v>
      </c>
      <c r="D314" s="3">
        <v>45708</v>
      </c>
      <c r="E314" s="3">
        <v>45714</v>
      </c>
      <c r="F314" s="3">
        <v>45715</v>
      </c>
      <c r="G314" s="2" t="s">
        <v>11</v>
      </c>
      <c r="H314" s="2">
        <v>19</v>
      </c>
      <c r="I314" s="2">
        <v>19</v>
      </c>
      <c r="J314">
        <f t="shared" si="20"/>
        <v>7</v>
      </c>
      <c r="K314">
        <f t="shared" si="21"/>
        <v>1</v>
      </c>
      <c r="L314" t="str">
        <f t="shared" si="22"/>
        <v>No</v>
      </c>
      <c r="M314" t="str">
        <f t="shared" si="24"/>
        <v>Yes</v>
      </c>
      <c r="N314" t="str">
        <f t="shared" si="23"/>
        <v>No</v>
      </c>
    </row>
    <row r="315" spans="1:14" x14ac:dyDescent="0.3">
      <c r="A315" s="4" t="s">
        <v>647</v>
      </c>
      <c r="B315" s="4" t="s">
        <v>648</v>
      </c>
      <c r="C315" s="4" t="s">
        <v>10</v>
      </c>
      <c r="D315" s="5">
        <v>45708</v>
      </c>
      <c r="E315" s="5">
        <v>45714</v>
      </c>
      <c r="F315" s="5">
        <v>45712</v>
      </c>
      <c r="G315" s="4" t="s">
        <v>15</v>
      </c>
      <c r="H315" s="4">
        <v>21</v>
      </c>
      <c r="I315" s="2">
        <v>27</v>
      </c>
      <c r="J315">
        <f t="shared" si="20"/>
        <v>4</v>
      </c>
      <c r="K315">
        <f t="shared" si="21"/>
        <v>-2</v>
      </c>
      <c r="L315" t="str">
        <f t="shared" si="22"/>
        <v>Yes</v>
      </c>
      <c r="M315" t="str">
        <f t="shared" si="24"/>
        <v>No</v>
      </c>
      <c r="N315" t="str">
        <f t="shared" si="23"/>
        <v>No</v>
      </c>
    </row>
    <row r="316" spans="1:14" x14ac:dyDescent="0.3">
      <c r="A316" s="2" t="s">
        <v>649</v>
      </c>
      <c r="B316" s="2" t="s">
        <v>650</v>
      </c>
      <c r="C316" s="2" t="s">
        <v>14</v>
      </c>
      <c r="D316" s="3">
        <v>45710</v>
      </c>
      <c r="E316" s="3">
        <v>45715</v>
      </c>
      <c r="F316" s="3">
        <v>45729</v>
      </c>
      <c r="G316" s="2" t="s">
        <v>11</v>
      </c>
      <c r="H316" s="2">
        <v>9</v>
      </c>
      <c r="I316" s="2">
        <v>9</v>
      </c>
      <c r="J316">
        <f t="shared" si="20"/>
        <v>19</v>
      </c>
      <c r="K316">
        <f t="shared" si="21"/>
        <v>14</v>
      </c>
      <c r="L316" t="str">
        <f t="shared" si="22"/>
        <v>No</v>
      </c>
      <c r="M316" t="str">
        <f t="shared" si="24"/>
        <v>Yes</v>
      </c>
      <c r="N316" t="str">
        <f t="shared" si="23"/>
        <v>No</v>
      </c>
    </row>
    <row r="317" spans="1:14" x14ac:dyDescent="0.3">
      <c r="A317" s="4" t="s">
        <v>651</v>
      </c>
      <c r="B317" s="4" t="s">
        <v>652</v>
      </c>
      <c r="C317" s="4" t="s">
        <v>21</v>
      </c>
      <c r="D317" s="5">
        <v>45709</v>
      </c>
      <c r="E317" s="5">
        <v>45714</v>
      </c>
      <c r="F317" s="5">
        <v>45716</v>
      </c>
      <c r="G317" s="4" t="s">
        <v>18</v>
      </c>
      <c r="H317" s="4">
        <v>16</v>
      </c>
      <c r="I317" s="2">
        <v>24</v>
      </c>
      <c r="J317">
        <f t="shared" si="20"/>
        <v>7</v>
      </c>
      <c r="K317">
        <f t="shared" si="21"/>
        <v>2</v>
      </c>
      <c r="L317" t="str">
        <f t="shared" si="22"/>
        <v>No</v>
      </c>
      <c r="M317" t="str">
        <f t="shared" si="24"/>
        <v>No</v>
      </c>
      <c r="N317" t="str">
        <f t="shared" si="23"/>
        <v>No</v>
      </c>
    </row>
    <row r="318" spans="1:14" x14ac:dyDescent="0.3">
      <c r="A318" s="2" t="s">
        <v>653</v>
      </c>
      <c r="B318" s="2" t="s">
        <v>654</v>
      </c>
      <c r="C318" s="2" t="s">
        <v>27</v>
      </c>
      <c r="D318" s="3">
        <v>45709</v>
      </c>
      <c r="E318" s="3">
        <v>45713</v>
      </c>
      <c r="F318" s="3">
        <v>45722</v>
      </c>
      <c r="G318" s="2" t="s">
        <v>40</v>
      </c>
      <c r="H318" s="2">
        <v>20</v>
      </c>
      <c r="I318" s="2">
        <v>20</v>
      </c>
      <c r="J318">
        <f t="shared" si="20"/>
        <v>13</v>
      </c>
      <c r="K318">
        <f t="shared" si="21"/>
        <v>9</v>
      </c>
      <c r="L318" t="str">
        <f t="shared" si="22"/>
        <v>No</v>
      </c>
      <c r="M318" t="str">
        <f t="shared" si="24"/>
        <v>Yes</v>
      </c>
      <c r="N318" t="str">
        <f t="shared" si="23"/>
        <v>No</v>
      </c>
    </row>
    <row r="319" spans="1:14" x14ac:dyDescent="0.3">
      <c r="A319" s="4" t="s">
        <v>655</v>
      </c>
      <c r="B319" s="4" t="s">
        <v>656</v>
      </c>
      <c r="C319" s="4" t="s">
        <v>37</v>
      </c>
      <c r="D319" s="5">
        <v>45710</v>
      </c>
      <c r="E319" s="5">
        <v>45715</v>
      </c>
      <c r="F319" s="5">
        <v>45723</v>
      </c>
      <c r="G319" s="4" t="s">
        <v>40</v>
      </c>
      <c r="H319" s="4">
        <v>15</v>
      </c>
      <c r="I319" s="2">
        <v>15</v>
      </c>
      <c r="J319">
        <f t="shared" si="20"/>
        <v>13</v>
      </c>
      <c r="K319">
        <f t="shared" si="21"/>
        <v>8</v>
      </c>
      <c r="L319" t="str">
        <f t="shared" si="22"/>
        <v>No</v>
      </c>
      <c r="M319" t="str">
        <f t="shared" si="24"/>
        <v>Yes</v>
      </c>
      <c r="N319" t="str">
        <f t="shared" si="23"/>
        <v>No</v>
      </c>
    </row>
    <row r="320" spans="1:14" x14ac:dyDescent="0.3">
      <c r="A320" s="2" t="s">
        <v>657</v>
      </c>
      <c r="B320" s="2" t="s">
        <v>658</v>
      </c>
      <c r="C320" s="2" t="s">
        <v>34</v>
      </c>
      <c r="D320" s="3">
        <v>45710</v>
      </c>
      <c r="E320" s="3">
        <v>45717</v>
      </c>
      <c r="F320" s="3">
        <v>45717</v>
      </c>
      <c r="G320" s="2" t="s">
        <v>18</v>
      </c>
      <c r="H320" s="2">
        <v>41</v>
      </c>
      <c r="I320" s="2">
        <v>42</v>
      </c>
      <c r="J320">
        <f t="shared" si="20"/>
        <v>7</v>
      </c>
      <c r="K320">
        <f t="shared" si="21"/>
        <v>0</v>
      </c>
      <c r="L320" t="str">
        <f t="shared" si="22"/>
        <v>Yes</v>
      </c>
      <c r="M320" t="str">
        <f t="shared" si="24"/>
        <v>No</v>
      </c>
      <c r="N320" t="str">
        <f t="shared" si="23"/>
        <v>No</v>
      </c>
    </row>
    <row r="321" spans="1:14" x14ac:dyDescent="0.3">
      <c r="A321" s="4" t="s">
        <v>659</v>
      </c>
      <c r="B321" s="4" t="s">
        <v>660</v>
      </c>
      <c r="C321" s="4" t="s">
        <v>59</v>
      </c>
      <c r="D321" s="5">
        <v>45709</v>
      </c>
      <c r="E321" s="5">
        <v>45717</v>
      </c>
      <c r="F321" s="5">
        <v>45717</v>
      </c>
      <c r="G321" s="4" t="s">
        <v>22</v>
      </c>
      <c r="H321" s="4">
        <v>9</v>
      </c>
      <c r="I321" s="2">
        <v>9</v>
      </c>
      <c r="J321">
        <f t="shared" si="20"/>
        <v>8</v>
      </c>
      <c r="K321">
        <f t="shared" si="21"/>
        <v>0</v>
      </c>
      <c r="L321" t="str">
        <f t="shared" si="22"/>
        <v>Yes</v>
      </c>
      <c r="M321" t="str">
        <f t="shared" si="24"/>
        <v>Yes</v>
      </c>
      <c r="N321" t="str">
        <f t="shared" si="23"/>
        <v>Yes</v>
      </c>
    </row>
    <row r="322" spans="1:14" x14ac:dyDescent="0.3">
      <c r="A322" s="2" t="s">
        <v>661</v>
      </c>
      <c r="B322" s="2" t="s">
        <v>662</v>
      </c>
      <c r="C322" s="2" t="s">
        <v>27</v>
      </c>
      <c r="D322" s="3">
        <v>45709</v>
      </c>
      <c r="E322" s="3">
        <v>45712</v>
      </c>
      <c r="F322" s="3">
        <v>45721</v>
      </c>
      <c r="G322" s="2" t="s">
        <v>15</v>
      </c>
      <c r="H322" s="2">
        <v>43</v>
      </c>
      <c r="I322" s="2">
        <v>43</v>
      </c>
      <c r="J322">
        <f t="shared" si="20"/>
        <v>12</v>
      </c>
      <c r="K322">
        <f t="shared" si="21"/>
        <v>9</v>
      </c>
      <c r="L322" t="str">
        <f t="shared" si="22"/>
        <v>No</v>
      </c>
      <c r="M322" t="str">
        <f t="shared" si="24"/>
        <v>Yes</v>
      </c>
      <c r="N322" t="str">
        <f t="shared" si="23"/>
        <v>No</v>
      </c>
    </row>
    <row r="323" spans="1:14" x14ac:dyDescent="0.3">
      <c r="A323" s="4" t="s">
        <v>663</v>
      </c>
      <c r="B323" s="4" t="s">
        <v>664</v>
      </c>
      <c r="C323" s="4" t="s">
        <v>27</v>
      </c>
      <c r="D323" s="5">
        <v>45709</v>
      </c>
      <c r="E323" s="5">
        <v>45715</v>
      </c>
      <c r="F323" s="5">
        <v>45722</v>
      </c>
      <c r="G323" s="4" t="s">
        <v>22</v>
      </c>
      <c r="H323" s="4">
        <v>7</v>
      </c>
      <c r="I323" s="2">
        <v>7</v>
      </c>
      <c r="J323">
        <f t="shared" ref="J323:J386" si="25">F323-D323</f>
        <v>13</v>
      </c>
      <c r="K323">
        <f t="shared" ref="K323:K386" si="26">F323-E323</f>
        <v>7</v>
      </c>
      <c r="L323" t="str">
        <f t="shared" ref="L323:L386" si="27">IF(K323&lt;=0,"Yes","No")</f>
        <v>No</v>
      </c>
      <c r="M323" t="str">
        <f t="shared" si="24"/>
        <v>Yes</v>
      </c>
      <c r="N323" t="str">
        <f t="shared" ref="N323:N386" si="28">IF(AND(L323="Yes",M323="Yes"),"Yes","No")</f>
        <v>No</v>
      </c>
    </row>
    <row r="324" spans="1:14" x14ac:dyDescent="0.3">
      <c r="A324" s="2" t="s">
        <v>665</v>
      </c>
      <c r="B324" s="2" t="s">
        <v>666</v>
      </c>
      <c r="C324" s="2" t="s">
        <v>27</v>
      </c>
      <c r="D324" s="3">
        <v>45709</v>
      </c>
      <c r="E324" s="3">
        <v>45719</v>
      </c>
      <c r="F324" s="3">
        <v>45722</v>
      </c>
      <c r="G324" s="2" t="s">
        <v>18</v>
      </c>
      <c r="H324" s="2">
        <v>6</v>
      </c>
      <c r="I324" s="2">
        <v>6</v>
      </c>
      <c r="J324">
        <f t="shared" si="25"/>
        <v>13</v>
      </c>
      <c r="K324">
        <f t="shared" si="26"/>
        <v>3</v>
      </c>
      <c r="L324" t="str">
        <f t="shared" si="27"/>
        <v>No</v>
      </c>
      <c r="M324" t="str">
        <f t="shared" ref="M324:M387" si="29">IF(H324=I324,"Yes","No")</f>
        <v>Yes</v>
      </c>
      <c r="N324" t="str">
        <f t="shared" si="28"/>
        <v>No</v>
      </c>
    </row>
    <row r="325" spans="1:14" x14ac:dyDescent="0.3">
      <c r="A325" s="4" t="s">
        <v>667</v>
      </c>
      <c r="B325" s="4" t="s">
        <v>668</v>
      </c>
      <c r="C325" s="4" t="s">
        <v>37</v>
      </c>
      <c r="D325" s="5">
        <v>45712</v>
      </c>
      <c r="E325" s="5">
        <v>45719</v>
      </c>
      <c r="F325" s="5">
        <v>45724</v>
      </c>
      <c r="G325" s="4" t="s">
        <v>11</v>
      </c>
      <c r="H325" s="4">
        <v>33</v>
      </c>
      <c r="I325" s="2">
        <v>33</v>
      </c>
      <c r="J325">
        <f t="shared" si="25"/>
        <v>12</v>
      </c>
      <c r="K325">
        <f t="shared" si="26"/>
        <v>5</v>
      </c>
      <c r="L325" t="str">
        <f t="shared" si="27"/>
        <v>No</v>
      </c>
      <c r="M325" t="str">
        <f t="shared" si="29"/>
        <v>Yes</v>
      </c>
      <c r="N325" t="str">
        <f t="shared" si="28"/>
        <v>No</v>
      </c>
    </row>
    <row r="326" spans="1:14" x14ac:dyDescent="0.3">
      <c r="A326" s="2" t="s">
        <v>669</v>
      </c>
      <c r="B326" s="2" t="s">
        <v>670</v>
      </c>
      <c r="C326" s="2" t="s">
        <v>34</v>
      </c>
      <c r="D326" s="3">
        <v>45710</v>
      </c>
      <c r="E326" s="3">
        <v>45719</v>
      </c>
      <c r="F326" s="3">
        <v>45717</v>
      </c>
      <c r="G326" s="2" t="s">
        <v>22</v>
      </c>
      <c r="H326" s="2">
        <v>37</v>
      </c>
      <c r="I326" s="2">
        <v>37</v>
      </c>
      <c r="J326">
        <f t="shared" si="25"/>
        <v>7</v>
      </c>
      <c r="K326">
        <f t="shared" si="26"/>
        <v>-2</v>
      </c>
      <c r="L326" t="str">
        <f t="shared" si="27"/>
        <v>Yes</v>
      </c>
      <c r="M326" t="str">
        <f t="shared" si="29"/>
        <v>Yes</v>
      </c>
      <c r="N326" t="str">
        <f t="shared" si="28"/>
        <v>Yes</v>
      </c>
    </row>
    <row r="327" spans="1:14" x14ac:dyDescent="0.3">
      <c r="A327" s="4" t="s">
        <v>671</v>
      </c>
      <c r="B327" s="4" t="s">
        <v>672</v>
      </c>
      <c r="C327" s="4" t="s">
        <v>72</v>
      </c>
      <c r="D327" s="5">
        <v>45712</v>
      </c>
      <c r="E327" s="5">
        <v>45717</v>
      </c>
      <c r="F327" s="5">
        <v>45725</v>
      </c>
      <c r="G327" s="4" t="s">
        <v>40</v>
      </c>
      <c r="H327" s="4">
        <v>13</v>
      </c>
      <c r="I327" s="2">
        <v>13</v>
      </c>
      <c r="J327">
        <f t="shared" si="25"/>
        <v>13</v>
      </c>
      <c r="K327">
        <f t="shared" si="26"/>
        <v>8</v>
      </c>
      <c r="L327" t="str">
        <f t="shared" si="27"/>
        <v>No</v>
      </c>
      <c r="M327" t="str">
        <f t="shared" si="29"/>
        <v>Yes</v>
      </c>
      <c r="N327" t="str">
        <f t="shared" si="28"/>
        <v>No</v>
      </c>
    </row>
    <row r="328" spans="1:14" x14ac:dyDescent="0.3">
      <c r="A328" s="2" t="s">
        <v>673</v>
      </c>
      <c r="B328" s="2" t="s">
        <v>674</v>
      </c>
      <c r="C328" s="2" t="s">
        <v>59</v>
      </c>
      <c r="D328" s="3">
        <v>45711</v>
      </c>
      <c r="E328" s="3">
        <v>45716</v>
      </c>
      <c r="F328" s="3">
        <v>45715</v>
      </c>
      <c r="G328" s="2" t="s">
        <v>15</v>
      </c>
      <c r="H328" s="2">
        <v>54</v>
      </c>
      <c r="I328" s="2">
        <v>55</v>
      </c>
      <c r="J328">
        <f t="shared" si="25"/>
        <v>4</v>
      </c>
      <c r="K328">
        <f t="shared" si="26"/>
        <v>-1</v>
      </c>
      <c r="L328" t="str">
        <f t="shared" si="27"/>
        <v>Yes</v>
      </c>
      <c r="M328" t="str">
        <f t="shared" si="29"/>
        <v>No</v>
      </c>
      <c r="N328" t="str">
        <f t="shared" si="28"/>
        <v>No</v>
      </c>
    </row>
    <row r="329" spans="1:14" x14ac:dyDescent="0.3">
      <c r="A329" s="4" t="s">
        <v>675</v>
      </c>
      <c r="B329" s="4" t="s">
        <v>676</v>
      </c>
      <c r="C329" s="4" t="s">
        <v>59</v>
      </c>
      <c r="D329" s="5">
        <v>45711</v>
      </c>
      <c r="E329" s="5">
        <v>45714</v>
      </c>
      <c r="F329" s="5">
        <v>45714</v>
      </c>
      <c r="G329" s="4" t="s">
        <v>11</v>
      </c>
      <c r="H329" s="4">
        <v>17</v>
      </c>
      <c r="I329" s="2">
        <v>17</v>
      </c>
      <c r="J329">
        <f t="shared" si="25"/>
        <v>3</v>
      </c>
      <c r="K329">
        <f t="shared" si="26"/>
        <v>0</v>
      </c>
      <c r="L329" t="str">
        <f t="shared" si="27"/>
        <v>Yes</v>
      </c>
      <c r="M329" t="str">
        <f t="shared" si="29"/>
        <v>Yes</v>
      </c>
      <c r="N329" t="str">
        <f t="shared" si="28"/>
        <v>Yes</v>
      </c>
    </row>
    <row r="330" spans="1:14" x14ac:dyDescent="0.3">
      <c r="A330" s="2" t="s">
        <v>677</v>
      </c>
      <c r="B330" s="2" t="s">
        <v>678</v>
      </c>
      <c r="C330" s="2" t="s">
        <v>21</v>
      </c>
      <c r="D330" s="3">
        <v>45712</v>
      </c>
      <c r="E330" s="3">
        <v>45713</v>
      </c>
      <c r="F330" s="3">
        <v>45718</v>
      </c>
      <c r="G330" s="2" t="s">
        <v>40</v>
      </c>
      <c r="H330" s="2">
        <v>26</v>
      </c>
      <c r="I330" s="2">
        <v>26</v>
      </c>
      <c r="J330">
        <f t="shared" si="25"/>
        <v>6</v>
      </c>
      <c r="K330">
        <f t="shared" si="26"/>
        <v>5</v>
      </c>
      <c r="L330" t="str">
        <f t="shared" si="27"/>
        <v>No</v>
      </c>
      <c r="M330" t="str">
        <f t="shared" si="29"/>
        <v>Yes</v>
      </c>
      <c r="N330" t="str">
        <f t="shared" si="28"/>
        <v>No</v>
      </c>
    </row>
    <row r="331" spans="1:14" x14ac:dyDescent="0.3">
      <c r="A331" s="4" t="s">
        <v>679</v>
      </c>
      <c r="B331" s="4" t="s">
        <v>680</v>
      </c>
      <c r="C331" s="4" t="s">
        <v>21</v>
      </c>
      <c r="D331" s="5">
        <v>45710</v>
      </c>
      <c r="E331" s="5">
        <v>45719</v>
      </c>
      <c r="F331" s="5">
        <v>45715</v>
      </c>
      <c r="G331" s="4" t="s">
        <v>22</v>
      </c>
      <c r="H331" s="4">
        <v>34</v>
      </c>
      <c r="I331" s="2">
        <v>34</v>
      </c>
      <c r="J331">
        <f t="shared" si="25"/>
        <v>5</v>
      </c>
      <c r="K331">
        <f t="shared" si="26"/>
        <v>-4</v>
      </c>
      <c r="L331" t="str">
        <f t="shared" si="27"/>
        <v>Yes</v>
      </c>
      <c r="M331" t="str">
        <f t="shared" si="29"/>
        <v>Yes</v>
      </c>
      <c r="N331" t="str">
        <f t="shared" si="28"/>
        <v>Yes</v>
      </c>
    </row>
    <row r="332" spans="1:14" x14ac:dyDescent="0.3">
      <c r="A332" s="2" t="s">
        <v>681</v>
      </c>
      <c r="B332" s="2" t="s">
        <v>682</v>
      </c>
      <c r="C332" s="2" t="s">
        <v>27</v>
      </c>
      <c r="D332" s="3">
        <v>45712</v>
      </c>
      <c r="E332" s="3">
        <v>45716</v>
      </c>
      <c r="F332" s="3">
        <v>45725</v>
      </c>
      <c r="G332" s="2" t="s">
        <v>18</v>
      </c>
      <c r="H332" s="2">
        <v>8</v>
      </c>
      <c r="I332" s="2">
        <v>8</v>
      </c>
      <c r="J332">
        <f t="shared" si="25"/>
        <v>13</v>
      </c>
      <c r="K332">
        <f t="shared" si="26"/>
        <v>9</v>
      </c>
      <c r="L332" t="str">
        <f t="shared" si="27"/>
        <v>No</v>
      </c>
      <c r="M332" t="str">
        <f t="shared" si="29"/>
        <v>Yes</v>
      </c>
      <c r="N332" t="str">
        <f t="shared" si="28"/>
        <v>No</v>
      </c>
    </row>
    <row r="333" spans="1:14" x14ac:dyDescent="0.3">
      <c r="A333" s="4" t="s">
        <v>683</v>
      </c>
      <c r="B333" s="4" t="s">
        <v>684</v>
      </c>
      <c r="C333" s="4" t="s">
        <v>34</v>
      </c>
      <c r="D333" s="5">
        <v>45712</v>
      </c>
      <c r="E333" s="5">
        <v>45715</v>
      </c>
      <c r="F333" s="5">
        <v>45719</v>
      </c>
      <c r="G333" s="4" t="s">
        <v>18</v>
      </c>
      <c r="H333" s="4">
        <v>32</v>
      </c>
      <c r="I333" s="2">
        <v>32</v>
      </c>
      <c r="J333">
        <f t="shared" si="25"/>
        <v>7</v>
      </c>
      <c r="K333">
        <f t="shared" si="26"/>
        <v>4</v>
      </c>
      <c r="L333" t="str">
        <f t="shared" si="27"/>
        <v>No</v>
      </c>
      <c r="M333" t="str">
        <f t="shared" si="29"/>
        <v>Yes</v>
      </c>
      <c r="N333" t="str">
        <f t="shared" si="28"/>
        <v>No</v>
      </c>
    </row>
    <row r="334" spans="1:14" x14ac:dyDescent="0.3">
      <c r="A334" s="2" t="s">
        <v>685</v>
      </c>
      <c r="B334" s="2" t="s">
        <v>686</v>
      </c>
      <c r="C334" s="2" t="s">
        <v>72</v>
      </c>
      <c r="D334" s="3">
        <v>45712</v>
      </c>
      <c r="E334" s="3">
        <v>45717</v>
      </c>
      <c r="F334" s="3">
        <v>45725</v>
      </c>
      <c r="G334" s="2" t="s">
        <v>18</v>
      </c>
      <c r="H334" s="2">
        <v>17</v>
      </c>
      <c r="I334" s="2">
        <v>17</v>
      </c>
      <c r="J334">
        <f t="shared" si="25"/>
        <v>13</v>
      </c>
      <c r="K334">
        <f t="shared" si="26"/>
        <v>8</v>
      </c>
      <c r="L334" t="str">
        <f t="shared" si="27"/>
        <v>No</v>
      </c>
      <c r="M334" t="str">
        <f t="shared" si="29"/>
        <v>Yes</v>
      </c>
      <c r="N334" t="str">
        <f t="shared" si="28"/>
        <v>No</v>
      </c>
    </row>
    <row r="335" spans="1:14" x14ac:dyDescent="0.3">
      <c r="A335" s="4" t="s">
        <v>687</v>
      </c>
      <c r="B335" s="4" t="s">
        <v>688</v>
      </c>
      <c r="C335" s="4" t="s">
        <v>59</v>
      </c>
      <c r="D335" s="5">
        <v>45712</v>
      </c>
      <c r="E335" s="5">
        <v>45715</v>
      </c>
      <c r="F335" s="5">
        <v>45716</v>
      </c>
      <c r="G335" s="4" t="s">
        <v>40</v>
      </c>
      <c r="H335" s="4">
        <v>12</v>
      </c>
      <c r="I335" s="2">
        <v>12</v>
      </c>
      <c r="J335">
        <f t="shared" si="25"/>
        <v>4</v>
      </c>
      <c r="K335">
        <f t="shared" si="26"/>
        <v>1</v>
      </c>
      <c r="L335" t="str">
        <f t="shared" si="27"/>
        <v>No</v>
      </c>
      <c r="M335" t="str">
        <f t="shared" si="29"/>
        <v>Yes</v>
      </c>
      <c r="N335" t="str">
        <f t="shared" si="28"/>
        <v>No</v>
      </c>
    </row>
    <row r="336" spans="1:14" x14ac:dyDescent="0.3">
      <c r="A336" s="2" t="s">
        <v>689</v>
      </c>
      <c r="B336" s="2" t="s">
        <v>690</v>
      </c>
      <c r="C336" s="2" t="s">
        <v>27</v>
      </c>
      <c r="D336" s="3">
        <v>45711</v>
      </c>
      <c r="E336" s="3">
        <v>45715</v>
      </c>
      <c r="F336" s="3">
        <v>45728</v>
      </c>
      <c r="G336" s="2" t="s">
        <v>15</v>
      </c>
      <c r="H336" s="2">
        <v>25</v>
      </c>
      <c r="I336" s="2">
        <v>25</v>
      </c>
      <c r="J336">
        <f t="shared" si="25"/>
        <v>17</v>
      </c>
      <c r="K336">
        <f t="shared" si="26"/>
        <v>13</v>
      </c>
      <c r="L336" t="str">
        <f t="shared" si="27"/>
        <v>No</v>
      </c>
      <c r="M336" t="str">
        <f t="shared" si="29"/>
        <v>Yes</v>
      </c>
      <c r="N336" t="str">
        <f t="shared" si="28"/>
        <v>No</v>
      </c>
    </row>
    <row r="337" spans="1:14" x14ac:dyDescent="0.3">
      <c r="A337" s="4" t="s">
        <v>691</v>
      </c>
      <c r="B337" s="4" t="s">
        <v>692</v>
      </c>
      <c r="C337" s="4" t="s">
        <v>27</v>
      </c>
      <c r="D337" s="5">
        <v>45712</v>
      </c>
      <c r="E337" s="5">
        <v>45720</v>
      </c>
      <c r="F337" s="5">
        <v>45725</v>
      </c>
      <c r="G337" s="4" t="s">
        <v>40</v>
      </c>
      <c r="H337" s="4">
        <v>2</v>
      </c>
      <c r="I337" s="2">
        <v>2</v>
      </c>
      <c r="J337">
        <f t="shared" si="25"/>
        <v>13</v>
      </c>
      <c r="K337">
        <f t="shared" si="26"/>
        <v>5</v>
      </c>
      <c r="L337" t="str">
        <f t="shared" si="27"/>
        <v>No</v>
      </c>
      <c r="M337" t="str">
        <f t="shared" si="29"/>
        <v>Yes</v>
      </c>
      <c r="N337" t="str">
        <f t="shared" si="28"/>
        <v>No</v>
      </c>
    </row>
    <row r="338" spans="1:14" x14ac:dyDescent="0.3">
      <c r="A338" s="2" t="s">
        <v>693</v>
      </c>
      <c r="B338" s="2" t="s">
        <v>694</v>
      </c>
      <c r="C338" s="2" t="s">
        <v>27</v>
      </c>
      <c r="D338" s="3">
        <v>45712</v>
      </c>
      <c r="E338" s="3">
        <v>45720</v>
      </c>
      <c r="F338" s="3">
        <v>45726</v>
      </c>
      <c r="G338" s="2" t="s">
        <v>40</v>
      </c>
      <c r="H338" s="2">
        <v>5</v>
      </c>
      <c r="I338" s="2">
        <v>9</v>
      </c>
      <c r="J338">
        <f t="shared" si="25"/>
        <v>14</v>
      </c>
      <c r="K338">
        <f t="shared" si="26"/>
        <v>6</v>
      </c>
      <c r="L338" t="str">
        <f t="shared" si="27"/>
        <v>No</v>
      </c>
      <c r="M338" t="str">
        <f t="shared" si="29"/>
        <v>No</v>
      </c>
      <c r="N338" t="str">
        <f t="shared" si="28"/>
        <v>No</v>
      </c>
    </row>
    <row r="339" spans="1:14" x14ac:dyDescent="0.3">
      <c r="A339" s="4" t="s">
        <v>695</v>
      </c>
      <c r="B339" s="4" t="s">
        <v>696</v>
      </c>
      <c r="C339" s="4" t="s">
        <v>34</v>
      </c>
      <c r="D339" s="5">
        <v>45712</v>
      </c>
      <c r="E339" s="5">
        <v>45719</v>
      </c>
      <c r="F339" s="5">
        <v>45718</v>
      </c>
      <c r="G339" s="4" t="s">
        <v>15</v>
      </c>
      <c r="H339" s="4">
        <v>1</v>
      </c>
      <c r="I339" s="2">
        <v>4</v>
      </c>
      <c r="J339">
        <f t="shared" si="25"/>
        <v>6</v>
      </c>
      <c r="K339">
        <f t="shared" si="26"/>
        <v>-1</v>
      </c>
      <c r="L339" t="str">
        <f t="shared" si="27"/>
        <v>Yes</v>
      </c>
      <c r="M339" t="str">
        <f t="shared" si="29"/>
        <v>No</v>
      </c>
      <c r="N339" t="str">
        <f t="shared" si="28"/>
        <v>No</v>
      </c>
    </row>
    <row r="340" spans="1:14" x14ac:dyDescent="0.3">
      <c r="A340" s="2" t="s">
        <v>697</v>
      </c>
      <c r="B340" s="2" t="s">
        <v>698</v>
      </c>
      <c r="C340" s="2" t="s">
        <v>34</v>
      </c>
      <c r="D340" s="3">
        <v>45713</v>
      </c>
      <c r="E340" s="3">
        <v>45717</v>
      </c>
      <c r="F340" s="3">
        <v>45719</v>
      </c>
      <c r="G340" s="2" t="s">
        <v>11</v>
      </c>
      <c r="H340" s="2">
        <v>12</v>
      </c>
      <c r="I340" s="2">
        <v>12</v>
      </c>
      <c r="J340">
        <f t="shared" si="25"/>
        <v>6</v>
      </c>
      <c r="K340">
        <f t="shared" si="26"/>
        <v>2</v>
      </c>
      <c r="L340" t="str">
        <f t="shared" si="27"/>
        <v>No</v>
      </c>
      <c r="M340" t="str">
        <f t="shared" si="29"/>
        <v>Yes</v>
      </c>
      <c r="N340" t="str">
        <f t="shared" si="28"/>
        <v>No</v>
      </c>
    </row>
    <row r="341" spans="1:14" x14ac:dyDescent="0.3">
      <c r="A341" s="4" t="s">
        <v>699</v>
      </c>
      <c r="B341" s="4" t="s">
        <v>700</v>
      </c>
      <c r="C341" s="4" t="s">
        <v>37</v>
      </c>
      <c r="D341" s="5">
        <v>45712</v>
      </c>
      <c r="E341" s="5">
        <v>45719</v>
      </c>
      <c r="F341" s="5">
        <v>45729</v>
      </c>
      <c r="G341" s="4" t="s">
        <v>18</v>
      </c>
      <c r="H341" s="4">
        <v>23</v>
      </c>
      <c r="I341" s="2">
        <v>31</v>
      </c>
      <c r="J341">
        <f t="shared" si="25"/>
        <v>17</v>
      </c>
      <c r="K341">
        <f t="shared" si="26"/>
        <v>10</v>
      </c>
      <c r="L341" t="str">
        <f t="shared" si="27"/>
        <v>No</v>
      </c>
      <c r="M341" t="str">
        <f t="shared" si="29"/>
        <v>No</v>
      </c>
      <c r="N341" t="str">
        <f t="shared" si="28"/>
        <v>No</v>
      </c>
    </row>
    <row r="342" spans="1:14" x14ac:dyDescent="0.3">
      <c r="A342" s="2" t="s">
        <v>701</v>
      </c>
      <c r="B342" s="2" t="s">
        <v>702</v>
      </c>
      <c r="C342" s="2" t="s">
        <v>72</v>
      </c>
      <c r="D342" s="3">
        <v>45714</v>
      </c>
      <c r="E342" s="3">
        <v>45717</v>
      </c>
      <c r="F342" s="3">
        <v>45728</v>
      </c>
      <c r="G342" s="2" t="s">
        <v>22</v>
      </c>
      <c r="H342" s="2">
        <v>13</v>
      </c>
      <c r="I342" s="2">
        <v>18</v>
      </c>
      <c r="J342">
        <f t="shared" si="25"/>
        <v>14</v>
      </c>
      <c r="K342">
        <f t="shared" si="26"/>
        <v>11</v>
      </c>
      <c r="L342" t="str">
        <f t="shared" si="27"/>
        <v>No</v>
      </c>
      <c r="M342" t="str">
        <f t="shared" si="29"/>
        <v>No</v>
      </c>
      <c r="N342" t="str">
        <f t="shared" si="28"/>
        <v>No</v>
      </c>
    </row>
    <row r="343" spans="1:14" x14ac:dyDescent="0.3">
      <c r="A343" s="4" t="s">
        <v>703</v>
      </c>
      <c r="B343" s="4" t="s">
        <v>704</v>
      </c>
      <c r="C343" s="4" t="s">
        <v>10</v>
      </c>
      <c r="D343" s="5">
        <v>45714</v>
      </c>
      <c r="E343" s="5">
        <v>45716</v>
      </c>
      <c r="F343" s="5">
        <v>45721</v>
      </c>
      <c r="G343" s="4" t="s">
        <v>40</v>
      </c>
      <c r="H343" s="4">
        <v>39</v>
      </c>
      <c r="I343" s="2">
        <v>39</v>
      </c>
      <c r="J343">
        <f t="shared" si="25"/>
        <v>7</v>
      </c>
      <c r="K343">
        <f t="shared" si="26"/>
        <v>5</v>
      </c>
      <c r="L343" t="str">
        <f t="shared" si="27"/>
        <v>No</v>
      </c>
      <c r="M343" t="str">
        <f t="shared" si="29"/>
        <v>Yes</v>
      </c>
      <c r="N343" t="str">
        <f t="shared" si="28"/>
        <v>No</v>
      </c>
    </row>
    <row r="344" spans="1:14" x14ac:dyDescent="0.3">
      <c r="A344" s="2" t="s">
        <v>705</v>
      </c>
      <c r="B344" s="2" t="s">
        <v>706</v>
      </c>
      <c r="C344" s="2" t="s">
        <v>59</v>
      </c>
      <c r="D344" s="3">
        <v>45714</v>
      </c>
      <c r="E344" s="3">
        <v>45716</v>
      </c>
      <c r="F344" s="3">
        <v>45719</v>
      </c>
      <c r="G344" s="2" t="s">
        <v>11</v>
      </c>
      <c r="H344" s="2">
        <v>14</v>
      </c>
      <c r="I344" s="2">
        <v>14</v>
      </c>
      <c r="J344">
        <f t="shared" si="25"/>
        <v>5</v>
      </c>
      <c r="K344">
        <f t="shared" si="26"/>
        <v>3</v>
      </c>
      <c r="L344" t="str">
        <f t="shared" si="27"/>
        <v>No</v>
      </c>
      <c r="M344" t="str">
        <f t="shared" si="29"/>
        <v>Yes</v>
      </c>
      <c r="N344" t="str">
        <f t="shared" si="28"/>
        <v>No</v>
      </c>
    </row>
    <row r="345" spans="1:14" x14ac:dyDescent="0.3">
      <c r="A345" s="4" t="s">
        <v>707</v>
      </c>
      <c r="B345" s="4" t="s">
        <v>708</v>
      </c>
      <c r="C345" s="4" t="s">
        <v>59</v>
      </c>
      <c r="D345" s="5">
        <v>45713</v>
      </c>
      <c r="E345" s="5">
        <v>45721</v>
      </c>
      <c r="F345" s="5">
        <v>45717</v>
      </c>
      <c r="G345" s="4" t="s">
        <v>22</v>
      </c>
      <c r="H345" s="4">
        <v>33</v>
      </c>
      <c r="I345" s="2">
        <v>33</v>
      </c>
      <c r="J345">
        <f t="shared" si="25"/>
        <v>4</v>
      </c>
      <c r="K345">
        <f t="shared" si="26"/>
        <v>-4</v>
      </c>
      <c r="L345" t="str">
        <f t="shared" si="27"/>
        <v>Yes</v>
      </c>
      <c r="M345" t="str">
        <f t="shared" si="29"/>
        <v>Yes</v>
      </c>
      <c r="N345" t="str">
        <f t="shared" si="28"/>
        <v>Yes</v>
      </c>
    </row>
    <row r="346" spans="1:14" x14ac:dyDescent="0.3">
      <c r="A346" s="2" t="s">
        <v>709</v>
      </c>
      <c r="B346" s="2" t="s">
        <v>710</v>
      </c>
      <c r="C346" s="2" t="s">
        <v>14</v>
      </c>
      <c r="D346" s="3">
        <v>45712</v>
      </c>
      <c r="E346" s="3">
        <v>45720</v>
      </c>
      <c r="F346" s="3">
        <v>45726</v>
      </c>
      <c r="G346" s="2" t="s">
        <v>18</v>
      </c>
      <c r="H346" s="2">
        <v>11</v>
      </c>
      <c r="I346" s="2">
        <v>11</v>
      </c>
      <c r="J346">
        <f t="shared" si="25"/>
        <v>14</v>
      </c>
      <c r="K346">
        <f t="shared" si="26"/>
        <v>6</v>
      </c>
      <c r="L346" t="str">
        <f t="shared" si="27"/>
        <v>No</v>
      </c>
      <c r="M346" t="str">
        <f t="shared" si="29"/>
        <v>Yes</v>
      </c>
      <c r="N346" t="str">
        <f t="shared" si="28"/>
        <v>No</v>
      </c>
    </row>
    <row r="347" spans="1:14" x14ac:dyDescent="0.3">
      <c r="A347" s="4" t="s">
        <v>711</v>
      </c>
      <c r="B347" s="4" t="s">
        <v>712</v>
      </c>
      <c r="C347" s="4" t="s">
        <v>21</v>
      </c>
      <c r="D347" s="5">
        <v>45714</v>
      </c>
      <c r="E347" s="5">
        <v>45721</v>
      </c>
      <c r="F347" s="5">
        <v>45720</v>
      </c>
      <c r="G347" s="4" t="s">
        <v>18</v>
      </c>
      <c r="H347" s="4">
        <v>32</v>
      </c>
      <c r="I347" s="2">
        <v>32</v>
      </c>
      <c r="J347">
        <f t="shared" si="25"/>
        <v>6</v>
      </c>
      <c r="K347">
        <f t="shared" si="26"/>
        <v>-1</v>
      </c>
      <c r="L347" t="str">
        <f t="shared" si="27"/>
        <v>Yes</v>
      </c>
      <c r="M347" t="str">
        <f t="shared" si="29"/>
        <v>Yes</v>
      </c>
      <c r="N347" t="str">
        <f t="shared" si="28"/>
        <v>Yes</v>
      </c>
    </row>
    <row r="348" spans="1:14" x14ac:dyDescent="0.3">
      <c r="A348" s="2" t="s">
        <v>713</v>
      </c>
      <c r="B348" s="2" t="s">
        <v>714</v>
      </c>
      <c r="C348" s="2" t="s">
        <v>27</v>
      </c>
      <c r="D348" s="3">
        <v>45713</v>
      </c>
      <c r="E348" s="3">
        <v>45717</v>
      </c>
      <c r="F348" s="3">
        <v>45730</v>
      </c>
      <c r="G348" s="2" t="s">
        <v>15</v>
      </c>
      <c r="H348" s="2">
        <v>3</v>
      </c>
      <c r="I348" s="2">
        <v>3</v>
      </c>
      <c r="J348">
        <f t="shared" si="25"/>
        <v>17</v>
      </c>
      <c r="K348">
        <f t="shared" si="26"/>
        <v>13</v>
      </c>
      <c r="L348" t="str">
        <f t="shared" si="27"/>
        <v>No</v>
      </c>
      <c r="M348" t="str">
        <f t="shared" si="29"/>
        <v>Yes</v>
      </c>
      <c r="N348" t="str">
        <f t="shared" si="28"/>
        <v>No</v>
      </c>
    </row>
    <row r="349" spans="1:14" x14ac:dyDescent="0.3">
      <c r="A349" s="4" t="s">
        <v>715</v>
      </c>
      <c r="B349" s="4" t="s">
        <v>716</v>
      </c>
      <c r="C349" s="4" t="s">
        <v>27</v>
      </c>
      <c r="D349" s="5">
        <v>45714</v>
      </c>
      <c r="E349" s="5">
        <v>45722</v>
      </c>
      <c r="F349" s="5">
        <v>45726</v>
      </c>
      <c r="G349" s="4" t="s">
        <v>18</v>
      </c>
      <c r="H349" s="4">
        <v>8</v>
      </c>
      <c r="I349" s="2">
        <v>8</v>
      </c>
      <c r="J349">
        <f t="shared" si="25"/>
        <v>12</v>
      </c>
      <c r="K349">
        <f t="shared" si="26"/>
        <v>4</v>
      </c>
      <c r="L349" t="str">
        <f t="shared" si="27"/>
        <v>No</v>
      </c>
      <c r="M349" t="str">
        <f t="shared" si="29"/>
        <v>Yes</v>
      </c>
      <c r="N349" t="str">
        <f t="shared" si="28"/>
        <v>No</v>
      </c>
    </row>
    <row r="350" spans="1:14" x14ac:dyDescent="0.3">
      <c r="A350" s="2" t="s">
        <v>717</v>
      </c>
      <c r="B350" s="2" t="s">
        <v>718</v>
      </c>
      <c r="C350" s="2" t="s">
        <v>34</v>
      </c>
      <c r="D350" s="3">
        <v>45715</v>
      </c>
      <c r="E350" s="3">
        <v>45717</v>
      </c>
      <c r="F350" s="3">
        <v>45721</v>
      </c>
      <c r="G350" s="2" t="s">
        <v>15</v>
      </c>
      <c r="H350" s="2">
        <v>32</v>
      </c>
      <c r="I350" s="2">
        <v>32</v>
      </c>
      <c r="J350">
        <f t="shared" si="25"/>
        <v>6</v>
      </c>
      <c r="K350">
        <f t="shared" si="26"/>
        <v>4</v>
      </c>
      <c r="L350" t="str">
        <f t="shared" si="27"/>
        <v>No</v>
      </c>
      <c r="M350" t="str">
        <f t="shared" si="29"/>
        <v>Yes</v>
      </c>
      <c r="N350" t="str">
        <f t="shared" si="28"/>
        <v>No</v>
      </c>
    </row>
    <row r="351" spans="1:14" x14ac:dyDescent="0.3">
      <c r="A351" s="4" t="s">
        <v>719</v>
      </c>
      <c r="B351" s="4" t="s">
        <v>720</v>
      </c>
      <c r="C351" s="4" t="s">
        <v>14</v>
      </c>
      <c r="D351" s="5">
        <v>45713</v>
      </c>
      <c r="E351" s="5">
        <v>45716</v>
      </c>
      <c r="F351" s="5">
        <v>45728</v>
      </c>
      <c r="G351" s="4" t="s">
        <v>22</v>
      </c>
      <c r="H351" s="4">
        <v>17</v>
      </c>
      <c r="I351" s="2">
        <v>17</v>
      </c>
      <c r="J351">
        <f t="shared" si="25"/>
        <v>15</v>
      </c>
      <c r="K351">
        <f t="shared" si="26"/>
        <v>12</v>
      </c>
      <c r="L351" t="str">
        <f t="shared" si="27"/>
        <v>No</v>
      </c>
      <c r="M351" t="str">
        <f t="shared" si="29"/>
        <v>Yes</v>
      </c>
      <c r="N351" t="str">
        <f t="shared" si="28"/>
        <v>No</v>
      </c>
    </row>
    <row r="352" spans="1:14" x14ac:dyDescent="0.3">
      <c r="A352" s="2" t="s">
        <v>721</v>
      </c>
      <c r="B352" s="2" t="s">
        <v>722</v>
      </c>
      <c r="C352" s="2" t="s">
        <v>59</v>
      </c>
      <c r="D352" s="3">
        <v>45713</v>
      </c>
      <c r="E352" s="3">
        <v>45722</v>
      </c>
      <c r="F352" s="3">
        <v>45717</v>
      </c>
      <c r="G352" s="2" t="s">
        <v>22</v>
      </c>
      <c r="H352" s="2">
        <v>24</v>
      </c>
      <c r="I352" s="2">
        <v>24</v>
      </c>
      <c r="J352">
        <f t="shared" si="25"/>
        <v>4</v>
      </c>
      <c r="K352">
        <f t="shared" si="26"/>
        <v>-5</v>
      </c>
      <c r="L352" t="str">
        <f t="shared" si="27"/>
        <v>Yes</v>
      </c>
      <c r="M352" t="str">
        <f t="shared" si="29"/>
        <v>Yes</v>
      </c>
      <c r="N352" t="str">
        <f t="shared" si="28"/>
        <v>Yes</v>
      </c>
    </row>
    <row r="353" spans="1:14" x14ac:dyDescent="0.3">
      <c r="A353" s="4" t="s">
        <v>723</v>
      </c>
      <c r="B353" s="4" t="s">
        <v>724</v>
      </c>
      <c r="C353" s="4" t="s">
        <v>21</v>
      </c>
      <c r="D353" s="5">
        <v>45714</v>
      </c>
      <c r="E353" s="5">
        <v>45719</v>
      </c>
      <c r="F353" s="5">
        <v>45721</v>
      </c>
      <c r="G353" s="4" t="s">
        <v>40</v>
      </c>
      <c r="H353" s="4">
        <v>27</v>
      </c>
      <c r="I353" s="2">
        <v>27</v>
      </c>
      <c r="J353">
        <f t="shared" si="25"/>
        <v>7</v>
      </c>
      <c r="K353">
        <f t="shared" si="26"/>
        <v>2</v>
      </c>
      <c r="L353" t="str">
        <f t="shared" si="27"/>
        <v>No</v>
      </c>
      <c r="M353" t="str">
        <f t="shared" si="29"/>
        <v>Yes</v>
      </c>
      <c r="N353" t="str">
        <f t="shared" si="28"/>
        <v>No</v>
      </c>
    </row>
    <row r="354" spans="1:14" x14ac:dyDescent="0.3">
      <c r="A354" s="2" t="s">
        <v>725</v>
      </c>
      <c r="B354" s="2" t="s">
        <v>726</v>
      </c>
      <c r="C354" s="2" t="s">
        <v>21</v>
      </c>
      <c r="D354" s="3">
        <v>45714</v>
      </c>
      <c r="E354" s="3">
        <v>45723</v>
      </c>
      <c r="F354" s="3">
        <v>45720</v>
      </c>
      <c r="G354" s="2" t="s">
        <v>18</v>
      </c>
      <c r="H354" s="2">
        <v>29</v>
      </c>
      <c r="I354" s="2">
        <v>29</v>
      </c>
      <c r="J354">
        <f t="shared" si="25"/>
        <v>6</v>
      </c>
      <c r="K354">
        <f t="shared" si="26"/>
        <v>-3</v>
      </c>
      <c r="L354" t="str">
        <f t="shared" si="27"/>
        <v>Yes</v>
      </c>
      <c r="M354" t="str">
        <f t="shared" si="29"/>
        <v>Yes</v>
      </c>
      <c r="N354" t="str">
        <f t="shared" si="28"/>
        <v>Yes</v>
      </c>
    </row>
    <row r="355" spans="1:14" x14ac:dyDescent="0.3">
      <c r="A355" s="4" t="s">
        <v>727</v>
      </c>
      <c r="B355" s="4" t="s">
        <v>728</v>
      </c>
      <c r="C355" s="4" t="s">
        <v>21</v>
      </c>
      <c r="D355" s="5">
        <v>45715</v>
      </c>
      <c r="E355" s="5">
        <v>45720</v>
      </c>
      <c r="F355" s="5">
        <v>45722</v>
      </c>
      <c r="G355" s="4" t="s">
        <v>18</v>
      </c>
      <c r="H355" s="4">
        <v>31</v>
      </c>
      <c r="I355" s="2">
        <v>31</v>
      </c>
      <c r="J355">
        <f t="shared" si="25"/>
        <v>7</v>
      </c>
      <c r="K355">
        <f t="shared" si="26"/>
        <v>2</v>
      </c>
      <c r="L355" t="str">
        <f t="shared" si="27"/>
        <v>No</v>
      </c>
      <c r="M355" t="str">
        <f t="shared" si="29"/>
        <v>Yes</v>
      </c>
      <c r="N355" t="str">
        <f t="shared" si="28"/>
        <v>No</v>
      </c>
    </row>
    <row r="356" spans="1:14" x14ac:dyDescent="0.3">
      <c r="A356" s="2" t="s">
        <v>729</v>
      </c>
      <c r="B356" s="2" t="s">
        <v>730</v>
      </c>
      <c r="C356" s="2" t="s">
        <v>27</v>
      </c>
      <c r="D356" s="3">
        <v>45713</v>
      </c>
      <c r="E356" s="3">
        <v>45718</v>
      </c>
      <c r="F356" s="3">
        <v>45725</v>
      </c>
      <c r="G356" s="2" t="s">
        <v>11</v>
      </c>
      <c r="H356" s="2">
        <v>15</v>
      </c>
      <c r="I356" s="2">
        <v>15</v>
      </c>
      <c r="J356">
        <f t="shared" si="25"/>
        <v>12</v>
      </c>
      <c r="K356">
        <f t="shared" si="26"/>
        <v>7</v>
      </c>
      <c r="L356" t="str">
        <f t="shared" si="27"/>
        <v>No</v>
      </c>
      <c r="M356" t="str">
        <f t="shared" si="29"/>
        <v>Yes</v>
      </c>
      <c r="N356" t="str">
        <f t="shared" si="28"/>
        <v>No</v>
      </c>
    </row>
    <row r="357" spans="1:14" x14ac:dyDescent="0.3">
      <c r="A357" s="4" t="s">
        <v>731</v>
      </c>
      <c r="B357" s="4" t="s">
        <v>732</v>
      </c>
      <c r="C357" s="4" t="s">
        <v>37</v>
      </c>
      <c r="D357" s="5">
        <v>45715</v>
      </c>
      <c r="E357" s="5">
        <v>45721</v>
      </c>
      <c r="F357" s="5">
        <v>45732</v>
      </c>
      <c r="G357" s="4" t="s">
        <v>40</v>
      </c>
      <c r="H357" s="4">
        <v>14</v>
      </c>
      <c r="I357" s="2">
        <v>14</v>
      </c>
      <c r="J357">
        <f t="shared" si="25"/>
        <v>17</v>
      </c>
      <c r="K357">
        <f t="shared" si="26"/>
        <v>11</v>
      </c>
      <c r="L357" t="str">
        <f t="shared" si="27"/>
        <v>No</v>
      </c>
      <c r="M357" t="str">
        <f t="shared" si="29"/>
        <v>Yes</v>
      </c>
      <c r="N357" t="str">
        <f t="shared" si="28"/>
        <v>No</v>
      </c>
    </row>
    <row r="358" spans="1:14" x14ac:dyDescent="0.3">
      <c r="A358" s="2" t="s">
        <v>733</v>
      </c>
      <c r="B358" s="2" t="s">
        <v>734</v>
      </c>
      <c r="C358" s="2" t="s">
        <v>10</v>
      </c>
      <c r="D358" s="3">
        <v>45714</v>
      </c>
      <c r="E358" s="3">
        <v>45720</v>
      </c>
      <c r="F358" s="3">
        <v>45719</v>
      </c>
      <c r="G358" s="2" t="s">
        <v>18</v>
      </c>
      <c r="H358" s="2">
        <v>6</v>
      </c>
      <c r="I358" s="2">
        <v>14</v>
      </c>
      <c r="J358">
        <f t="shared" si="25"/>
        <v>5</v>
      </c>
      <c r="K358">
        <f t="shared" si="26"/>
        <v>-1</v>
      </c>
      <c r="L358" t="str">
        <f t="shared" si="27"/>
        <v>Yes</v>
      </c>
      <c r="M358" t="str">
        <f t="shared" si="29"/>
        <v>No</v>
      </c>
      <c r="N358" t="str">
        <f t="shared" si="28"/>
        <v>No</v>
      </c>
    </row>
    <row r="359" spans="1:14" x14ac:dyDescent="0.3">
      <c r="A359" s="4" t="s">
        <v>735</v>
      </c>
      <c r="B359" s="4" t="s">
        <v>736</v>
      </c>
      <c r="C359" s="4" t="s">
        <v>59</v>
      </c>
      <c r="D359" s="5">
        <v>45714</v>
      </c>
      <c r="E359" s="5">
        <v>45724</v>
      </c>
      <c r="F359" s="5">
        <v>45717</v>
      </c>
      <c r="G359" s="4" t="s">
        <v>40</v>
      </c>
      <c r="H359" s="4">
        <v>40</v>
      </c>
      <c r="I359" s="2">
        <v>40</v>
      </c>
      <c r="J359">
        <f t="shared" si="25"/>
        <v>3</v>
      </c>
      <c r="K359">
        <f t="shared" si="26"/>
        <v>-7</v>
      </c>
      <c r="L359" t="str">
        <f t="shared" si="27"/>
        <v>Yes</v>
      </c>
      <c r="M359" t="str">
        <f t="shared" si="29"/>
        <v>Yes</v>
      </c>
      <c r="N359" t="str">
        <f t="shared" si="28"/>
        <v>Yes</v>
      </c>
    </row>
    <row r="360" spans="1:14" x14ac:dyDescent="0.3">
      <c r="A360" s="2" t="s">
        <v>737</v>
      </c>
      <c r="B360" s="2" t="s">
        <v>738</v>
      </c>
      <c r="C360" s="2" t="s">
        <v>21</v>
      </c>
      <c r="D360" s="3">
        <v>45716</v>
      </c>
      <c r="E360" s="3">
        <v>45718</v>
      </c>
      <c r="F360" s="3">
        <v>45726</v>
      </c>
      <c r="G360" s="2" t="s">
        <v>11</v>
      </c>
      <c r="H360" s="2">
        <v>49</v>
      </c>
      <c r="I360" s="2">
        <v>49</v>
      </c>
      <c r="J360">
        <f t="shared" si="25"/>
        <v>10</v>
      </c>
      <c r="K360">
        <f t="shared" si="26"/>
        <v>8</v>
      </c>
      <c r="L360" t="str">
        <f t="shared" si="27"/>
        <v>No</v>
      </c>
      <c r="M360" t="str">
        <f t="shared" si="29"/>
        <v>Yes</v>
      </c>
      <c r="N360" t="str">
        <f t="shared" si="28"/>
        <v>No</v>
      </c>
    </row>
    <row r="361" spans="1:14" x14ac:dyDescent="0.3">
      <c r="A361" s="4" t="s">
        <v>739</v>
      </c>
      <c r="B361" s="4" t="s">
        <v>740</v>
      </c>
      <c r="C361" s="4" t="s">
        <v>27</v>
      </c>
      <c r="D361" s="5">
        <v>45716</v>
      </c>
      <c r="E361" s="5">
        <v>45717</v>
      </c>
      <c r="F361" s="5">
        <v>45733</v>
      </c>
      <c r="G361" s="4" t="s">
        <v>18</v>
      </c>
      <c r="H361" s="4">
        <v>1</v>
      </c>
      <c r="I361" s="2">
        <v>7</v>
      </c>
      <c r="J361">
        <f t="shared" si="25"/>
        <v>17</v>
      </c>
      <c r="K361">
        <f t="shared" si="26"/>
        <v>16</v>
      </c>
      <c r="L361" t="str">
        <f t="shared" si="27"/>
        <v>No</v>
      </c>
      <c r="M361" t="str">
        <f t="shared" si="29"/>
        <v>No</v>
      </c>
      <c r="N361" t="str">
        <f t="shared" si="28"/>
        <v>No</v>
      </c>
    </row>
    <row r="362" spans="1:14" x14ac:dyDescent="0.3">
      <c r="A362" s="2" t="s">
        <v>741</v>
      </c>
      <c r="B362" s="2" t="s">
        <v>742</v>
      </c>
      <c r="C362" s="2" t="s">
        <v>34</v>
      </c>
      <c r="D362" s="3">
        <v>45715</v>
      </c>
      <c r="E362" s="3">
        <v>45719</v>
      </c>
      <c r="F362" s="3">
        <v>45721</v>
      </c>
      <c r="G362" s="2" t="s">
        <v>22</v>
      </c>
      <c r="H362" s="2">
        <v>27</v>
      </c>
      <c r="I362" s="2">
        <v>35</v>
      </c>
      <c r="J362">
        <f t="shared" si="25"/>
        <v>6</v>
      </c>
      <c r="K362">
        <f t="shared" si="26"/>
        <v>2</v>
      </c>
      <c r="L362" t="str">
        <f t="shared" si="27"/>
        <v>No</v>
      </c>
      <c r="M362" t="str">
        <f t="shared" si="29"/>
        <v>No</v>
      </c>
      <c r="N362" t="str">
        <f t="shared" si="28"/>
        <v>No</v>
      </c>
    </row>
    <row r="363" spans="1:14" x14ac:dyDescent="0.3">
      <c r="A363" s="4" t="s">
        <v>743</v>
      </c>
      <c r="B363" s="4" t="s">
        <v>744</v>
      </c>
      <c r="C363" s="4" t="s">
        <v>72</v>
      </c>
      <c r="D363" s="5">
        <v>45717</v>
      </c>
      <c r="E363" s="5">
        <v>45724</v>
      </c>
      <c r="F363" s="5">
        <v>45732</v>
      </c>
      <c r="G363" s="4" t="s">
        <v>18</v>
      </c>
      <c r="H363" s="4">
        <v>9</v>
      </c>
      <c r="I363" s="2">
        <v>11</v>
      </c>
      <c r="J363">
        <f t="shared" si="25"/>
        <v>15</v>
      </c>
      <c r="K363">
        <f t="shared" si="26"/>
        <v>8</v>
      </c>
      <c r="L363" t="str">
        <f t="shared" si="27"/>
        <v>No</v>
      </c>
      <c r="M363" t="str">
        <f t="shared" si="29"/>
        <v>No</v>
      </c>
      <c r="N363" t="str">
        <f t="shared" si="28"/>
        <v>No</v>
      </c>
    </row>
    <row r="364" spans="1:14" x14ac:dyDescent="0.3">
      <c r="A364" s="2" t="s">
        <v>745</v>
      </c>
      <c r="B364" s="2" t="s">
        <v>746</v>
      </c>
      <c r="C364" s="2" t="s">
        <v>14</v>
      </c>
      <c r="D364" s="3">
        <v>45716</v>
      </c>
      <c r="E364" s="3">
        <v>45724</v>
      </c>
      <c r="F364" s="3">
        <v>45731</v>
      </c>
      <c r="G364" s="2" t="s">
        <v>40</v>
      </c>
      <c r="H364" s="2">
        <v>16</v>
      </c>
      <c r="I364" s="2">
        <v>16</v>
      </c>
      <c r="J364">
        <f t="shared" si="25"/>
        <v>15</v>
      </c>
      <c r="K364">
        <f t="shared" si="26"/>
        <v>7</v>
      </c>
      <c r="L364" t="str">
        <f t="shared" si="27"/>
        <v>No</v>
      </c>
      <c r="M364" t="str">
        <f t="shared" si="29"/>
        <v>Yes</v>
      </c>
      <c r="N364" t="str">
        <f t="shared" si="28"/>
        <v>No</v>
      </c>
    </row>
    <row r="365" spans="1:14" x14ac:dyDescent="0.3">
      <c r="A365" s="4" t="s">
        <v>747</v>
      </c>
      <c r="B365" s="4" t="s">
        <v>748</v>
      </c>
      <c r="C365" s="4" t="s">
        <v>21</v>
      </c>
      <c r="D365" s="5">
        <v>45716</v>
      </c>
      <c r="E365" s="5">
        <v>45723</v>
      </c>
      <c r="F365" s="5">
        <v>45722</v>
      </c>
      <c r="G365" s="4" t="s">
        <v>40</v>
      </c>
      <c r="H365" s="4">
        <v>39</v>
      </c>
      <c r="I365" s="2">
        <v>39</v>
      </c>
      <c r="J365">
        <f t="shared" si="25"/>
        <v>6</v>
      </c>
      <c r="K365">
        <f t="shared" si="26"/>
        <v>-1</v>
      </c>
      <c r="L365" t="str">
        <f t="shared" si="27"/>
        <v>Yes</v>
      </c>
      <c r="M365" t="str">
        <f t="shared" si="29"/>
        <v>Yes</v>
      </c>
      <c r="N365" t="str">
        <f t="shared" si="28"/>
        <v>Yes</v>
      </c>
    </row>
    <row r="366" spans="1:14" x14ac:dyDescent="0.3">
      <c r="A366" s="2" t="s">
        <v>749</v>
      </c>
      <c r="B366" s="2" t="s">
        <v>750</v>
      </c>
      <c r="C366" s="2" t="s">
        <v>21</v>
      </c>
      <c r="D366" s="3">
        <v>45717</v>
      </c>
      <c r="E366" s="3">
        <v>45725</v>
      </c>
      <c r="F366" s="3">
        <v>45723</v>
      </c>
      <c r="G366" s="2" t="s">
        <v>22</v>
      </c>
      <c r="H366" s="2">
        <v>38</v>
      </c>
      <c r="I366" s="2">
        <v>38</v>
      </c>
      <c r="J366">
        <f t="shared" si="25"/>
        <v>6</v>
      </c>
      <c r="K366">
        <f t="shared" si="26"/>
        <v>-2</v>
      </c>
      <c r="L366" t="str">
        <f t="shared" si="27"/>
        <v>Yes</v>
      </c>
      <c r="M366" t="str">
        <f t="shared" si="29"/>
        <v>Yes</v>
      </c>
      <c r="N366" t="str">
        <f t="shared" si="28"/>
        <v>Yes</v>
      </c>
    </row>
    <row r="367" spans="1:14" x14ac:dyDescent="0.3">
      <c r="A367" s="4" t="s">
        <v>751</v>
      </c>
      <c r="B367" s="4" t="s">
        <v>752</v>
      </c>
      <c r="C367" s="4" t="s">
        <v>27</v>
      </c>
      <c r="D367" s="5">
        <v>45715</v>
      </c>
      <c r="E367" s="5">
        <v>45719</v>
      </c>
      <c r="F367" s="5">
        <v>45732</v>
      </c>
      <c r="G367" s="4" t="s">
        <v>15</v>
      </c>
      <c r="H367" s="4">
        <v>33</v>
      </c>
      <c r="I367" s="2">
        <v>34</v>
      </c>
      <c r="J367">
        <f t="shared" si="25"/>
        <v>17</v>
      </c>
      <c r="K367">
        <f t="shared" si="26"/>
        <v>13</v>
      </c>
      <c r="L367" t="str">
        <f t="shared" si="27"/>
        <v>No</v>
      </c>
      <c r="M367" t="str">
        <f t="shared" si="29"/>
        <v>No</v>
      </c>
      <c r="N367" t="str">
        <f t="shared" si="28"/>
        <v>No</v>
      </c>
    </row>
    <row r="368" spans="1:14" x14ac:dyDescent="0.3">
      <c r="A368" s="2" t="s">
        <v>753</v>
      </c>
      <c r="B368" s="2" t="s">
        <v>754</v>
      </c>
      <c r="C368" s="2" t="s">
        <v>34</v>
      </c>
      <c r="D368" s="3">
        <v>45717</v>
      </c>
      <c r="E368" s="3">
        <v>45721</v>
      </c>
      <c r="F368" s="3">
        <v>45724</v>
      </c>
      <c r="G368" s="2" t="s">
        <v>40</v>
      </c>
      <c r="H368" s="2">
        <v>42</v>
      </c>
      <c r="I368" s="2">
        <v>42</v>
      </c>
      <c r="J368">
        <f t="shared" si="25"/>
        <v>7</v>
      </c>
      <c r="K368">
        <f t="shared" si="26"/>
        <v>3</v>
      </c>
      <c r="L368" t="str">
        <f t="shared" si="27"/>
        <v>No</v>
      </c>
      <c r="M368" t="str">
        <f t="shared" si="29"/>
        <v>Yes</v>
      </c>
      <c r="N368" t="str">
        <f t="shared" si="28"/>
        <v>No</v>
      </c>
    </row>
    <row r="369" spans="1:14" x14ac:dyDescent="0.3">
      <c r="A369" s="4" t="s">
        <v>755</v>
      </c>
      <c r="B369" s="4" t="s">
        <v>756</v>
      </c>
      <c r="C369" s="4" t="s">
        <v>37</v>
      </c>
      <c r="D369" s="5">
        <v>45717</v>
      </c>
      <c r="E369" s="5">
        <v>45725</v>
      </c>
      <c r="F369" s="5">
        <v>45731</v>
      </c>
      <c r="G369" s="4" t="s">
        <v>22</v>
      </c>
      <c r="H369" s="4">
        <v>10</v>
      </c>
      <c r="I369" s="2">
        <v>17</v>
      </c>
      <c r="J369">
        <f t="shared" si="25"/>
        <v>14</v>
      </c>
      <c r="K369">
        <f t="shared" si="26"/>
        <v>6</v>
      </c>
      <c r="L369" t="str">
        <f t="shared" si="27"/>
        <v>No</v>
      </c>
      <c r="M369" t="str">
        <f t="shared" si="29"/>
        <v>No</v>
      </c>
      <c r="N369" t="str">
        <f t="shared" si="28"/>
        <v>No</v>
      </c>
    </row>
    <row r="370" spans="1:14" x14ac:dyDescent="0.3">
      <c r="A370" s="2" t="s">
        <v>757</v>
      </c>
      <c r="B370" s="2" t="s">
        <v>758</v>
      </c>
      <c r="C370" s="2" t="s">
        <v>10</v>
      </c>
      <c r="D370" s="3">
        <v>45716</v>
      </c>
      <c r="E370" s="3">
        <v>45722</v>
      </c>
      <c r="F370" s="3">
        <v>45722</v>
      </c>
      <c r="G370" s="2" t="s">
        <v>18</v>
      </c>
      <c r="H370" s="2">
        <v>22</v>
      </c>
      <c r="I370" s="2">
        <v>22</v>
      </c>
      <c r="J370">
        <f t="shared" si="25"/>
        <v>6</v>
      </c>
      <c r="K370">
        <f t="shared" si="26"/>
        <v>0</v>
      </c>
      <c r="L370" t="str">
        <f t="shared" si="27"/>
        <v>Yes</v>
      </c>
      <c r="M370" t="str">
        <f t="shared" si="29"/>
        <v>Yes</v>
      </c>
      <c r="N370" t="str">
        <f t="shared" si="28"/>
        <v>Yes</v>
      </c>
    </row>
    <row r="371" spans="1:14" x14ac:dyDescent="0.3">
      <c r="A371" s="4" t="s">
        <v>759</v>
      </c>
      <c r="B371" s="4" t="s">
        <v>760</v>
      </c>
      <c r="C371" s="4" t="s">
        <v>72</v>
      </c>
      <c r="D371" s="5">
        <v>45716</v>
      </c>
      <c r="E371" s="5">
        <v>45722</v>
      </c>
      <c r="F371" s="5">
        <v>45731</v>
      </c>
      <c r="G371" s="4" t="s">
        <v>18</v>
      </c>
      <c r="H371" s="4">
        <v>10</v>
      </c>
      <c r="I371" s="2">
        <v>10</v>
      </c>
      <c r="J371">
        <f t="shared" si="25"/>
        <v>15</v>
      </c>
      <c r="K371">
        <f t="shared" si="26"/>
        <v>9</v>
      </c>
      <c r="L371" t="str">
        <f t="shared" si="27"/>
        <v>No</v>
      </c>
      <c r="M371" t="str">
        <f t="shared" si="29"/>
        <v>Yes</v>
      </c>
      <c r="N371" t="str">
        <f t="shared" si="28"/>
        <v>No</v>
      </c>
    </row>
    <row r="372" spans="1:14" x14ac:dyDescent="0.3">
      <c r="A372" s="2" t="s">
        <v>761</v>
      </c>
      <c r="B372" s="2" t="s">
        <v>762</v>
      </c>
      <c r="C372" s="2" t="s">
        <v>59</v>
      </c>
      <c r="D372" s="3">
        <v>45717</v>
      </c>
      <c r="E372" s="3">
        <v>45721</v>
      </c>
      <c r="F372" s="3">
        <v>45723</v>
      </c>
      <c r="G372" s="2" t="s">
        <v>18</v>
      </c>
      <c r="H372" s="2">
        <v>30</v>
      </c>
      <c r="I372" s="2">
        <v>30</v>
      </c>
      <c r="J372">
        <f t="shared" si="25"/>
        <v>6</v>
      </c>
      <c r="K372">
        <f t="shared" si="26"/>
        <v>2</v>
      </c>
      <c r="L372" t="str">
        <f t="shared" si="27"/>
        <v>No</v>
      </c>
      <c r="M372" t="str">
        <f t="shared" si="29"/>
        <v>Yes</v>
      </c>
      <c r="N372" t="str">
        <f t="shared" si="28"/>
        <v>No</v>
      </c>
    </row>
    <row r="373" spans="1:14" x14ac:dyDescent="0.3">
      <c r="A373" s="4" t="s">
        <v>763</v>
      </c>
      <c r="B373" s="4" t="s">
        <v>764</v>
      </c>
      <c r="C373" s="4" t="s">
        <v>21</v>
      </c>
      <c r="D373" s="5">
        <v>45718</v>
      </c>
      <c r="E373" s="5">
        <v>45720</v>
      </c>
      <c r="F373" s="5">
        <v>45726</v>
      </c>
      <c r="G373" s="4" t="s">
        <v>18</v>
      </c>
      <c r="H373" s="4">
        <v>53</v>
      </c>
      <c r="I373" s="2">
        <v>54</v>
      </c>
      <c r="J373">
        <f t="shared" si="25"/>
        <v>8</v>
      </c>
      <c r="K373">
        <f t="shared" si="26"/>
        <v>6</v>
      </c>
      <c r="L373" t="str">
        <f t="shared" si="27"/>
        <v>No</v>
      </c>
      <c r="M373" t="str">
        <f t="shared" si="29"/>
        <v>No</v>
      </c>
      <c r="N373" t="str">
        <f t="shared" si="28"/>
        <v>No</v>
      </c>
    </row>
    <row r="374" spans="1:14" x14ac:dyDescent="0.3">
      <c r="A374" s="2" t="s">
        <v>765</v>
      </c>
      <c r="B374" s="2" t="s">
        <v>766</v>
      </c>
      <c r="C374" s="2" t="s">
        <v>34</v>
      </c>
      <c r="D374" s="3">
        <v>45717</v>
      </c>
      <c r="E374" s="3">
        <v>45724</v>
      </c>
      <c r="F374" s="3">
        <v>45726</v>
      </c>
      <c r="G374" s="2" t="s">
        <v>18</v>
      </c>
      <c r="H374" s="2">
        <v>40</v>
      </c>
      <c r="I374" s="2">
        <v>42</v>
      </c>
      <c r="J374">
        <f t="shared" si="25"/>
        <v>9</v>
      </c>
      <c r="K374">
        <f t="shared" si="26"/>
        <v>2</v>
      </c>
      <c r="L374" t="str">
        <f t="shared" si="27"/>
        <v>No</v>
      </c>
      <c r="M374" t="str">
        <f t="shared" si="29"/>
        <v>No</v>
      </c>
      <c r="N374" t="str">
        <f t="shared" si="28"/>
        <v>No</v>
      </c>
    </row>
    <row r="375" spans="1:14" x14ac:dyDescent="0.3">
      <c r="A375" s="4" t="s">
        <v>767</v>
      </c>
      <c r="B375" s="4" t="s">
        <v>768</v>
      </c>
      <c r="C375" s="4" t="s">
        <v>34</v>
      </c>
      <c r="D375" s="5">
        <v>45717</v>
      </c>
      <c r="E375" s="5">
        <v>45723</v>
      </c>
      <c r="F375" s="5">
        <v>45724</v>
      </c>
      <c r="G375" s="4" t="s">
        <v>15</v>
      </c>
      <c r="H375" s="4">
        <v>21</v>
      </c>
      <c r="I375" s="2">
        <v>21</v>
      </c>
      <c r="J375">
        <f t="shared" si="25"/>
        <v>7</v>
      </c>
      <c r="K375">
        <f t="shared" si="26"/>
        <v>1</v>
      </c>
      <c r="L375" t="str">
        <f t="shared" si="27"/>
        <v>No</v>
      </c>
      <c r="M375" t="str">
        <f t="shared" si="29"/>
        <v>Yes</v>
      </c>
      <c r="N375" t="str">
        <f t="shared" si="28"/>
        <v>No</v>
      </c>
    </row>
    <row r="376" spans="1:14" x14ac:dyDescent="0.3">
      <c r="A376" s="2" t="s">
        <v>769</v>
      </c>
      <c r="B376" s="2" t="s">
        <v>770</v>
      </c>
      <c r="C376" s="2" t="s">
        <v>10</v>
      </c>
      <c r="D376" s="3">
        <v>45717</v>
      </c>
      <c r="E376" s="3">
        <v>45726</v>
      </c>
      <c r="F376" s="3">
        <v>45722</v>
      </c>
      <c r="G376" s="2" t="s">
        <v>18</v>
      </c>
      <c r="H376" s="2">
        <v>12</v>
      </c>
      <c r="I376" s="2">
        <v>12</v>
      </c>
      <c r="J376">
        <f t="shared" si="25"/>
        <v>5</v>
      </c>
      <c r="K376">
        <f t="shared" si="26"/>
        <v>-4</v>
      </c>
      <c r="L376" t="str">
        <f t="shared" si="27"/>
        <v>Yes</v>
      </c>
      <c r="M376" t="str">
        <f t="shared" si="29"/>
        <v>Yes</v>
      </c>
      <c r="N376" t="str">
        <f t="shared" si="28"/>
        <v>Yes</v>
      </c>
    </row>
    <row r="377" spans="1:14" x14ac:dyDescent="0.3">
      <c r="A377" s="4" t="s">
        <v>771</v>
      </c>
      <c r="B377" s="4" t="s">
        <v>772</v>
      </c>
      <c r="C377" s="4" t="s">
        <v>10</v>
      </c>
      <c r="D377" s="5">
        <v>45718</v>
      </c>
      <c r="E377" s="5">
        <v>45727</v>
      </c>
      <c r="F377" s="5">
        <v>45725</v>
      </c>
      <c r="G377" s="4" t="s">
        <v>22</v>
      </c>
      <c r="H377" s="4">
        <v>8</v>
      </c>
      <c r="I377" s="2">
        <v>8</v>
      </c>
      <c r="J377">
        <f t="shared" si="25"/>
        <v>7</v>
      </c>
      <c r="K377">
        <f t="shared" si="26"/>
        <v>-2</v>
      </c>
      <c r="L377" t="str">
        <f t="shared" si="27"/>
        <v>Yes</v>
      </c>
      <c r="M377" t="str">
        <f t="shared" si="29"/>
        <v>Yes</v>
      </c>
      <c r="N377" t="str">
        <f t="shared" si="28"/>
        <v>Yes</v>
      </c>
    </row>
    <row r="378" spans="1:14" x14ac:dyDescent="0.3">
      <c r="A378" s="2" t="s">
        <v>773</v>
      </c>
      <c r="B378" s="2" t="s">
        <v>774</v>
      </c>
      <c r="C378" s="2" t="s">
        <v>14</v>
      </c>
      <c r="D378" s="3">
        <v>45719</v>
      </c>
      <c r="E378" s="3">
        <v>45720</v>
      </c>
      <c r="F378" s="3">
        <v>45738</v>
      </c>
      <c r="G378" s="2" t="s">
        <v>15</v>
      </c>
      <c r="H378" s="2">
        <v>16</v>
      </c>
      <c r="I378" s="2">
        <v>16</v>
      </c>
      <c r="J378">
        <f t="shared" si="25"/>
        <v>19</v>
      </c>
      <c r="K378">
        <f t="shared" si="26"/>
        <v>18</v>
      </c>
      <c r="L378" t="str">
        <f t="shared" si="27"/>
        <v>No</v>
      </c>
      <c r="M378" t="str">
        <f t="shared" si="29"/>
        <v>Yes</v>
      </c>
      <c r="N378" t="str">
        <f t="shared" si="28"/>
        <v>No</v>
      </c>
    </row>
    <row r="379" spans="1:14" x14ac:dyDescent="0.3">
      <c r="A379" s="4" t="s">
        <v>775</v>
      </c>
      <c r="B379" s="4" t="s">
        <v>776</v>
      </c>
      <c r="C379" s="4" t="s">
        <v>21</v>
      </c>
      <c r="D379" s="5">
        <v>45718</v>
      </c>
      <c r="E379" s="5">
        <v>45726</v>
      </c>
      <c r="F379" s="5">
        <v>45726</v>
      </c>
      <c r="G379" s="4" t="s">
        <v>11</v>
      </c>
      <c r="H379" s="4">
        <v>45</v>
      </c>
      <c r="I379" s="2">
        <v>52</v>
      </c>
      <c r="J379">
        <f t="shared" si="25"/>
        <v>8</v>
      </c>
      <c r="K379">
        <f t="shared" si="26"/>
        <v>0</v>
      </c>
      <c r="L379" t="str">
        <f t="shared" si="27"/>
        <v>Yes</v>
      </c>
      <c r="M379" t="str">
        <f t="shared" si="29"/>
        <v>No</v>
      </c>
      <c r="N379" t="str">
        <f t="shared" si="28"/>
        <v>No</v>
      </c>
    </row>
    <row r="380" spans="1:14" x14ac:dyDescent="0.3">
      <c r="A380" s="2" t="s">
        <v>777</v>
      </c>
      <c r="B380" s="2" t="s">
        <v>778</v>
      </c>
      <c r="C380" s="2" t="s">
        <v>21</v>
      </c>
      <c r="D380" s="3">
        <v>45718</v>
      </c>
      <c r="E380" s="3">
        <v>45727</v>
      </c>
      <c r="F380" s="3">
        <v>45725</v>
      </c>
      <c r="G380" s="2" t="s">
        <v>11</v>
      </c>
      <c r="H380" s="2">
        <v>12</v>
      </c>
      <c r="I380" s="2">
        <v>12</v>
      </c>
      <c r="J380">
        <f t="shared" si="25"/>
        <v>7</v>
      </c>
      <c r="K380">
        <f t="shared" si="26"/>
        <v>-2</v>
      </c>
      <c r="L380" t="str">
        <f t="shared" si="27"/>
        <v>Yes</v>
      </c>
      <c r="M380" t="str">
        <f t="shared" si="29"/>
        <v>Yes</v>
      </c>
      <c r="N380" t="str">
        <f t="shared" si="28"/>
        <v>Yes</v>
      </c>
    </row>
    <row r="381" spans="1:14" x14ac:dyDescent="0.3">
      <c r="A381" s="4" t="s">
        <v>779</v>
      </c>
      <c r="B381" s="4" t="s">
        <v>780</v>
      </c>
      <c r="C381" s="4" t="s">
        <v>27</v>
      </c>
      <c r="D381" s="5">
        <v>45717</v>
      </c>
      <c r="E381" s="5">
        <v>45720</v>
      </c>
      <c r="F381" s="5">
        <v>45730</v>
      </c>
      <c r="G381" s="4" t="s">
        <v>11</v>
      </c>
      <c r="H381" s="4">
        <v>26</v>
      </c>
      <c r="I381" s="2">
        <v>26</v>
      </c>
      <c r="J381">
        <f t="shared" si="25"/>
        <v>13</v>
      </c>
      <c r="K381">
        <f t="shared" si="26"/>
        <v>10</v>
      </c>
      <c r="L381" t="str">
        <f t="shared" si="27"/>
        <v>No</v>
      </c>
      <c r="M381" t="str">
        <f t="shared" si="29"/>
        <v>Yes</v>
      </c>
      <c r="N381" t="str">
        <f t="shared" si="28"/>
        <v>No</v>
      </c>
    </row>
    <row r="382" spans="1:14" x14ac:dyDescent="0.3">
      <c r="A382" s="2" t="s">
        <v>781</v>
      </c>
      <c r="B382" s="2" t="s">
        <v>782</v>
      </c>
      <c r="C382" s="2" t="s">
        <v>27</v>
      </c>
      <c r="D382" s="3">
        <v>45717</v>
      </c>
      <c r="E382" s="3">
        <v>45722</v>
      </c>
      <c r="F382" s="3">
        <v>45730</v>
      </c>
      <c r="G382" s="2" t="s">
        <v>22</v>
      </c>
      <c r="H382" s="2">
        <v>1</v>
      </c>
      <c r="I382" s="2">
        <v>6</v>
      </c>
      <c r="J382">
        <f t="shared" si="25"/>
        <v>13</v>
      </c>
      <c r="K382">
        <f t="shared" si="26"/>
        <v>8</v>
      </c>
      <c r="L382" t="str">
        <f t="shared" si="27"/>
        <v>No</v>
      </c>
      <c r="M382" t="str">
        <f t="shared" si="29"/>
        <v>No</v>
      </c>
      <c r="N382" t="str">
        <f t="shared" si="28"/>
        <v>No</v>
      </c>
    </row>
    <row r="383" spans="1:14" x14ac:dyDescent="0.3">
      <c r="A383" s="4" t="s">
        <v>783</v>
      </c>
      <c r="B383" s="4" t="s">
        <v>784</v>
      </c>
      <c r="C383" s="4" t="s">
        <v>72</v>
      </c>
      <c r="D383" s="5">
        <v>45718</v>
      </c>
      <c r="E383" s="5">
        <v>45726</v>
      </c>
      <c r="F383" s="5">
        <v>45732</v>
      </c>
      <c r="G383" s="4" t="s">
        <v>11</v>
      </c>
      <c r="H383" s="4">
        <v>39</v>
      </c>
      <c r="I383" s="2">
        <v>39</v>
      </c>
      <c r="J383">
        <f t="shared" si="25"/>
        <v>14</v>
      </c>
      <c r="K383">
        <f t="shared" si="26"/>
        <v>6</v>
      </c>
      <c r="L383" t="str">
        <f t="shared" si="27"/>
        <v>No</v>
      </c>
      <c r="M383" t="str">
        <f t="shared" si="29"/>
        <v>Yes</v>
      </c>
      <c r="N383" t="str">
        <f t="shared" si="28"/>
        <v>No</v>
      </c>
    </row>
    <row r="384" spans="1:14" x14ac:dyDescent="0.3">
      <c r="A384" s="2" t="s">
        <v>785</v>
      </c>
      <c r="B384" s="2" t="s">
        <v>786</v>
      </c>
      <c r="C384" s="2" t="s">
        <v>59</v>
      </c>
      <c r="D384" s="3">
        <v>45720</v>
      </c>
      <c r="E384" s="3">
        <v>45724</v>
      </c>
      <c r="F384" s="3">
        <v>45724</v>
      </c>
      <c r="G384" s="2" t="s">
        <v>18</v>
      </c>
      <c r="H384" s="2">
        <v>14</v>
      </c>
      <c r="I384" s="2">
        <v>14</v>
      </c>
      <c r="J384">
        <f t="shared" si="25"/>
        <v>4</v>
      </c>
      <c r="K384">
        <f t="shared" si="26"/>
        <v>0</v>
      </c>
      <c r="L384" t="str">
        <f t="shared" si="27"/>
        <v>Yes</v>
      </c>
      <c r="M384" t="str">
        <f t="shared" si="29"/>
        <v>Yes</v>
      </c>
      <c r="N384" t="str">
        <f t="shared" si="28"/>
        <v>Yes</v>
      </c>
    </row>
    <row r="385" spans="1:14" x14ac:dyDescent="0.3">
      <c r="A385" s="4" t="s">
        <v>787</v>
      </c>
      <c r="B385" s="4" t="s">
        <v>788</v>
      </c>
      <c r="C385" s="4" t="s">
        <v>59</v>
      </c>
      <c r="D385" s="5">
        <v>45718</v>
      </c>
      <c r="E385" s="5">
        <v>45726</v>
      </c>
      <c r="F385" s="5">
        <v>45723</v>
      </c>
      <c r="G385" s="4" t="s">
        <v>40</v>
      </c>
      <c r="H385" s="4">
        <v>54</v>
      </c>
      <c r="I385" s="2">
        <v>54</v>
      </c>
      <c r="J385">
        <f t="shared" si="25"/>
        <v>5</v>
      </c>
      <c r="K385">
        <f t="shared" si="26"/>
        <v>-3</v>
      </c>
      <c r="L385" t="str">
        <f t="shared" si="27"/>
        <v>Yes</v>
      </c>
      <c r="M385" t="str">
        <f t="shared" si="29"/>
        <v>Yes</v>
      </c>
      <c r="N385" t="str">
        <f t="shared" si="28"/>
        <v>Yes</v>
      </c>
    </row>
    <row r="386" spans="1:14" x14ac:dyDescent="0.3">
      <c r="A386" s="2" t="s">
        <v>789</v>
      </c>
      <c r="B386" s="2" t="s">
        <v>790</v>
      </c>
      <c r="C386" s="2" t="s">
        <v>21</v>
      </c>
      <c r="D386" s="3">
        <v>45720</v>
      </c>
      <c r="E386" s="3">
        <v>45726</v>
      </c>
      <c r="F386" s="3">
        <v>45726</v>
      </c>
      <c r="G386" s="2" t="s">
        <v>18</v>
      </c>
      <c r="H386" s="2">
        <v>41</v>
      </c>
      <c r="I386" s="2">
        <v>41</v>
      </c>
      <c r="J386">
        <f t="shared" si="25"/>
        <v>6</v>
      </c>
      <c r="K386">
        <f t="shared" si="26"/>
        <v>0</v>
      </c>
      <c r="L386" t="str">
        <f t="shared" si="27"/>
        <v>Yes</v>
      </c>
      <c r="M386" t="str">
        <f t="shared" si="29"/>
        <v>Yes</v>
      </c>
      <c r="N386" t="str">
        <f t="shared" si="28"/>
        <v>Yes</v>
      </c>
    </row>
    <row r="387" spans="1:14" x14ac:dyDescent="0.3">
      <c r="A387" s="4" t="s">
        <v>791</v>
      </c>
      <c r="B387" s="4" t="s">
        <v>792</v>
      </c>
      <c r="C387" s="4" t="s">
        <v>21</v>
      </c>
      <c r="D387" s="5">
        <v>45720</v>
      </c>
      <c r="E387" s="5">
        <v>45723</v>
      </c>
      <c r="F387" s="5">
        <v>45725</v>
      </c>
      <c r="G387" s="4" t="s">
        <v>40</v>
      </c>
      <c r="H387" s="4">
        <v>30</v>
      </c>
      <c r="I387" s="2">
        <v>30</v>
      </c>
      <c r="J387">
        <f t="shared" ref="J387:J450" si="30">F387-D387</f>
        <v>5</v>
      </c>
      <c r="K387">
        <f t="shared" ref="K387:K450" si="31">F387-E387</f>
        <v>2</v>
      </c>
      <c r="L387" t="str">
        <f t="shared" ref="L387:L450" si="32">IF(K387&lt;=0,"Yes","No")</f>
        <v>No</v>
      </c>
      <c r="M387" t="str">
        <f t="shared" si="29"/>
        <v>Yes</v>
      </c>
      <c r="N387" t="str">
        <f t="shared" ref="N387:N450" si="33">IF(AND(L387="Yes",M387="Yes"),"Yes","No")</f>
        <v>No</v>
      </c>
    </row>
    <row r="388" spans="1:14" x14ac:dyDescent="0.3">
      <c r="A388" s="2" t="s">
        <v>793</v>
      </c>
      <c r="B388" s="2" t="s">
        <v>794</v>
      </c>
      <c r="C388" s="2" t="s">
        <v>34</v>
      </c>
      <c r="D388" s="3">
        <v>45720</v>
      </c>
      <c r="E388" s="3">
        <v>45726</v>
      </c>
      <c r="F388" s="3">
        <v>45727</v>
      </c>
      <c r="G388" s="2" t="s">
        <v>18</v>
      </c>
      <c r="H388" s="2">
        <v>35</v>
      </c>
      <c r="I388" s="2">
        <v>43</v>
      </c>
      <c r="J388">
        <f t="shared" si="30"/>
        <v>7</v>
      </c>
      <c r="K388">
        <f t="shared" si="31"/>
        <v>1</v>
      </c>
      <c r="L388" t="str">
        <f t="shared" si="32"/>
        <v>No</v>
      </c>
      <c r="M388" t="str">
        <f t="shared" ref="M388:M451" si="34">IF(H388=I388,"Yes","No")</f>
        <v>No</v>
      </c>
      <c r="N388" t="str">
        <f t="shared" si="33"/>
        <v>No</v>
      </c>
    </row>
    <row r="389" spans="1:14" x14ac:dyDescent="0.3">
      <c r="A389" s="4" t="s">
        <v>795</v>
      </c>
      <c r="B389" s="4" t="s">
        <v>796</v>
      </c>
      <c r="C389" s="4" t="s">
        <v>37</v>
      </c>
      <c r="D389" s="5">
        <v>45720</v>
      </c>
      <c r="E389" s="5">
        <v>45728</v>
      </c>
      <c r="F389" s="5">
        <v>45732</v>
      </c>
      <c r="G389" s="4" t="s">
        <v>22</v>
      </c>
      <c r="H389" s="4">
        <v>16</v>
      </c>
      <c r="I389" s="2">
        <v>16</v>
      </c>
      <c r="J389">
        <f t="shared" si="30"/>
        <v>12</v>
      </c>
      <c r="K389">
        <f t="shared" si="31"/>
        <v>4</v>
      </c>
      <c r="L389" t="str">
        <f t="shared" si="32"/>
        <v>No</v>
      </c>
      <c r="M389" t="str">
        <f t="shared" si="34"/>
        <v>Yes</v>
      </c>
      <c r="N389" t="str">
        <f t="shared" si="33"/>
        <v>No</v>
      </c>
    </row>
    <row r="390" spans="1:14" x14ac:dyDescent="0.3">
      <c r="A390" s="2" t="s">
        <v>797</v>
      </c>
      <c r="B390" s="2" t="s">
        <v>798</v>
      </c>
      <c r="C390" s="2" t="s">
        <v>10</v>
      </c>
      <c r="D390" s="3">
        <v>45720</v>
      </c>
      <c r="E390" s="3">
        <v>45727</v>
      </c>
      <c r="F390" s="3">
        <v>45724</v>
      </c>
      <c r="G390" s="2" t="s">
        <v>22</v>
      </c>
      <c r="H390" s="2">
        <v>16</v>
      </c>
      <c r="I390" s="2">
        <v>16</v>
      </c>
      <c r="J390">
        <f t="shared" si="30"/>
        <v>4</v>
      </c>
      <c r="K390">
        <f t="shared" si="31"/>
        <v>-3</v>
      </c>
      <c r="L390" t="str">
        <f t="shared" si="32"/>
        <v>Yes</v>
      </c>
      <c r="M390" t="str">
        <f t="shared" si="34"/>
        <v>Yes</v>
      </c>
      <c r="N390" t="str">
        <f t="shared" si="33"/>
        <v>Yes</v>
      </c>
    </row>
    <row r="391" spans="1:14" x14ac:dyDescent="0.3">
      <c r="A391" s="4" t="s">
        <v>799</v>
      </c>
      <c r="B391" s="4" t="s">
        <v>800</v>
      </c>
      <c r="C391" s="4" t="s">
        <v>59</v>
      </c>
      <c r="D391" s="5">
        <v>45720</v>
      </c>
      <c r="E391" s="5">
        <v>45728</v>
      </c>
      <c r="F391" s="5">
        <v>45726</v>
      </c>
      <c r="G391" s="4" t="s">
        <v>18</v>
      </c>
      <c r="H391" s="4">
        <v>11</v>
      </c>
      <c r="I391" s="2">
        <v>11</v>
      </c>
      <c r="J391">
        <f t="shared" si="30"/>
        <v>6</v>
      </c>
      <c r="K391">
        <f t="shared" si="31"/>
        <v>-2</v>
      </c>
      <c r="L391" t="str">
        <f t="shared" si="32"/>
        <v>Yes</v>
      </c>
      <c r="M391" t="str">
        <f t="shared" si="34"/>
        <v>Yes</v>
      </c>
      <c r="N391" t="str">
        <f t="shared" si="33"/>
        <v>Yes</v>
      </c>
    </row>
    <row r="392" spans="1:14" x14ac:dyDescent="0.3">
      <c r="A392" s="2" t="s">
        <v>801</v>
      </c>
      <c r="B392" s="2" t="s">
        <v>802</v>
      </c>
      <c r="C392" s="2" t="s">
        <v>59</v>
      </c>
      <c r="D392" s="3">
        <v>45719</v>
      </c>
      <c r="E392" s="3">
        <v>45728</v>
      </c>
      <c r="F392" s="3">
        <v>45725</v>
      </c>
      <c r="G392" s="2" t="s">
        <v>40</v>
      </c>
      <c r="H392" s="2">
        <v>47</v>
      </c>
      <c r="I392" s="2">
        <v>47</v>
      </c>
      <c r="J392">
        <f t="shared" si="30"/>
        <v>6</v>
      </c>
      <c r="K392">
        <f t="shared" si="31"/>
        <v>-3</v>
      </c>
      <c r="L392" t="str">
        <f t="shared" si="32"/>
        <v>Yes</v>
      </c>
      <c r="M392" t="str">
        <f t="shared" si="34"/>
        <v>Yes</v>
      </c>
      <c r="N392" t="str">
        <f t="shared" si="33"/>
        <v>Yes</v>
      </c>
    </row>
    <row r="393" spans="1:14" x14ac:dyDescent="0.3">
      <c r="A393" s="4" t="s">
        <v>803</v>
      </c>
      <c r="B393" s="4" t="s">
        <v>804</v>
      </c>
      <c r="C393" s="4" t="s">
        <v>37</v>
      </c>
      <c r="D393" s="5">
        <v>45721</v>
      </c>
      <c r="E393" s="5">
        <v>45730</v>
      </c>
      <c r="F393" s="5">
        <v>45736</v>
      </c>
      <c r="G393" s="4" t="s">
        <v>22</v>
      </c>
      <c r="H393" s="4">
        <v>14</v>
      </c>
      <c r="I393" s="2">
        <v>14</v>
      </c>
      <c r="J393">
        <f t="shared" si="30"/>
        <v>15</v>
      </c>
      <c r="K393">
        <f t="shared" si="31"/>
        <v>6</v>
      </c>
      <c r="L393" t="str">
        <f t="shared" si="32"/>
        <v>No</v>
      </c>
      <c r="M393" t="str">
        <f t="shared" si="34"/>
        <v>Yes</v>
      </c>
      <c r="N393" t="str">
        <f t="shared" si="33"/>
        <v>No</v>
      </c>
    </row>
    <row r="394" spans="1:14" x14ac:dyDescent="0.3">
      <c r="A394" s="2" t="s">
        <v>805</v>
      </c>
      <c r="B394" s="2" t="s">
        <v>806</v>
      </c>
      <c r="C394" s="2" t="s">
        <v>72</v>
      </c>
      <c r="D394" s="3">
        <v>45720</v>
      </c>
      <c r="E394" s="3">
        <v>45730</v>
      </c>
      <c r="F394" s="3">
        <v>45734</v>
      </c>
      <c r="G394" s="2" t="s">
        <v>11</v>
      </c>
      <c r="H394" s="2">
        <v>17</v>
      </c>
      <c r="I394" s="2">
        <v>22</v>
      </c>
      <c r="J394">
        <f t="shared" si="30"/>
        <v>14</v>
      </c>
      <c r="K394">
        <f t="shared" si="31"/>
        <v>4</v>
      </c>
      <c r="L394" t="str">
        <f t="shared" si="32"/>
        <v>No</v>
      </c>
      <c r="M394" t="str">
        <f t="shared" si="34"/>
        <v>No</v>
      </c>
      <c r="N394" t="str">
        <f t="shared" si="33"/>
        <v>No</v>
      </c>
    </row>
    <row r="395" spans="1:14" x14ac:dyDescent="0.3">
      <c r="A395" s="4" t="s">
        <v>807</v>
      </c>
      <c r="B395" s="4" t="s">
        <v>808</v>
      </c>
      <c r="C395" s="4" t="s">
        <v>10</v>
      </c>
      <c r="D395" s="5">
        <v>45721</v>
      </c>
      <c r="E395" s="5">
        <v>45725</v>
      </c>
      <c r="F395" s="5">
        <v>45726</v>
      </c>
      <c r="G395" s="4" t="s">
        <v>22</v>
      </c>
      <c r="H395" s="4">
        <v>12</v>
      </c>
      <c r="I395" s="2">
        <v>12</v>
      </c>
      <c r="J395">
        <f t="shared" si="30"/>
        <v>5</v>
      </c>
      <c r="K395">
        <f t="shared" si="31"/>
        <v>1</v>
      </c>
      <c r="L395" t="str">
        <f t="shared" si="32"/>
        <v>No</v>
      </c>
      <c r="M395" t="str">
        <f t="shared" si="34"/>
        <v>Yes</v>
      </c>
      <c r="N395" t="str">
        <f t="shared" si="33"/>
        <v>No</v>
      </c>
    </row>
    <row r="396" spans="1:14" x14ac:dyDescent="0.3">
      <c r="A396" s="2" t="s">
        <v>809</v>
      </c>
      <c r="B396" s="2" t="s">
        <v>810</v>
      </c>
      <c r="C396" s="2" t="s">
        <v>21</v>
      </c>
      <c r="D396" s="3">
        <v>45721</v>
      </c>
      <c r="E396" s="3">
        <v>45723</v>
      </c>
      <c r="F396" s="3">
        <v>45727</v>
      </c>
      <c r="G396" s="2" t="s">
        <v>15</v>
      </c>
      <c r="H396" s="2">
        <v>20</v>
      </c>
      <c r="I396" s="2">
        <v>20</v>
      </c>
      <c r="J396">
        <f t="shared" si="30"/>
        <v>6</v>
      </c>
      <c r="K396">
        <f t="shared" si="31"/>
        <v>4</v>
      </c>
      <c r="L396" t="str">
        <f t="shared" si="32"/>
        <v>No</v>
      </c>
      <c r="M396" t="str">
        <f t="shared" si="34"/>
        <v>Yes</v>
      </c>
      <c r="N396" t="str">
        <f t="shared" si="33"/>
        <v>No</v>
      </c>
    </row>
    <row r="397" spans="1:14" x14ac:dyDescent="0.3">
      <c r="A397" s="4" t="s">
        <v>811</v>
      </c>
      <c r="B397" s="4" t="s">
        <v>812</v>
      </c>
      <c r="C397" s="4" t="s">
        <v>21</v>
      </c>
      <c r="D397" s="5">
        <v>45721</v>
      </c>
      <c r="E397" s="5">
        <v>45723</v>
      </c>
      <c r="F397" s="5">
        <v>45726</v>
      </c>
      <c r="G397" s="4" t="s">
        <v>15</v>
      </c>
      <c r="H397" s="4">
        <v>20</v>
      </c>
      <c r="I397" s="2">
        <v>20</v>
      </c>
      <c r="J397">
        <f t="shared" si="30"/>
        <v>5</v>
      </c>
      <c r="K397">
        <f t="shared" si="31"/>
        <v>3</v>
      </c>
      <c r="L397" t="str">
        <f t="shared" si="32"/>
        <v>No</v>
      </c>
      <c r="M397" t="str">
        <f t="shared" si="34"/>
        <v>Yes</v>
      </c>
      <c r="N397" t="str">
        <f t="shared" si="33"/>
        <v>No</v>
      </c>
    </row>
    <row r="398" spans="1:14" x14ac:dyDescent="0.3">
      <c r="A398" s="2" t="s">
        <v>813</v>
      </c>
      <c r="B398" s="2" t="s">
        <v>814</v>
      </c>
      <c r="C398" s="2" t="s">
        <v>27</v>
      </c>
      <c r="D398" s="3">
        <v>45722</v>
      </c>
      <c r="E398" s="3">
        <v>45724</v>
      </c>
      <c r="F398" s="3">
        <v>45734</v>
      </c>
      <c r="G398" s="2" t="s">
        <v>11</v>
      </c>
      <c r="H398" s="2">
        <v>13</v>
      </c>
      <c r="I398" s="2">
        <v>13</v>
      </c>
      <c r="J398">
        <f t="shared" si="30"/>
        <v>12</v>
      </c>
      <c r="K398">
        <f t="shared" si="31"/>
        <v>10</v>
      </c>
      <c r="L398" t="str">
        <f t="shared" si="32"/>
        <v>No</v>
      </c>
      <c r="M398" t="str">
        <f t="shared" si="34"/>
        <v>Yes</v>
      </c>
      <c r="N398" t="str">
        <f t="shared" si="33"/>
        <v>No</v>
      </c>
    </row>
    <row r="399" spans="1:14" x14ac:dyDescent="0.3">
      <c r="A399" s="4" t="s">
        <v>815</v>
      </c>
      <c r="B399" s="4" t="s">
        <v>816</v>
      </c>
      <c r="C399" s="4" t="s">
        <v>34</v>
      </c>
      <c r="D399" s="5">
        <v>45721</v>
      </c>
      <c r="E399" s="5">
        <v>45729</v>
      </c>
      <c r="F399" s="5">
        <v>45732</v>
      </c>
      <c r="G399" s="4" t="s">
        <v>15</v>
      </c>
      <c r="H399" s="4">
        <v>16</v>
      </c>
      <c r="I399" s="2">
        <v>16</v>
      </c>
      <c r="J399">
        <f t="shared" si="30"/>
        <v>11</v>
      </c>
      <c r="K399">
        <f t="shared" si="31"/>
        <v>3</v>
      </c>
      <c r="L399" t="str">
        <f t="shared" si="32"/>
        <v>No</v>
      </c>
      <c r="M399" t="str">
        <f t="shared" si="34"/>
        <v>Yes</v>
      </c>
      <c r="N399" t="str">
        <f t="shared" si="33"/>
        <v>No</v>
      </c>
    </row>
    <row r="400" spans="1:14" x14ac:dyDescent="0.3">
      <c r="A400" s="2" t="s">
        <v>817</v>
      </c>
      <c r="B400" s="2" t="s">
        <v>818</v>
      </c>
      <c r="C400" s="2" t="s">
        <v>37</v>
      </c>
      <c r="D400" s="3">
        <v>45722</v>
      </c>
      <c r="E400" s="3">
        <v>45727</v>
      </c>
      <c r="F400" s="3">
        <v>45739</v>
      </c>
      <c r="G400" s="2" t="s">
        <v>22</v>
      </c>
      <c r="H400" s="2">
        <v>10</v>
      </c>
      <c r="I400" s="2">
        <v>10</v>
      </c>
      <c r="J400">
        <f t="shared" si="30"/>
        <v>17</v>
      </c>
      <c r="K400">
        <f t="shared" si="31"/>
        <v>12</v>
      </c>
      <c r="L400" t="str">
        <f t="shared" si="32"/>
        <v>No</v>
      </c>
      <c r="M400" t="str">
        <f t="shared" si="34"/>
        <v>Yes</v>
      </c>
      <c r="N400" t="str">
        <f t="shared" si="33"/>
        <v>No</v>
      </c>
    </row>
    <row r="401" spans="1:14" x14ac:dyDescent="0.3">
      <c r="A401" s="4" t="s">
        <v>819</v>
      </c>
      <c r="B401" s="4" t="s">
        <v>820</v>
      </c>
      <c r="C401" s="4" t="s">
        <v>10</v>
      </c>
      <c r="D401" s="5">
        <v>45723</v>
      </c>
      <c r="E401" s="5">
        <v>45731</v>
      </c>
      <c r="F401" s="5">
        <v>45728</v>
      </c>
      <c r="G401" s="4" t="s">
        <v>18</v>
      </c>
      <c r="H401" s="4">
        <v>8</v>
      </c>
      <c r="I401" s="2">
        <v>8</v>
      </c>
      <c r="J401">
        <f t="shared" si="30"/>
        <v>5</v>
      </c>
      <c r="K401">
        <f t="shared" si="31"/>
        <v>-3</v>
      </c>
      <c r="L401" t="str">
        <f t="shared" si="32"/>
        <v>Yes</v>
      </c>
      <c r="M401" t="str">
        <f t="shared" si="34"/>
        <v>Yes</v>
      </c>
      <c r="N401" t="str">
        <f t="shared" si="33"/>
        <v>Yes</v>
      </c>
    </row>
    <row r="402" spans="1:14" x14ac:dyDescent="0.3">
      <c r="A402" s="2" t="s">
        <v>821</v>
      </c>
      <c r="B402" s="2" t="s">
        <v>822</v>
      </c>
      <c r="C402" s="2" t="s">
        <v>59</v>
      </c>
      <c r="D402" s="3">
        <v>45723</v>
      </c>
      <c r="E402" s="3">
        <v>45725</v>
      </c>
      <c r="F402" s="3">
        <v>45728</v>
      </c>
      <c r="G402" s="2" t="s">
        <v>22</v>
      </c>
      <c r="H402" s="2">
        <v>18</v>
      </c>
      <c r="I402" s="2">
        <v>18</v>
      </c>
      <c r="J402">
        <f t="shared" si="30"/>
        <v>5</v>
      </c>
      <c r="K402">
        <f t="shared" si="31"/>
        <v>3</v>
      </c>
      <c r="L402" t="str">
        <f t="shared" si="32"/>
        <v>No</v>
      </c>
      <c r="M402" t="str">
        <f t="shared" si="34"/>
        <v>Yes</v>
      </c>
      <c r="N402" t="str">
        <f t="shared" si="33"/>
        <v>No</v>
      </c>
    </row>
    <row r="403" spans="1:14" x14ac:dyDescent="0.3">
      <c r="A403" s="4" t="s">
        <v>823</v>
      </c>
      <c r="B403" s="4" t="s">
        <v>824</v>
      </c>
      <c r="C403" s="4" t="s">
        <v>14</v>
      </c>
      <c r="D403" s="5">
        <v>45722</v>
      </c>
      <c r="E403" s="5">
        <v>45725</v>
      </c>
      <c r="F403" s="5">
        <v>45741</v>
      </c>
      <c r="G403" s="4" t="s">
        <v>22</v>
      </c>
      <c r="H403" s="4">
        <v>20</v>
      </c>
      <c r="I403" s="2">
        <v>20</v>
      </c>
      <c r="J403">
        <f t="shared" si="30"/>
        <v>19</v>
      </c>
      <c r="K403">
        <f t="shared" si="31"/>
        <v>16</v>
      </c>
      <c r="L403" t="str">
        <f t="shared" si="32"/>
        <v>No</v>
      </c>
      <c r="M403" t="str">
        <f t="shared" si="34"/>
        <v>Yes</v>
      </c>
      <c r="N403" t="str">
        <f t="shared" si="33"/>
        <v>No</v>
      </c>
    </row>
    <row r="404" spans="1:14" x14ac:dyDescent="0.3">
      <c r="A404" s="2" t="s">
        <v>825</v>
      </c>
      <c r="B404" s="2" t="s">
        <v>826</v>
      </c>
      <c r="C404" s="2" t="s">
        <v>21</v>
      </c>
      <c r="D404" s="3">
        <v>45721</v>
      </c>
      <c r="E404" s="3">
        <v>45730</v>
      </c>
      <c r="F404" s="3">
        <v>45727</v>
      </c>
      <c r="G404" s="2" t="s">
        <v>18</v>
      </c>
      <c r="H404" s="2">
        <v>30</v>
      </c>
      <c r="I404" s="2">
        <v>30</v>
      </c>
      <c r="J404">
        <f t="shared" si="30"/>
        <v>6</v>
      </c>
      <c r="K404">
        <f t="shared" si="31"/>
        <v>-3</v>
      </c>
      <c r="L404" t="str">
        <f t="shared" si="32"/>
        <v>Yes</v>
      </c>
      <c r="M404" t="str">
        <f t="shared" si="34"/>
        <v>Yes</v>
      </c>
      <c r="N404" t="str">
        <f t="shared" si="33"/>
        <v>Yes</v>
      </c>
    </row>
    <row r="405" spans="1:14" x14ac:dyDescent="0.3">
      <c r="A405" s="4" t="s">
        <v>827</v>
      </c>
      <c r="B405" s="4" t="s">
        <v>828</v>
      </c>
      <c r="C405" s="4" t="s">
        <v>27</v>
      </c>
      <c r="D405" s="5">
        <v>45721</v>
      </c>
      <c r="E405" s="5">
        <v>45724</v>
      </c>
      <c r="F405" s="5">
        <v>45738</v>
      </c>
      <c r="G405" s="4" t="s">
        <v>40</v>
      </c>
      <c r="H405" s="4">
        <v>31</v>
      </c>
      <c r="I405" s="2">
        <v>31</v>
      </c>
      <c r="J405">
        <f t="shared" si="30"/>
        <v>17</v>
      </c>
      <c r="K405">
        <f t="shared" si="31"/>
        <v>14</v>
      </c>
      <c r="L405" t="str">
        <f t="shared" si="32"/>
        <v>No</v>
      </c>
      <c r="M405" t="str">
        <f t="shared" si="34"/>
        <v>Yes</v>
      </c>
      <c r="N405" t="str">
        <f t="shared" si="33"/>
        <v>No</v>
      </c>
    </row>
    <row r="406" spans="1:14" x14ac:dyDescent="0.3">
      <c r="A406" s="2" t="s">
        <v>829</v>
      </c>
      <c r="B406" s="2" t="s">
        <v>830</v>
      </c>
      <c r="C406" s="2" t="s">
        <v>27</v>
      </c>
      <c r="D406" s="3">
        <v>45723</v>
      </c>
      <c r="E406" s="3">
        <v>45726</v>
      </c>
      <c r="F406" s="3">
        <v>45736</v>
      </c>
      <c r="G406" s="2" t="s">
        <v>18</v>
      </c>
      <c r="H406" s="2">
        <v>6</v>
      </c>
      <c r="I406" s="2">
        <v>6</v>
      </c>
      <c r="J406">
        <f t="shared" si="30"/>
        <v>13</v>
      </c>
      <c r="K406">
        <f t="shared" si="31"/>
        <v>10</v>
      </c>
      <c r="L406" t="str">
        <f t="shared" si="32"/>
        <v>No</v>
      </c>
      <c r="M406" t="str">
        <f t="shared" si="34"/>
        <v>Yes</v>
      </c>
      <c r="N406" t="str">
        <f t="shared" si="33"/>
        <v>No</v>
      </c>
    </row>
    <row r="407" spans="1:14" x14ac:dyDescent="0.3">
      <c r="A407" s="4" t="s">
        <v>831</v>
      </c>
      <c r="B407" s="4" t="s">
        <v>832</v>
      </c>
      <c r="C407" s="4" t="s">
        <v>34</v>
      </c>
      <c r="D407" s="5">
        <v>45724</v>
      </c>
      <c r="E407" s="5">
        <v>45726</v>
      </c>
      <c r="F407" s="5">
        <v>45733</v>
      </c>
      <c r="G407" s="4" t="s">
        <v>40</v>
      </c>
      <c r="H407" s="4">
        <v>17</v>
      </c>
      <c r="I407" s="2">
        <v>17</v>
      </c>
      <c r="J407">
        <f t="shared" si="30"/>
        <v>9</v>
      </c>
      <c r="K407">
        <f t="shared" si="31"/>
        <v>7</v>
      </c>
      <c r="L407" t="str">
        <f t="shared" si="32"/>
        <v>No</v>
      </c>
      <c r="M407" t="str">
        <f t="shared" si="34"/>
        <v>Yes</v>
      </c>
      <c r="N407" t="str">
        <f t="shared" si="33"/>
        <v>No</v>
      </c>
    </row>
    <row r="408" spans="1:14" x14ac:dyDescent="0.3">
      <c r="A408" s="2" t="s">
        <v>833</v>
      </c>
      <c r="B408" s="2" t="s">
        <v>834</v>
      </c>
      <c r="C408" s="2" t="s">
        <v>34</v>
      </c>
      <c r="D408" s="3">
        <v>45724</v>
      </c>
      <c r="E408" s="3">
        <v>45727</v>
      </c>
      <c r="F408" s="3">
        <v>45732</v>
      </c>
      <c r="G408" s="2" t="s">
        <v>11</v>
      </c>
      <c r="H408" s="2">
        <v>46</v>
      </c>
      <c r="I408" s="2">
        <v>46</v>
      </c>
      <c r="J408">
        <f t="shared" si="30"/>
        <v>8</v>
      </c>
      <c r="K408">
        <f t="shared" si="31"/>
        <v>5</v>
      </c>
      <c r="L408" t="str">
        <f t="shared" si="32"/>
        <v>No</v>
      </c>
      <c r="M408" t="str">
        <f t="shared" si="34"/>
        <v>Yes</v>
      </c>
      <c r="N408" t="str">
        <f t="shared" si="33"/>
        <v>No</v>
      </c>
    </row>
    <row r="409" spans="1:14" x14ac:dyDescent="0.3">
      <c r="A409" s="4" t="s">
        <v>835</v>
      </c>
      <c r="B409" s="4" t="s">
        <v>836</v>
      </c>
      <c r="C409" s="4" t="s">
        <v>72</v>
      </c>
      <c r="D409" s="5">
        <v>45724</v>
      </c>
      <c r="E409" s="5">
        <v>45729</v>
      </c>
      <c r="F409" s="5">
        <v>45738</v>
      </c>
      <c r="G409" s="4" t="s">
        <v>22</v>
      </c>
      <c r="H409" s="4">
        <v>25</v>
      </c>
      <c r="I409" s="2">
        <v>25</v>
      </c>
      <c r="J409">
        <f t="shared" si="30"/>
        <v>14</v>
      </c>
      <c r="K409">
        <f t="shared" si="31"/>
        <v>9</v>
      </c>
      <c r="L409" t="str">
        <f t="shared" si="32"/>
        <v>No</v>
      </c>
      <c r="M409" t="str">
        <f t="shared" si="34"/>
        <v>Yes</v>
      </c>
      <c r="N409" t="str">
        <f t="shared" si="33"/>
        <v>No</v>
      </c>
    </row>
    <row r="410" spans="1:14" x14ac:dyDescent="0.3">
      <c r="A410" s="2" t="s">
        <v>837</v>
      </c>
      <c r="B410" s="2" t="s">
        <v>838</v>
      </c>
      <c r="C410" s="2" t="s">
        <v>14</v>
      </c>
      <c r="D410" s="3">
        <v>45723</v>
      </c>
      <c r="E410" s="3">
        <v>45731</v>
      </c>
      <c r="F410" s="3">
        <v>45739</v>
      </c>
      <c r="G410" s="2" t="s">
        <v>11</v>
      </c>
      <c r="H410" s="2">
        <v>23</v>
      </c>
      <c r="I410" s="2">
        <v>23</v>
      </c>
      <c r="J410">
        <f t="shared" si="30"/>
        <v>16</v>
      </c>
      <c r="K410">
        <f t="shared" si="31"/>
        <v>8</v>
      </c>
      <c r="L410" t="str">
        <f t="shared" si="32"/>
        <v>No</v>
      </c>
      <c r="M410" t="str">
        <f t="shared" si="34"/>
        <v>Yes</v>
      </c>
      <c r="N410" t="str">
        <f t="shared" si="33"/>
        <v>No</v>
      </c>
    </row>
    <row r="411" spans="1:14" x14ac:dyDescent="0.3">
      <c r="A411" s="4" t="s">
        <v>839</v>
      </c>
      <c r="B411" s="4" t="s">
        <v>840</v>
      </c>
      <c r="C411" s="4" t="s">
        <v>21</v>
      </c>
      <c r="D411" s="5">
        <v>45722</v>
      </c>
      <c r="E411" s="5">
        <v>45731</v>
      </c>
      <c r="F411" s="5">
        <v>45727</v>
      </c>
      <c r="G411" s="4" t="s">
        <v>18</v>
      </c>
      <c r="H411" s="4">
        <v>37</v>
      </c>
      <c r="I411" s="2">
        <v>37</v>
      </c>
      <c r="J411">
        <f t="shared" si="30"/>
        <v>5</v>
      </c>
      <c r="K411">
        <f t="shared" si="31"/>
        <v>-4</v>
      </c>
      <c r="L411" t="str">
        <f t="shared" si="32"/>
        <v>Yes</v>
      </c>
      <c r="M411" t="str">
        <f t="shared" si="34"/>
        <v>Yes</v>
      </c>
      <c r="N411" t="str">
        <f t="shared" si="33"/>
        <v>Yes</v>
      </c>
    </row>
    <row r="412" spans="1:14" x14ac:dyDescent="0.3">
      <c r="A412" s="2" t="s">
        <v>841</v>
      </c>
      <c r="B412" s="2" t="s">
        <v>842</v>
      </c>
      <c r="C412" s="2" t="s">
        <v>37</v>
      </c>
      <c r="D412" s="3">
        <v>45723</v>
      </c>
      <c r="E412" s="3">
        <v>45731</v>
      </c>
      <c r="F412" s="3">
        <v>45740</v>
      </c>
      <c r="G412" s="2" t="s">
        <v>15</v>
      </c>
      <c r="H412" s="2">
        <v>45</v>
      </c>
      <c r="I412" s="2">
        <v>45</v>
      </c>
      <c r="J412">
        <f t="shared" si="30"/>
        <v>17</v>
      </c>
      <c r="K412">
        <f t="shared" si="31"/>
        <v>9</v>
      </c>
      <c r="L412" t="str">
        <f t="shared" si="32"/>
        <v>No</v>
      </c>
      <c r="M412" t="str">
        <f t="shared" si="34"/>
        <v>Yes</v>
      </c>
      <c r="N412" t="str">
        <f t="shared" si="33"/>
        <v>No</v>
      </c>
    </row>
    <row r="413" spans="1:14" x14ac:dyDescent="0.3">
      <c r="A413" s="4" t="s">
        <v>843</v>
      </c>
      <c r="B413" s="4" t="s">
        <v>844</v>
      </c>
      <c r="C413" s="4" t="s">
        <v>14</v>
      </c>
      <c r="D413" s="5">
        <v>45723</v>
      </c>
      <c r="E413" s="5">
        <v>45727</v>
      </c>
      <c r="F413" s="5">
        <v>45740</v>
      </c>
      <c r="G413" s="4" t="s">
        <v>22</v>
      </c>
      <c r="H413" s="4">
        <v>9</v>
      </c>
      <c r="I413" s="2">
        <v>9</v>
      </c>
      <c r="J413">
        <f t="shared" si="30"/>
        <v>17</v>
      </c>
      <c r="K413">
        <f t="shared" si="31"/>
        <v>13</v>
      </c>
      <c r="L413" t="str">
        <f t="shared" si="32"/>
        <v>No</v>
      </c>
      <c r="M413" t="str">
        <f t="shared" si="34"/>
        <v>Yes</v>
      </c>
      <c r="N413" t="str">
        <f t="shared" si="33"/>
        <v>No</v>
      </c>
    </row>
    <row r="414" spans="1:14" x14ac:dyDescent="0.3">
      <c r="A414" s="2" t="s">
        <v>845</v>
      </c>
      <c r="B414" s="2" t="s">
        <v>846</v>
      </c>
      <c r="C414" s="2" t="s">
        <v>14</v>
      </c>
      <c r="D414" s="3">
        <v>45723</v>
      </c>
      <c r="E414" s="3">
        <v>45732</v>
      </c>
      <c r="F414" s="3">
        <v>45737</v>
      </c>
      <c r="G414" s="2" t="s">
        <v>15</v>
      </c>
      <c r="H414" s="2">
        <v>70</v>
      </c>
      <c r="I414" s="2">
        <v>70</v>
      </c>
      <c r="J414">
        <f t="shared" si="30"/>
        <v>14</v>
      </c>
      <c r="K414">
        <f t="shared" si="31"/>
        <v>5</v>
      </c>
      <c r="L414" t="str">
        <f t="shared" si="32"/>
        <v>No</v>
      </c>
      <c r="M414" t="str">
        <f t="shared" si="34"/>
        <v>Yes</v>
      </c>
      <c r="N414" t="str">
        <f t="shared" si="33"/>
        <v>No</v>
      </c>
    </row>
    <row r="415" spans="1:14" x14ac:dyDescent="0.3">
      <c r="A415" s="4" t="s">
        <v>847</v>
      </c>
      <c r="B415" s="4" t="s">
        <v>848</v>
      </c>
      <c r="C415" s="4" t="s">
        <v>21</v>
      </c>
      <c r="D415" s="5">
        <v>45723</v>
      </c>
      <c r="E415" s="5">
        <v>45732</v>
      </c>
      <c r="F415" s="5">
        <v>45733</v>
      </c>
      <c r="G415" s="4" t="s">
        <v>18</v>
      </c>
      <c r="H415" s="4">
        <v>23</v>
      </c>
      <c r="I415" s="2">
        <v>23</v>
      </c>
      <c r="J415">
        <f t="shared" si="30"/>
        <v>10</v>
      </c>
      <c r="K415">
        <f t="shared" si="31"/>
        <v>1</v>
      </c>
      <c r="L415" t="str">
        <f t="shared" si="32"/>
        <v>No</v>
      </c>
      <c r="M415" t="str">
        <f t="shared" si="34"/>
        <v>Yes</v>
      </c>
      <c r="N415" t="str">
        <f t="shared" si="33"/>
        <v>No</v>
      </c>
    </row>
    <row r="416" spans="1:14" x14ac:dyDescent="0.3">
      <c r="A416" s="2" t="s">
        <v>849</v>
      </c>
      <c r="B416" s="2" t="s">
        <v>850</v>
      </c>
      <c r="C416" s="2" t="s">
        <v>21</v>
      </c>
      <c r="D416" s="3">
        <v>45723</v>
      </c>
      <c r="E416" s="3">
        <v>45729</v>
      </c>
      <c r="F416" s="3">
        <v>45729</v>
      </c>
      <c r="G416" s="2" t="s">
        <v>15</v>
      </c>
      <c r="H416" s="2">
        <v>22</v>
      </c>
      <c r="I416" s="2">
        <v>22</v>
      </c>
      <c r="J416">
        <f t="shared" si="30"/>
        <v>6</v>
      </c>
      <c r="K416">
        <f t="shared" si="31"/>
        <v>0</v>
      </c>
      <c r="L416" t="str">
        <f t="shared" si="32"/>
        <v>Yes</v>
      </c>
      <c r="M416" t="str">
        <f t="shared" si="34"/>
        <v>Yes</v>
      </c>
      <c r="N416" t="str">
        <f t="shared" si="33"/>
        <v>Yes</v>
      </c>
    </row>
    <row r="417" spans="1:14" x14ac:dyDescent="0.3">
      <c r="A417" s="4" t="s">
        <v>851</v>
      </c>
      <c r="B417" s="4" t="s">
        <v>852</v>
      </c>
      <c r="C417" s="4" t="s">
        <v>27</v>
      </c>
      <c r="D417" s="5">
        <v>45723</v>
      </c>
      <c r="E417" s="5">
        <v>45727</v>
      </c>
      <c r="F417" s="5">
        <v>45737</v>
      </c>
      <c r="G417" s="4" t="s">
        <v>11</v>
      </c>
      <c r="H417" s="4">
        <v>36</v>
      </c>
      <c r="I417" s="2">
        <v>36</v>
      </c>
      <c r="J417">
        <f t="shared" si="30"/>
        <v>14</v>
      </c>
      <c r="K417">
        <f t="shared" si="31"/>
        <v>10</v>
      </c>
      <c r="L417" t="str">
        <f t="shared" si="32"/>
        <v>No</v>
      </c>
      <c r="M417" t="str">
        <f t="shared" si="34"/>
        <v>Yes</v>
      </c>
      <c r="N417" t="str">
        <f t="shared" si="33"/>
        <v>No</v>
      </c>
    </row>
    <row r="418" spans="1:14" x14ac:dyDescent="0.3">
      <c r="A418" s="2" t="s">
        <v>853</v>
      </c>
      <c r="B418" s="2" t="s">
        <v>854</v>
      </c>
      <c r="C418" s="2" t="s">
        <v>34</v>
      </c>
      <c r="D418" s="3">
        <v>45726</v>
      </c>
      <c r="E418" s="3">
        <v>45734</v>
      </c>
      <c r="F418" s="3">
        <v>45732</v>
      </c>
      <c r="G418" s="2" t="s">
        <v>22</v>
      </c>
      <c r="H418" s="2">
        <v>44</v>
      </c>
      <c r="I418" s="2">
        <v>44</v>
      </c>
      <c r="J418">
        <f t="shared" si="30"/>
        <v>6</v>
      </c>
      <c r="K418">
        <f t="shared" si="31"/>
        <v>-2</v>
      </c>
      <c r="L418" t="str">
        <f t="shared" si="32"/>
        <v>Yes</v>
      </c>
      <c r="M418" t="str">
        <f t="shared" si="34"/>
        <v>Yes</v>
      </c>
      <c r="N418" t="str">
        <f t="shared" si="33"/>
        <v>Yes</v>
      </c>
    </row>
    <row r="419" spans="1:14" x14ac:dyDescent="0.3">
      <c r="A419" s="4" t="s">
        <v>855</v>
      </c>
      <c r="B419" s="4" t="s">
        <v>856</v>
      </c>
      <c r="C419" s="4" t="s">
        <v>37</v>
      </c>
      <c r="D419" s="5">
        <v>45724</v>
      </c>
      <c r="E419" s="5">
        <v>45729</v>
      </c>
      <c r="F419" s="5">
        <v>45738</v>
      </c>
      <c r="G419" s="4" t="s">
        <v>18</v>
      </c>
      <c r="H419" s="4">
        <v>20</v>
      </c>
      <c r="I419" s="2">
        <v>20</v>
      </c>
      <c r="J419">
        <f t="shared" si="30"/>
        <v>14</v>
      </c>
      <c r="K419">
        <f t="shared" si="31"/>
        <v>9</v>
      </c>
      <c r="L419" t="str">
        <f t="shared" si="32"/>
        <v>No</v>
      </c>
      <c r="M419" t="str">
        <f t="shared" si="34"/>
        <v>Yes</v>
      </c>
      <c r="N419" t="str">
        <f t="shared" si="33"/>
        <v>No</v>
      </c>
    </row>
    <row r="420" spans="1:14" x14ac:dyDescent="0.3">
      <c r="A420" s="2" t="s">
        <v>857</v>
      </c>
      <c r="B420" s="2" t="s">
        <v>858</v>
      </c>
      <c r="C420" s="2" t="s">
        <v>72</v>
      </c>
      <c r="D420" s="3">
        <v>45724</v>
      </c>
      <c r="E420" s="3">
        <v>45731</v>
      </c>
      <c r="F420" s="3">
        <v>45738</v>
      </c>
      <c r="G420" s="2" t="s">
        <v>18</v>
      </c>
      <c r="H420" s="2">
        <v>38</v>
      </c>
      <c r="I420" s="2">
        <v>38</v>
      </c>
      <c r="J420">
        <f t="shared" si="30"/>
        <v>14</v>
      </c>
      <c r="K420">
        <f t="shared" si="31"/>
        <v>7</v>
      </c>
      <c r="L420" t="str">
        <f t="shared" si="32"/>
        <v>No</v>
      </c>
      <c r="M420" t="str">
        <f t="shared" si="34"/>
        <v>Yes</v>
      </c>
      <c r="N420" t="str">
        <f t="shared" si="33"/>
        <v>No</v>
      </c>
    </row>
    <row r="421" spans="1:14" x14ac:dyDescent="0.3">
      <c r="A421" s="4" t="s">
        <v>859</v>
      </c>
      <c r="B421" s="4" t="s">
        <v>860</v>
      </c>
      <c r="C421" s="4" t="s">
        <v>72</v>
      </c>
      <c r="D421" s="5">
        <v>45724</v>
      </c>
      <c r="E421" s="5">
        <v>45731</v>
      </c>
      <c r="F421" s="5">
        <v>45737</v>
      </c>
      <c r="G421" s="4" t="s">
        <v>15</v>
      </c>
      <c r="H421" s="4">
        <v>12</v>
      </c>
      <c r="I421" s="2">
        <v>12</v>
      </c>
      <c r="J421">
        <f t="shared" si="30"/>
        <v>13</v>
      </c>
      <c r="K421">
        <f t="shared" si="31"/>
        <v>6</v>
      </c>
      <c r="L421" t="str">
        <f t="shared" si="32"/>
        <v>No</v>
      </c>
      <c r="M421" t="str">
        <f t="shared" si="34"/>
        <v>Yes</v>
      </c>
      <c r="N421" t="str">
        <f t="shared" si="33"/>
        <v>No</v>
      </c>
    </row>
    <row r="422" spans="1:14" x14ac:dyDescent="0.3">
      <c r="A422" s="2" t="s">
        <v>861</v>
      </c>
      <c r="B422" s="2" t="s">
        <v>862</v>
      </c>
      <c r="C422" s="2" t="s">
        <v>14</v>
      </c>
      <c r="D422" s="3">
        <v>45726</v>
      </c>
      <c r="E422" s="3">
        <v>45728</v>
      </c>
      <c r="F422" s="3">
        <v>45745</v>
      </c>
      <c r="G422" s="2" t="s">
        <v>18</v>
      </c>
      <c r="H422" s="2">
        <v>44</v>
      </c>
      <c r="I422" s="2">
        <v>44</v>
      </c>
      <c r="J422">
        <f t="shared" si="30"/>
        <v>19</v>
      </c>
      <c r="K422">
        <f t="shared" si="31"/>
        <v>17</v>
      </c>
      <c r="L422" t="str">
        <f t="shared" si="32"/>
        <v>No</v>
      </c>
      <c r="M422" t="str">
        <f t="shared" si="34"/>
        <v>Yes</v>
      </c>
      <c r="N422" t="str">
        <f t="shared" si="33"/>
        <v>No</v>
      </c>
    </row>
    <row r="423" spans="1:14" x14ac:dyDescent="0.3">
      <c r="A423" s="4" t="s">
        <v>863</v>
      </c>
      <c r="B423" s="4" t="s">
        <v>864</v>
      </c>
      <c r="C423" s="4" t="s">
        <v>21</v>
      </c>
      <c r="D423" s="5">
        <v>45725</v>
      </c>
      <c r="E423" s="5">
        <v>45729</v>
      </c>
      <c r="F423" s="5">
        <v>45731</v>
      </c>
      <c r="G423" s="4" t="s">
        <v>11</v>
      </c>
      <c r="H423" s="4">
        <v>28</v>
      </c>
      <c r="I423" s="2">
        <v>28</v>
      </c>
      <c r="J423">
        <f t="shared" si="30"/>
        <v>6</v>
      </c>
      <c r="K423">
        <f t="shared" si="31"/>
        <v>2</v>
      </c>
      <c r="L423" t="str">
        <f t="shared" si="32"/>
        <v>No</v>
      </c>
      <c r="M423" t="str">
        <f t="shared" si="34"/>
        <v>Yes</v>
      </c>
      <c r="N423" t="str">
        <f t="shared" si="33"/>
        <v>No</v>
      </c>
    </row>
    <row r="424" spans="1:14" x14ac:dyDescent="0.3">
      <c r="A424" s="2" t="s">
        <v>865</v>
      </c>
      <c r="B424" s="2" t="s">
        <v>866</v>
      </c>
      <c r="C424" s="2" t="s">
        <v>21</v>
      </c>
      <c r="D424" s="3">
        <v>45725</v>
      </c>
      <c r="E424" s="3">
        <v>45728</v>
      </c>
      <c r="F424" s="3">
        <v>45731</v>
      </c>
      <c r="G424" s="2" t="s">
        <v>11</v>
      </c>
      <c r="H424" s="2">
        <v>30</v>
      </c>
      <c r="I424" s="2">
        <v>35</v>
      </c>
      <c r="J424">
        <f t="shared" si="30"/>
        <v>6</v>
      </c>
      <c r="K424">
        <f t="shared" si="31"/>
        <v>3</v>
      </c>
      <c r="L424" t="str">
        <f t="shared" si="32"/>
        <v>No</v>
      </c>
      <c r="M424" t="str">
        <f t="shared" si="34"/>
        <v>No</v>
      </c>
      <c r="N424" t="str">
        <f t="shared" si="33"/>
        <v>No</v>
      </c>
    </row>
    <row r="425" spans="1:14" x14ac:dyDescent="0.3">
      <c r="A425" s="4" t="s">
        <v>867</v>
      </c>
      <c r="B425" s="4" t="s">
        <v>868</v>
      </c>
      <c r="C425" s="4" t="s">
        <v>27</v>
      </c>
      <c r="D425" s="5">
        <v>45725</v>
      </c>
      <c r="E425" s="5">
        <v>45727</v>
      </c>
      <c r="F425" s="5">
        <v>45738</v>
      </c>
      <c r="G425" s="4" t="s">
        <v>11</v>
      </c>
      <c r="H425" s="4">
        <v>33</v>
      </c>
      <c r="I425" s="2">
        <v>33</v>
      </c>
      <c r="J425">
        <f t="shared" si="30"/>
        <v>13</v>
      </c>
      <c r="K425">
        <f t="shared" si="31"/>
        <v>11</v>
      </c>
      <c r="L425" t="str">
        <f t="shared" si="32"/>
        <v>No</v>
      </c>
      <c r="M425" t="str">
        <f t="shared" si="34"/>
        <v>Yes</v>
      </c>
      <c r="N425" t="str">
        <f t="shared" si="33"/>
        <v>No</v>
      </c>
    </row>
    <row r="426" spans="1:14" x14ac:dyDescent="0.3">
      <c r="A426" s="2" t="s">
        <v>869</v>
      </c>
      <c r="B426" s="2" t="s">
        <v>870</v>
      </c>
      <c r="C426" s="2" t="s">
        <v>27</v>
      </c>
      <c r="D426" s="3">
        <v>45726</v>
      </c>
      <c r="E426" s="3">
        <v>45727</v>
      </c>
      <c r="F426" s="3">
        <v>45739</v>
      </c>
      <c r="G426" s="2" t="s">
        <v>11</v>
      </c>
      <c r="H426" s="2">
        <v>13</v>
      </c>
      <c r="I426" s="2">
        <v>13</v>
      </c>
      <c r="J426">
        <f t="shared" si="30"/>
        <v>13</v>
      </c>
      <c r="K426">
        <f t="shared" si="31"/>
        <v>12</v>
      </c>
      <c r="L426" t="str">
        <f t="shared" si="32"/>
        <v>No</v>
      </c>
      <c r="M426" t="str">
        <f t="shared" si="34"/>
        <v>Yes</v>
      </c>
      <c r="N426" t="str">
        <f t="shared" si="33"/>
        <v>No</v>
      </c>
    </row>
    <row r="427" spans="1:14" x14ac:dyDescent="0.3">
      <c r="A427" s="4" t="s">
        <v>871</v>
      </c>
      <c r="B427" s="4" t="s">
        <v>872</v>
      </c>
      <c r="C427" s="4" t="s">
        <v>34</v>
      </c>
      <c r="D427" s="5">
        <v>45725</v>
      </c>
      <c r="E427" s="5">
        <v>45731</v>
      </c>
      <c r="F427" s="5">
        <v>45732</v>
      </c>
      <c r="G427" s="4" t="s">
        <v>18</v>
      </c>
      <c r="H427" s="4">
        <v>55</v>
      </c>
      <c r="I427" s="2">
        <v>55</v>
      </c>
      <c r="J427">
        <f t="shared" si="30"/>
        <v>7</v>
      </c>
      <c r="K427">
        <f t="shared" si="31"/>
        <v>1</v>
      </c>
      <c r="L427" t="str">
        <f t="shared" si="32"/>
        <v>No</v>
      </c>
      <c r="M427" t="str">
        <f t="shared" si="34"/>
        <v>Yes</v>
      </c>
      <c r="N427" t="str">
        <f t="shared" si="33"/>
        <v>No</v>
      </c>
    </row>
    <row r="428" spans="1:14" x14ac:dyDescent="0.3">
      <c r="A428" s="2" t="s">
        <v>873</v>
      </c>
      <c r="B428" s="2" t="s">
        <v>874</v>
      </c>
      <c r="C428" s="2" t="s">
        <v>37</v>
      </c>
      <c r="D428" s="3">
        <v>45726</v>
      </c>
      <c r="E428" s="3">
        <v>45728</v>
      </c>
      <c r="F428" s="3">
        <v>45739</v>
      </c>
      <c r="G428" s="2" t="s">
        <v>11</v>
      </c>
      <c r="H428" s="2">
        <v>22</v>
      </c>
      <c r="I428" s="2">
        <v>22</v>
      </c>
      <c r="J428">
        <f t="shared" si="30"/>
        <v>13</v>
      </c>
      <c r="K428">
        <f t="shared" si="31"/>
        <v>11</v>
      </c>
      <c r="L428" t="str">
        <f t="shared" si="32"/>
        <v>No</v>
      </c>
      <c r="M428" t="str">
        <f t="shared" si="34"/>
        <v>Yes</v>
      </c>
      <c r="N428" t="str">
        <f t="shared" si="33"/>
        <v>No</v>
      </c>
    </row>
    <row r="429" spans="1:14" x14ac:dyDescent="0.3">
      <c r="A429" s="4" t="s">
        <v>875</v>
      </c>
      <c r="B429" s="4" t="s">
        <v>876</v>
      </c>
      <c r="C429" s="4" t="s">
        <v>72</v>
      </c>
      <c r="D429" s="5">
        <v>45726</v>
      </c>
      <c r="E429" s="5">
        <v>45735</v>
      </c>
      <c r="F429" s="5">
        <v>45740</v>
      </c>
      <c r="G429" s="4" t="s">
        <v>40</v>
      </c>
      <c r="H429" s="4">
        <v>16</v>
      </c>
      <c r="I429" s="2">
        <v>16</v>
      </c>
      <c r="J429">
        <f t="shared" si="30"/>
        <v>14</v>
      </c>
      <c r="K429">
        <f t="shared" si="31"/>
        <v>5</v>
      </c>
      <c r="L429" t="str">
        <f t="shared" si="32"/>
        <v>No</v>
      </c>
      <c r="M429" t="str">
        <f t="shared" si="34"/>
        <v>Yes</v>
      </c>
      <c r="N429" t="str">
        <f t="shared" si="33"/>
        <v>No</v>
      </c>
    </row>
    <row r="430" spans="1:14" x14ac:dyDescent="0.3">
      <c r="A430" s="2" t="s">
        <v>877</v>
      </c>
      <c r="B430" s="2" t="s">
        <v>878</v>
      </c>
      <c r="C430" s="2" t="s">
        <v>14</v>
      </c>
      <c r="D430" s="3">
        <v>45726</v>
      </c>
      <c r="E430" s="3">
        <v>45731</v>
      </c>
      <c r="F430" s="3">
        <v>45743</v>
      </c>
      <c r="G430" s="2" t="s">
        <v>22</v>
      </c>
      <c r="H430" s="2">
        <v>13</v>
      </c>
      <c r="I430" s="2">
        <v>13</v>
      </c>
      <c r="J430">
        <f t="shared" si="30"/>
        <v>17</v>
      </c>
      <c r="K430">
        <f t="shared" si="31"/>
        <v>12</v>
      </c>
      <c r="L430" t="str">
        <f t="shared" si="32"/>
        <v>No</v>
      </c>
      <c r="M430" t="str">
        <f t="shared" si="34"/>
        <v>Yes</v>
      </c>
      <c r="N430" t="str">
        <f t="shared" si="33"/>
        <v>No</v>
      </c>
    </row>
    <row r="431" spans="1:14" x14ac:dyDescent="0.3">
      <c r="A431" s="4" t="s">
        <v>879</v>
      </c>
      <c r="B431" s="4" t="s">
        <v>880</v>
      </c>
      <c r="C431" s="4" t="s">
        <v>14</v>
      </c>
      <c r="D431" s="5">
        <v>45727</v>
      </c>
      <c r="E431" s="5">
        <v>45733</v>
      </c>
      <c r="F431" s="5">
        <v>45742</v>
      </c>
      <c r="G431" s="4" t="s">
        <v>11</v>
      </c>
      <c r="H431" s="4">
        <v>19</v>
      </c>
      <c r="I431" s="2">
        <v>19</v>
      </c>
      <c r="J431">
        <f t="shared" si="30"/>
        <v>15</v>
      </c>
      <c r="K431">
        <f t="shared" si="31"/>
        <v>9</v>
      </c>
      <c r="L431" t="str">
        <f t="shared" si="32"/>
        <v>No</v>
      </c>
      <c r="M431" t="str">
        <f t="shared" si="34"/>
        <v>Yes</v>
      </c>
      <c r="N431" t="str">
        <f t="shared" si="33"/>
        <v>No</v>
      </c>
    </row>
    <row r="432" spans="1:14" x14ac:dyDescent="0.3">
      <c r="A432" s="2" t="s">
        <v>881</v>
      </c>
      <c r="B432" s="2" t="s">
        <v>882</v>
      </c>
      <c r="C432" s="2" t="s">
        <v>27</v>
      </c>
      <c r="D432" s="3">
        <v>45725</v>
      </c>
      <c r="E432" s="3">
        <v>45733</v>
      </c>
      <c r="F432" s="3">
        <v>45737</v>
      </c>
      <c r="G432" s="2" t="s">
        <v>15</v>
      </c>
      <c r="H432" s="2">
        <v>9</v>
      </c>
      <c r="I432" s="2">
        <v>9</v>
      </c>
      <c r="J432">
        <f t="shared" si="30"/>
        <v>12</v>
      </c>
      <c r="K432">
        <f t="shared" si="31"/>
        <v>4</v>
      </c>
      <c r="L432" t="str">
        <f t="shared" si="32"/>
        <v>No</v>
      </c>
      <c r="M432" t="str">
        <f t="shared" si="34"/>
        <v>Yes</v>
      </c>
      <c r="N432" t="str">
        <f t="shared" si="33"/>
        <v>No</v>
      </c>
    </row>
    <row r="433" spans="1:14" x14ac:dyDescent="0.3">
      <c r="A433" s="4" t="s">
        <v>883</v>
      </c>
      <c r="B433" s="4" t="s">
        <v>884</v>
      </c>
      <c r="C433" s="4" t="s">
        <v>37</v>
      </c>
      <c r="D433" s="5">
        <v>45726</v>
      </c>
      <c r="E433" s="5">
        <v>45735</v>
      </c>
      <c r="F433" s="5">
        <v>45738</v>
      </c>
      <c r="G433" s="4" t="s">
        <v>40</v>
      </c>
      <c r="H433" s="4">
        <v>11</v>
      </c>
      <c r="I433" s="2">
        <v>16</v>
      </c>
      <c r="J433">
        <f t="shared" si="30"/>
        <v>12</v>
      </c>
      <c r="K433">
        <f t="shared" si="31"/>
        <v>3</v>
      </c>
      <c r="L433" t="str">
        <f t="shared" si="32"/>
        <v>No</v>
      </c>
      <c r="M433" t="str">
        <f t="shared" si="34"/>
        <v>No</v>
      </c>
      <c r="N433" t="str">
        <f t="shared" si="33"/>
        <v>No</v>
      </c>
    </row>
    <row r="434" spans="1:14" x14ac:dyDescent="0.3">
      <c r="A434" s="2" t="s">
        <v>885</v>
      </c>
      <c r="B434" s="2" t="s">
        <v>886</v>
      </c>
      <c r="C434" s="2" t="s">
        <v>34</v>
      </c>
      <c r="D434" s="3">
        <v>45727</v>
      </c>
      <c r="E434" s="3">
        <v>45736</v>
      </c>
      <c r="F434" s="3">
        <v>45734</v>
      </c>
      <c r="G434" s="2" t="s">
        <v>15</v>
      </c>
      <c r="H434" s="2">
        <v>26</v>
      </c>
      <c r="I434" s="2">
        <v>26</v>
      </c>
      <c r="J434">
        <f t="shared" si="30"/>
        <v>7</v>
      </c>
      <c r="K434">
        <f t="shared" si="31"/>
        <v>-2</v>
      </c>
      <c r="L434" t="str">
        <f t="shared" si="32"/>
        <v>Yes</v>
      </c>
      <c r="M434" t="str">
        <f t="shared" si="34"/>
        <v>Yes</v>
      </c>
      <c r="N434" t="str">
        <f t="shared" si="33"/>
        <v>Yes</v>
      </c>
    </row>
    <row r="435" spans="1:14" x14ac:dyDescent="0.3">
      <c r="A435" s="4" t="s">
        <v>887</v>
      </c>
      <c r="B435" s="4" t="s">
        <v>888</v>
      </c>
      <c r="C435" s="4" t="s">
        <v>72</v>
      </c>
      <c r="D435" s="5">
        <v>45727</v>
      </c>
      <c r="E435" s="5">
        <v>45732</v>
      </c>
      <c r="F435" s="5">
        <v>45741</v>
      </c>
      <c r="G435" s="4" t="s">
        <v>18</v>
      </c>
      <c r="H435" s="4">
        <v>26</v>
      </c>
      <c r="I435" s="2">
        <v>26</v>
      </c>
      <c r="J435">
        <f t="shared" si="30"/>
        <v>14</v>
      </c>
      <c r="K435">
        <f t="shared" si="31"/>
        <v>9</v>
      </c>
      <c r="L435" t="str">
        <f t="shared" si="32"/>
        <v>No</v>
      </c>
      <c r="M435" t="str">
        <f t="shared" si="34"/>
        <v>Yes</v>
      </c>
      <c r="N435" t="str">
        <f t="shared" si="33"/>
        <v>No</v>
      </c>
    </row>
    <row r="436" spans="1:14" x14ac:dyDescent="0.3">
      <c r="A436" s="2" t="s">
        <v>889</v>
      </c>
      <c r="B436" s="2" t="s">
        <v>890</v>
      </c>
      <c r="C436" s="2" t="s">
        <v>59</v>
      </c>
      <c r="D436" s="3">
        <v>45727</v>
      </c>
      <c r="E436" s="3">
        <v>45730</v>
      </c>
      <c r="F436" s="3">
        <v>45730</v>
      </c>
      <c r="G436" s="2" t="s">
        <v>11</v>
      </c>
      <c r="H436" s="2">
        <v>12</v>
      </c>
      <c r="I436" s="2">
        <v>15</v>
      </c>
      <c r="J436">
        <f t="shared" si="30"/>
        <v>3</v>
      </c>
      <c r="K436">
        <f t="shared" si="31"/>
        <v>0</v>
      </c>
      <c r="L436" t="str">
        <f t="shared" si="32"/>
        <v>Yes</v>
      </c>
      <c r="M436" t="str">
        <f t="shared" si="34"/>
        <v>No</v>
      </c>
      <c r="N436" t="str">
        <f t="shared" si="33"/>
        <v>No</v>
      </c>
    </row>
    <row r="437" spans="1:14" x14ac:dyDescent="0.3">
      <c r="A437" s="4" t="s">
        <v>891</v>
      </c>
      <c r="B437" s="4" t="s">
        <v>892</v>
      </c>
      <c r="C437" s="4" t="s">
        <v>59</v>
      </c>
      <c r="D437" s="5">
        <v>45726</v>
      </c>
      <c r="E437" s="5">
        <v>45729</v>
      </c>
      <c r="F437" s="5">
        <v>45730</v>
      </c>
      <c r="G437" s="4" t="s">
        <v>18</v>
      </c>
      <c r="H437" s="4">
        <v>19</v>
      </c>
      <c r="I437" s="2">
        <v>19</v>
      </c>
      <c r="J437">
        <f t="shared" si="30"/>
        <v>4</v>
      </c>
      <c r="K437">
        <f t="shared" si="31"/>
        <v>1</v>
      </c>
      <c r="L437" t="str">
        <f t="shared" si="32"/>
        <v>No</v>
      </c>
      <c r="M437" t="str">
        <f t="shared" si="34"/>
        <v>Yes</v>
      </c>
      <c r="N437" t="str">
        <f t="shared" si="33"/>
        <v>No</v>
      </c>
    </row>
    <row r="438" spans="1:14" x14ac:dyDescent="0.3">
      <c r="A438" s="2" t="s">
        <v>893</v>
      </c>
      <c r="B438" s="2" t="s">
        <v>894</v>
      </c>
      <c r="C438" s="2" t="s">
        <v>21</v>
      </c>
      <c r="D438" s="3">
        <v>45728</v>
      </c>
      <c r="E438" s="3">
        <v>45735</v>
      </c>
      <c r="F438" s="3">
        <v>45738</v>
      </c>
      <c r="G438" s="2" t="s">
        <v>15</v>
      </c>
      <c r="H438" s="2">
        <v>37</v>
      </c>
      <c r="I438" s="2">
        <v>37</v>
      </c>
      <c r="J438">
        <f t="shared" si="30"/>
        <v>10</v>
      </c>
      <c r="K438">
        <f t="shared" si="31"/>
        <v>3</v>
      </c>
      <c r="L438" t="str">
        <f t="shared" si="32"/>
        <v>No</v>
      </c>
      <c r="M438" t="str">
        <f t="shared" si="34"/>
        <v>Yes</v>
      </c>
      <c r="N438" t="str">
        <f t="shared" si="33"/>
        <v>No</v>
      </c>
    </row>
    <row r="439" spans="1:14" x14ac:dyDescent="0.3">
      <c r="A439" s="4" t="s">
        <v>895</v>
      </c>
      <c r="B439" s="4" t="s">
        <v>896</v>
      </c>
      <c r="C439" s="4" t="s">
        <v>21</v>
      </c>
      <c r="D439" s="5">
        <v>45726</v>
      </c>
      <c r="E439" s="5">
        <v>45733</v>
      </c>
      <c r="F439" s="5">
        <v>45736</v>
      </c>
      <c r="G439" s="4" t="s">
        <v>18</v>
      </c>
      <c r="H439" s="4">
        <v>50</v>
      </c>
      <c r="I439" s="2">
        <v>50</v>
      </c>
      <c r="J439">
        <f t="shared" si="30"/>
        <v>10</v>
      </c>
      <c r="K439">
        <f t="shared" si="31"/>
        <v>3</v>
      </c>
      <c r="L439" t="str">
        <f t="shared" si="32"/>
        <v>No</v>
      </c>
      <c r="M439" t="str">
        <f t="shared" si="34"/>
        <v>Yes</v>
      </c>
      <c r="N439" t="str">
        <f t="shared" si="33"/>
        <v>No</v>
      </c>
    </row>
    <row r="440" spans="1:14" x14ac:dyDescent="0.3">
      <c r="A440" s="2" t="s">
        <v>897</v>
      </c>
      <c r="B440" s="2" t="s">
        <v>898</v>
      </c>
      <c r="C440" s="2" t="s">
        <v>27</v>
      </c>
      <c r="D440" s="3">
        <v>45726</v>
      </c>
      <c r="E440" s="3">
        <v>45730</v>
      </c>
      <c r="F440" s="3">
        <v>45739</v>
      </c>
      <c r="G440" s="2" t="s">
        <v>15</v>
      </c>
      <c r="H440" s="2">
        <v>26</v>
      </c>
      <c r="I440" s="2">
        <v>26</v>
      </c>
      <c r="J440">
        <f t="shared" si="30"/>
        <v>13</v>
      </c>
      <c r="K440">
        <f t="shared" si="31"/>
        <v>9</v>
      </c>
      <c r="L440" t="str">
        <f t="shared" si="32"/>
        <v>No</v>
      </c>
      <c r="M440" t="str">
        <f t="shared" si="34"/>
        <v>Yes</v>
      </c>
      <c r="N440" t="str">
        <f t="shared" si="33"/>
        <v>No</v>
      </c>
    </row>
    <row r="441" spans="1:14" x14ac:dyDescent="0.3">
      <c r="A441" s="4" t="s">
        <v>899</v>
      </c>
      <c r="B441" s="4" t="s">
        <v>900</v>
      </c>
      <c r="C441" s="4" t="s">
        <v>27</v>
      </c>
      <c r="D441" s="5">
        <v>45728</v>
      </c>
      <c r="E441" s="5">
        <v>45734</v>
      </c>
      <c r="F441" s="5">
        <v>45741</v>
      </c>
      <c r="G441" s="4" t="s">
        <v>40</v>
      </c>
      <c r="H441" s="4">
        <v>7</v>
      </c>
      <c r="I441" s="2">
        <v>7</v>
      </c>
      <c r="J441">
        <f t="shared" si="30"/>
        <v>13</v>
      </c>
      <c r="K441">
        <f t="shared" si="31"/>
        <v>7</v>
      </c>
      <c r="L441" t="str">
        <f t="shared" si="32"/>
        <v>No</v>
      </c>
      <c r="M441" t="str">
        <f t="shared" si="34"/>
        <v>Yes</v>
      </c>
      <c r="N441" t="str">
        <f t="shared" si="33"/>
        <v>No</v>
      </c>
    </row>
    <row r="442" spans="1:14" x14ac:dyDescent="0.3">
      <c r="A442" s="2" t="s">
        <v>901</v>
      </c>
      <c r="B442" s="2" t="s">
        <v>902</v>
      </c>
      <c r="C442" s="2" t="s">
        <v>10</v>
      </c>
      <c r="D442" s="3">
        <v>45727</v>
      </c>
      <c r="E442" s="3">
        <v>45730</v>
      </c>
      <c r="F442" s="3">
        <v>45732</v>
      </c>
      <c r="G442" s="2" t="s">
        <v>11</v>
      </c>
      <c r="H442" s="2">
        <v>15</v>
      </c>
      <c r="I442" s="2">
        <v>15</v>
      </c>
      <c r="J442">
        <f t="shared" si="30"/>
        <v>5</v>
      </c>
      <c r="K442">
        <f t="shared" si="31"/>
        <v>2</v>
      </c>
      <c r="L442" t="str">
        <f t="shared" si="32"/>
        <v>No</v>
      </c>
      <c r="M442" t="str">
        <f t="shared" si="34"/>
        <v>Yes</v>
      </c>
      <c r="N442" t="str">
        <f t="shared" si="33"/>
        <v>No</v>
      </c>
    </row>
    <row r="443" spans="1:14" x14ac:dyDescent="0.3">
      <c r="A443" s="4" t="s">
        <v>903</v>
      </c>
      <c r="B443" s="4" t="s">
        <v>904</v>
      </c>
      <c r="C443" s="4" t="s">
        <v>72</v>
      </c>
      <c r="D443" s="5">
        <v>45727</v>
      </c>
      <c r="E443" s="5">
        <v>45733</v>
      </c>
      <c r="F443" s="5">
        <v>45745</v>
      </c>
      <c r="G443" s="4" t="s">
        <v>40</v>
      </c>
      <c r="H443" s="4">
        <v>19</v>
      </c>
      <c r="I443" s="2">
        <v>19</v>
      </c>
      <c r="J443">
        <f t="shared" si="30"/>
        <v>18</v>
      </c>
      <c r="K443">
        <f t="shared" si="31"/>
        <v>12</v>
      </c>
      <c r="L443" t="str">
        <f t="shared" si="32"/>
        <v>No</v>
      </c>
      <c r="M443" t="str">
        <f t="shared" si="34"/>
        <v>Yes</v>
      </c>
      <c r="N443" t="str">
        <f t="shared" si="33"/>
        <v>No</v>
      </c>
    </row>
    <row r="444" spans="1:14" x14ac:dyDescent="0.3">
      <c r="A444" s="2" t="s">
        <v>905</v>
      </c>
      <c r="B444" s="2" t="s">
        <v>906</v>
      </c>
      <c r="C444" s="2" t="s">
        <v>14</v>
      </c>
      <c r="D444" s="3">
        <v>45728</v>
      </c>
      <c r="E444" s="3">
        <v>45736</v>
      </c>
      <c r="F444" s="3">
        <v>45747</v>
      </c>
      <c r="G444" s="2" t="s">
        <v>22</v>
      </c>
      <c r="H444" s="2">
        <v>36</v>
      </c>
      <c r="I444" s="2">
        <v>43</v>
      </c>
      <c r="J444">
        <f t="shared" si="30"/>
        <v>19</v>
      </c>
      <c r="K444">
        <f t="shared" si="31"/>
        <v>11</v>
      </c>
      <c r="L444" t="str">
        <f t="shared" si="32"/>
        <v>No</v>
      </c>
      <c r="M444" t="str">
        <f t="shared" si="34"/>
        <v>No</v>
      </c>
      <c r="N444" t="str">
        <f t="shared" si="33"/>
        <v>No</v>
      </c>
    </row>
    <row r="445" spans="1:14" x14ac:dyDescent="0.3">
      <c r="A445" s="4" t="s">
        <v>907</v>
      </c>
      <c r="B445" s="4" t="s">
        <v>908</v>
      </c>
      <c r="C445" s="4" t="s">
        <v>59</v>
      </c>
      <c r="D445" s="5">
        <v>45729</v>
      </c>
      <c r="E445" s="5">
        <v>45731</v>
      </c>
      <c r="F445" s="5">
        <v>45732</v>
      </c>
      <c r="G445" s="4" t="s">
        <v>22</v>
      </c>
      <c r="H445" s="4">
        <v>19</v>
      </c>
      <c r="I445" s="2">
        <v>19</v>
      </c>
      <c r="J445">
        <f t="shared" si="30"/>
        <v>3</v>
      </c>
      <c r="K445">
        <f t="shared" si="31"/>
        <v>1</v>
      </c>
      <c r="L445" t="str">
        <f t="shared" si="32"/>
        <v>No</v>
      </c>
      <c r="M445" t="str">
        <f t="shared" si="34"/>
        <v>Yes</v>
      </c>
      <c r="N445" t="str">
        <f t="shared" si="33"/>
        <v>No</v>
      </c>
    </row>
    <row r="446" spans="1:14" x14ac:dyDescent="0.3">
      <c r="A446" s="2" t="s">
        <v>909</v>
      </c>
      <c r="B446" s="2" t="s">
        <v>910</v>
      </c>
      <c r="C446" s="2" t="s">
        <v>21</v>
      </c>
      <c r="D446" s="3">
        <v>45729</v>
      </c>
      <c r="E446" s="3">
        <v>45732</v>
      </c>
      <c r="F446" s="3">
        <v>45735</v>
      </c>
      <c r="G446" s="2" t="s">
        <v>15</v>
      </c>
      <c r="H446" s="2">
        <v>56</v>
      </c>
      <c r="I446" s="2">
        <v>56</v>
      </c>
      <c r="J446">
        <f t="shared" si="30"/>
        <v>6</v>
      </c>
      <c r="K446">
        <f t="shared" si="31"/>
        <v>3</v>
      </c>
      <c r="L446" t="str">
        <f t="shared" si="32"/>
        <v>No</v>
      </c>
      <c r="M446" t="str">
        <f t="shared" si="34"/>
        <v>Yes</v>
      </c>
      <c r="N446" t="str">
        <f t="shared" si="33"/>
        <v>No</v>
      </c>
    </row>
    <row r="447" spans="1:14" x14ac:dyDescent="0.3">
      <c r="A447" s="4" t="s">
        <v>911</v>
      </c>
      <c r="B447" s="4" t="s">
        <v>912</v>
      </c>
      <c r="C447" s="4" t="s">
        <v>21</v>
      </c>
      <c r="D447" s="5">
        <v>45727</v>
      </c>
      <c r="E447" s="5">
        <v>45731</v>
      </c>
      <c r="F447" s="5">
        <v>45733</v>
      </c>
      <c r="G447" s="4" t="s">
        <v>18</v>
      </c>
      <c r="H447" s="4">
        <v>5</v>
      </c>
      <c r="I447" s="2">
        <v>5</v>
      </c>
      <c r="J447">
        <f t="shared" si="30"/>
        <v>6</v>
      </c>
      <c r="K447">
        <f t="shared" si="31"/>
        <v>2</v>
      </c>
      <c r="L447" t="str">
        <f t="shared" si="32"/>
        <v>No</v>
      </c>
      <c r="M447" t="str">
        <f t="shared" si="34"/>
        <v>Yes</v>
      </c>
      <c r="N447" t="str">
        <f t="shared" si="33"/>
        <v>No</v>
      </c>
    </row>
    <row r="448" spans="1:14" x14ac:dyDescent="0.3">
      <c r="A448" s="2" t="s">
        <v>913</v>
      </c>
      <c r="B448" s="2" t="s">
        <v>914</v>
      </c>
      <c r="C448" s="2" t="s">
        <v>27</v>
      </c>
      <c r="D448" s="3">
        <v>45729</v>
      </c>
      <c r="E448" s="3">
        <v>45737</v>
      </c>
      <c r="F448" s="3">
        <v>45741</v>
      </c>
      <c r="G448" s="2" t="s">
        <v>11</v>
      </c>
      <c r="H448" s="2">
        <v>32</v>
      </c>
      <c r="I448" s="2">
        <v>32</v>
      </c>
      <c r="J448">
        <f t="shared" si="30"/>
        <v>12</v>
      </c>
      <c r="K448">
        <f t="shared" si="31"/>
        <v>4</v>
      </c>
      <c r="L448" t="str">
        <f t="shared" si="32"/>
        <v>No</v>
      </c>
      <c r="M448" t="str">
        <f t="shared" si="34"/>
        <v>Yes</v>
      </c>
      <c r="N448" t="str">
        <f t="shared" si="33"/>
        <v>No</v>
      </c>
    </row>
    <row r="449" spans="1:14" x14ac:dyDescent="0.3">
      <c r="A449" s="4" t="s">
        <v>915</v>
      </c>
      <c r="B449" s="4" t="s">
        <v>916</v>
      </c>
      <c r="C449" s="4" t="s">
        <v>37</v>
      </c>
      <c r="D449" s="5">
        <v>45729</v>
      </c>
      <c r="E449" s="5">
        <v>45731</v>
      </c>
      <c r="F449" s="5">
        <v>45742</v>
      </c>
      <c r="G449" s="4" t="s">
        <v>40</v>
      </c>
      <c r="H449" s="4">
        <v>33</v>
      </c>
      <c r="I449" s="2">
        <v>33</v>
      </c>
      <c r="J449">
        <f t="shared" si="30"/>
        <v>13</v>
      </c>
      <c r="K449">
        <f t="shared" si="31"/>
        <v>11</v>
      </c>
      <c r="L449" t="str">
        <f t="shared" si="32"/>
        <v>No</v>
      </c>
      <c r="M449" t="str">
        <f t="shared" si="34"/>
        <v>Yes</v>
      </c>
      <c r="N449" t="str">
        <f t="shared" si="33"/>
        <v>No</v>
      </c>
    </row>
    <row r="450" spans="1:14" x14ac:dyDescent="0.3">
      <c r="A450" s="2" t="s">
        <v>917</v>
      </c>
      <c r="B450" s="2" t="s">
        <v>918</v>
      </c>
      <c r="C450" s="2" t="s">
        <v>34</v>
      </c>
      <c r="D450" s="3">
        <v>45728</v>
      </c>
      <c r="E450" s="3">
        <v>45737</v>
      </c>
      <c r="F450" s="3">
        <v>45734</v>
      </c>
      <c r="G450" s="2" t="s">
        <v>40</v>
      </c>
      <c r="H450" s="2">
        <v>7</v>
      </c>
      <c r="I450" s="2">
        <v>7</v>
      </c>
      <c r="J450">
        <f t="shared" si="30"/>
        <v>6</v>
      </c>
      <c r="K450">
        <f t="shared" si="31"/>
        <v>-3</v>
      </c>
      <c r="L450" t="str">
        <f t="shared" si="32"/>
        <v>Yes</v>
      </c>
      <c r="M450" t="str">
        <f t="shared" si="34"/>
        <v>Yes</v>
      </c>
      <c r="N450" t="str">
        <f t="shared" si="33"/>
        <v>Yes</v>
      </c>
    </row>
    <row r="451" spans="1:14" x14ac:dyDescent="0.3">
      <c r="A451" s="4" t="s">
        <v>919</v>
      </c>
      <c r="B451" s="4" t="s">
        <v>920</v>
      </c>
      <c r="C451" s="4" t="s">
        <v>34</v>
      </c>
      <c r="D451" s="5">
        <v>45729</v>
      </c>
      <c r="E451" s="5">
        <v>45737</v>
      </c>
      <c r="F451" s="5">
        <v>45736</v>
      </c>
      <c r="G451" s="4" t="s">
        <v>11</v>
      </c>
      <c r="H451" s="4">
        <v>25</v>
      </c>
      <c r="I451" s="2">
        <v>25</v>
      </c>
      <c r="J451">
        <f t="shared" ref="J451:J514" si="35">F451-D451</f>
        <v>7</v>
      </c>
      <c r="K451">
        <f t="shared" ref="K451:K514" si="36">F451-E451</f>
        <v>-1</v>
      </c>
      <c r="L451" t="str">
        <f t="shared" ref="L451:L514" si="37">IF(K451&lt;=0,"Yes","No")</f>
        <v>Yes</v>
      </c>
      <c r="M451" t="str">
        <f t="shared" si="34"/>
        <v>Yes</v>
      </c>
      <c r="N451" t="str">
        <f t="shared" ref="N451:N514" si="38">IF(AND(L451="Yes",M451="Yes"),"Yes","No")</f>
        <v>Yes</v>
      </c>
    </row>
    <row r="452" spans="1:14" x14ac:dyDescent="0.3">
      <c r="A452" s="2" t="s">
        <v>921</v>
      </c>
      <c r="B452" s="2" t="s">
        <v>922</v>
      </c>
      <c r="C452" s="2" t="s">
        <v>10</v>
      </c>
      <c r="D452" s="3">
        <v>45728</v>
      </c>
      <c r="E452" s="3">
        <v>45733</v>
      </c>
      <c r="F452" s="3">
        <v>45735</v>
      </c>
      <c r="G452" s="2" t="s">
        <v>11</v>
      </c>
      <c r="H452" s="2">
        <v>15</v>
      </c>
      <c r="I452" s="2">
        <v>15</v>
      </c>
      <c r="J452">
        <f t="shared" si="35"/>
        <v>7</v>
      </c>
      <c r="K452">
        <f t="shared" si="36"/>
        <v>2</v>
      </c>
      <c r="L452" t="str">
        <f t="shared" si="37"/>
        <v>No</v>
      </c>
      <c r="M452" t="str">
        <f t="shared" ref="M452:M515" si="39">IF(H452=I452,"Yes","No")</f>
        <v>Yes</v>
      </c>
      <c r="N452" t="str">
        <f t="shared" si="38"/>
        <v>No</v>
      </c>
    </row>
    <row r="453" spans="1:14" x14ac:dyDescent="0.3">
      <c r="A453" s="4" t="s">
        <v>923</v>
      </c>
      <c r="B453" s="4" t="s">
        <v>924</v>
      </c>
      <c r="C453" s="4" t="s">
        <v>14</v>
      </c>
      <c r="D453" s="5">
        <v>45730</v>
      </c>
      <c r="E453" s="5">
        <v>45737</v>
      </c>
      <c r="F453" s="5">
        <v>45745</v>
      </c>
      <c r="G453" s="4" t="s">
        <v>15</v>
      </c>
      <c r="H453" s="4">
        <v>24</v>
      </c>
      <c r="I453" s="2">
        <v>24</v>
      </c>
      <c r="J453">
        <f t="shared" si="35"/>
        <v>15</v>
      </c>
      <c r="K453">
        <f t="shared" si="36"/>
        <v>8</v>
      </c>
      <c r="L453" t="str">
        <f t="shared" si="37"/>
        <v>No</v>
      </c>
      <c r="M453" t="str">
        <f t="shared" si="39"/>
        <v>Yes</v>
      </c>
      <c r="N453" t="str">
        <f t="shared" si="38"/>
        <v>No</v>
      </c>
    </row>
    <row r="454" spans="1:14" x14ac:dyDescent="0.3">
      <c r="A454" s="2" t="s">
        <v>925</v>
      </c>
      <c r="B454" s="2" t="s">
        <v>926</v>
      </c>
      <c r="C454" s="2" t="s">
        <v>21</v>
      </c>
      <c r="D454" s="3">
        <v>45730</v>
      </c>
      <c r="E454" s="3">
        <v>45731</v>
      </c>
      <c r="F454" s="3">
        <v>45736</v>
      </c>
      <c r="G454" s="2" t="s">
        <v>22</v>
      </c>
      <c r="H454" s="2">
        <v>50</v>
      </c>
      <c r="I454" s="2">
        <v>50</v>
      </c>
      <c r="J454">
        <f t="shared" si="35"/>
        <v>6</v>
      </c>
      <c r="K454">
        <f t="shared" si="36"/>
        <v>5</v>
      </c>
      <c r="L454" t="str">
        <f t="shared" si="37"/>
        <v>No</v>
      </c>
      <c r="M454" t="str">
        <f t="shared" si="39"/>
        <v>Yes</v>
      </c>
      <c r="N454" t="str">
        <f t="shared" si="38"/>
        <v>No</v>
      </c>
    </row>
    <row r="455" spans="1:14" x14ac:dyDescent="0.3">
      <c r="A455" s="4" t="s">
        <v>927</v>
      </c>
      <c r="B455" s="4" t="s">
        <v>928</v>
      </c>
      <c r="C455" s="4" t="s">
        <v>27</v>
      </c>
      <c r="D455" s="5">
        <v>45728</v>
      </c>
      <c r="E455" s="5">
        <v>45736</v>
      </c>
      <c r="F455" s="5">
        <v>45741</v>
      </c>
      <c r="G455" s="4" t="s">
        <v>11</v>
      </c>
      <c r="H455" s="4">
        <v>10</v>
      </c>
      <c r="I455" s="2">
        <v>18</v>
      </c>
      <c r="J455">
        <f t="shared" si="35"/>
        <v>13</v>
      </c>
      <c r="K455">
        <f t="shared" si="36"/>
        <v>5</v>
      </c>
      <c r="L455" t="str">
        <f t="shared" si="37"/>
        <v>No</v>
      </c>
      <c r="M455" t="str">
        <f t="shared" si="39"/>
        <v>No</v>
      </c>
      <c r="N455" t="str">
        <f t="shared" si="38"/>
        <v>No</v>
      </c>
    </row>
    <row r="456" spans="1:14" x14ac:dyDescent="0.3">
      <c r="A456" s="2" t="s">
        <v>929</v>
      </c>
      <c r="B456" s="2" t="s">
        <v>930</v>
      </c>
      <c r="C456" s="2" t="s">
        <v>27</v>
      </c>
      <c r="D456" s="3">
        <v>45730</v>
      </c>
      <c r="E456" s="3">
        <v>45735</v>
      </c>
      <c r="F456" s="3">
        <v>45744</v>
      </c>
      <c r="G456" s="2" t="s">
        <v>22</v>
      </c>
      <c r="H456" s="2">
        <v>5</v>
      </c>
      <c r="I456" s="2">
        <v>5</v>
      </c>
      <c r="J456">
        <f t="shared" si="35"/>
        <v>14</v>
      </c>
      <c r="K456">
        <f t="shared" si="36"/>
        <v>9</v>
      </c>
      <c r="L456" t="str">
        <f t="shared" si="37"/>
        <v>No</v>
      </c>
      <c r="M456" t="str">
        <f t="shared" si="39"/>
        <v>Yes</v>
      </c>
      <c r="N456" t="str">
        <f t="shared" si="38"/>
        <v>No</v>
      </c>
    </row>
    <row r="457" spans="1:14" x14ac:dyDescent="0.3">
      <c r="A457" s="4" t="s">
        <v>931</v>
      </c>
      <c r="B457" s="4" t="s">
        <v>932</v>
      </c>
      <c r="C457" s="4" t="s">
        <v>72</v>
      </c>
      <c r="D457" s="5">
        <v>45730</v>
      </c>
      <c r="E457" s="5">
        <v>45735</v>
      </c>
      <c r="F457" s="5">
        <v>45748</v>
      </c>
      <c r="G457" s="4" t="s">
        <v>40</v>
      </c>
      <c r="H457" s="4">
        <v>17</v>
      </c>
      <c r="I457" s="2">
        <v>17</v>
      </c>
      <c r="J457">
        <f t="shared" si="35"/>
        <v>18</v>
      </c>
      <c r="K457">
        <f t="shared" si="36"/>
        <v>13</v>
      </c>
      <c r="L457" t="str">
        <f t="shared" si="37"/>
        <v>No</v>
      </c>
      <c r="M457" t="str">
        <f t="shared" si="39"/>
        <v>Yes</v>
      </c>
      <c r="N457" t="str">
        <f t="shared" si="38"/>
        <v>No</v>
      </c>
    </row>
    <row r="458" spans="1:14" x14ac:dyDescent="0.3">
      <c r="A458" s="2" t="s">
        <v>933</v>
      </c>
      <c r="B458" s="2" t="s">
        <v>934</v>
      </c>
      <c r="C458" s="2" t="s">
        <v>59</v>
      </c>
      <c r="D458" s="3">
        <v>45731</v>
      </c>
      <c r="E458" s="3">
        <v>45734</v>
      </c>
      <c r="F458" s="3">
        <v>45735</v>
      </c>
      <c r="G458" s="2" t="s">
        <v>40</v>
      </c>
      <c r="H458" s="2">
        <v>38</v>
      </c>
      <c r="I458" s="2">
        <v>38</v>
      </c>
      <c r="J458">
        <f t="shared" si="35"/>
        <v>4</v>
      </c>
      <c r="K458">
        <f t="shared" si="36"/>
        <v>1</v>
      </c>
      <c r="L458" t="str">
        <f t="shared" si="37"/>
        <v>No</v>
      </c>
      <c r="M458" t="str">
        <f t="shared" si="39"/>
        <v>Yes</v>
      </c>
      <c r="N458" t="str">
        <f t="shared" si="38"/>
        <v>No</v>
      </c>
    </row>
    <row r="459" spans="1:14" x14ac:dyDescent="0.3">
      <c r="A459" s="4" t="s">
        <v>935</v>
      </c>
      <c r="B459" s="4" t="s">
        <v>936</v>
      </c>
      <c r="C459" s="4" t="s">
        <v>27</v>
      </c>
      <c r="D459" s="5">
        <v>45729</v>
      </c>
      <c r="E459" s="5">
        <v>45737</v>
      </c>
      <c r="F459" s="5">
        <v>45741</v>
      </c>
      <c r="G459" s="4" t="s">
        <v>18</v>
      </c>
      <c r="H459" s="4">
        <v>3</v>
      </c>
      <c r="I459" s="2">
        <v>3</v>
      </c>
      <c r="J459">
        <f t="shared" si="35"/>
        <v>12</v>
      </c>
      <c r="K459">
        <f t="shared" si="36"/>
        <v>4</v>
      </c>
      <c r="L459" t="str">
        <f t="shared" si="37"/>
        <v>No</v>
      </c>
      <c r="M459" t="str">
        <f t="shared" si="39"/>
        <v>Yes</v>
      </c>
      <c r="N459" t="str">
        <f t="shared" si="38"/>
        <v>No</v>
      </c>
    </row>
    <row r="460" spans="1:14" x14ac:dyDescent="0.3">
      <c r="A460" s="2" t="s">
        <v>937</v>
      </c>
      <c r="B460" s="2" t="s">
        <v>938</v>
      </c>
      <c r="C460" s="2" t="s">
        <v>34</v>
      </c>
      <c r="D460" s="3">
        <v>45732</v>
      </c>
      <c r="E460" s="3">
        <v>45740</v>
      </c>
      <c r="F460" s="3">
        <v>45739</v>
      </c>
      <c r="G460" s="2" t="s">
        <v>15</v>
      </c>
      <c r="H460" s="2">
        <v>57</v>
      </c>
      <c r="I460" s="2">
        <v>57</v>
      </c>
      <c r="J460">
        <f t="shared" si="35"/>
        <v>7</v>
      </c>
      <c r="K460">
        <f t="shared" si="36"/>
        <v>-1</v>
      </c>
      <c r="L460" t="str">
        <f t="shared" si="37"/>
        <v>Yes</v>
      </c>
      <c r="M460" t="str">
        <f t="shared" si="39"/>
        <v>Yes</v>
      </c>
      <c r="N460" t="str">
        <f t="shared" si="38"/>
        <v>Yes</v>
      </c>
    </row>
    <row r="461" spans="1:14" x14ac:dyDescent="0.3">
      <c r="A461" s="4" t="s">
        <v>939</v>
      </c>
      <c r="B461" s="4" t="s">
        <v>940</v>
      </c>
      <c r="C461" s="4" t="s">
        <v>34</v>
      </c>
      <c r="D461" s="5">
        <v>45732</v>
      </c>
      <c r="E461" s="5">
        <v>45733</v>
      </c>
      <c r="F461" s="5">
        <v>45738</v>
      </c>
      <c r="G461" s="4" t="s">
        <v>22</v>
      </c>
      <c r="H461" s="4">
        <v>16</v>
      </c>
      <c r="I461" s="2">
        <v>16</v>
      </c>
      <c r="J461">
        <f t="shared" si="35"/>
        <v>6</v>
      </c>
      <c r="K461">
        <f t="shared" si="36"/>
        <v>5</v>
      </c>
      <c r="L461" t="str">
        <f t="shared" si="37"/>
        <v>No</v>
      </c>
      <c r="M461" t="str">
        <f t="shared" si="39"/>
        <v>Yes</v>
      </c>
      <c r="N461" t="str">
        <f t="shared" si="38"/>
        <v>No</v>
      </c>
    </row>
    <row r="462" spans="1:14" x14ac:dyDescent="0.3">
      <c r="A462" s="2" t="s">
        <v>941</v>
      </c>
      <c r="B462" s="2" t="s">
        <v>942</v>
      </c>
      <c r="C462" s="2" t="s">
        <v>37</v>
      </c>
      <c r="D462" s="3">
        <v>45732</v>
      </c>
      <c r="E462" s="3">
        <v>45733</v>
      </c>
      <c r="F462" s="3">
        <v>45749</v>
      </c>
      <c r="G462" s="2" t="s">
        <v>40</v>
      </c>
      <c r="H462" s="2">
        <v>38</v>
      </c>
      <c r="I462" s="2">
        <v>38</v>
      </c>
      <c r="J462">
        <f t="shared" si="35"/>
        <v>17</v>
      </c>
      <c r="K462">
        <f t="shared" si="36"/>
        <v>16</v>
      </c>
      <c r="L462" t="str">
        <f t="shared" si="37"/>
        <v>No</v>
      </c>
      <c r="M462" t="str">
        <f t="shared" si="39"/>
        <v>Yes</v>
      </c>
      <c r="N462" t="str">
        <f t="shared" si="38"/>
        <v>No</v>
      </c>
    </row>
    <row r="463" spans="1:14" x14ac:dyDescent="0.3">
      <c r="A463" s="4" t="s">
        <v>943</v>
      </c>
      <c r="B463" s="4" t="s">
        <v>944</v>
      </c>
      <c r="C463" s="4" t="s">
        <v>10</v>
      </c>
      <c r="D463" s="5">
        <v>45731</v>
      </c>
      <c r="E463" s="5">
        <v>45735</v>
      </c>
      <c r="F463" s="5">
        <v>45736</v>
      </c>
      <c r="G463" s="4" t="s">
        <v>40</v>
      </c>
      <c r="H463" s="4">
        <v>38</v>
      </c>
      <c r="I463" s="2">
        <v>38</v>
      </c>
      <c r="J463">
        <f t="shared" si="35"/>
        <v>5</v>
      </c>
      <c r="K463">
        <f t="shared" si="36"/>
        <v>1</v>
      </c>
      <c r="L463" t="str">
        <f t="shared" si="37"/>
        <v>No</v>
      </c>
      <c r="M463" t="str">
        <f t="shared" si="39"/>
        <v>Yes</v>
      </c>
      <c r="N463" t="str">
        <f t="shared" si="38"/>
        <v>No</v>
      </c>
    </row>
    <row r="464" spans="1:14" x14ac:dyDescent="0.3">
      <c r="A464" s="2" t="s">
        <v>945</v>
      </c>
      <c r="B464" s="2" t="s">
        <v>946</v>
      </c>
      <c r="C464" s="2" t="s">
        <v>10</v>
      </c>
      <c r="D464" s="3">
        <v>45731</v>
      </c>
      <c r="E464" s="3">
        <v>45734</v>
      </c>
      <c r="F464" s="3">
        <v>45737</v>
      </c>
      <c r="G464" s="2" t="s">
        <v>40</v>
      </c>
      <c r="H464" s="2">
        <v>5</v>
      </c>
      <c r="I464" s="2">
        <v>5</v>
      </c>
      <c r="J464">
        <f t="shared" si="35"/>
        <v>6</v>
      </c>
      <c r="K464">
        <f t="shared" si="36"/>
        <v>3</v>
      </c>
      <c r="L464" t="str">
        <f t="shared" si="37"/>
        <v>No</v>
      </c>
      <c r="M464" t="str">
        <f t="shared" si="39"/>
        <v>Yes</v>
      </c>
      <c r="N464" t="str">
        <f t="shared" si="38"/>
        <v>No</v>
      </c>
    </row>
    <row r="465" spans="1:14" x14ac:dyDescent="0.3">
      <c r="A465" s="4" t="s">
        <v>947</v>
      </c>
      <c r="B465" s="4" t="s">
        <v>948</v>
      </c>
      <c r="C465" s="4" t="s">
        <v>14</v>
      </c>
      <c r="D465" s="5">
        <v>45732</v>
      </c>
      <c r="E465" s="5">
        <v>45739</v>
      </c>
      <c r="F465" s="5">
        <v>45748</v>
      </c>
      <c r="G465" s="4" t="s">
        <v>40</v>
      </c>
      <c r="H465" s="4">
        <v>24</v>
      </c>
      <c r="I465" s="2">
        <v>24</v>
      </c>
      <c r="J465">
        <f t="shared" si="35"/>
        <v>16</v>
      </c>
      <c r="K465">
        <f t="shared" si="36"/>
        <v>9</v>
      </c>
      <c r="L465" t="str">
        <f t="shared" si="37"/>
        <v>No</v>
      </c>
      <c r="M465" t="str">
        <f t="shared" si="39"/>
        <v>Yes</v>
      </c>
      <c r="N465" t="str">
        <f t="shared" si="38"/>
        <v>No</v>
      </c>
    </row>
    <row r="466" spans="1:14" x14ac:dyDescent="0.3">
      <c r="A466" s="2" t="s">
        <v>949</v>
      </c>
      <c r="B466" s="2" t="s">
        <v>950</v>
      </c>
      <c r="C466" s="2" t="s">
        <v>14</v>
      </c>
      <c r="D466" s="3">
        <v>45732</v>
      </c>
      <c r="E466" s="3">
        <v>45739</v>
      </c>
      <c r="F466" s="3">
        <v>45747</v>
      </c>
      <c r="G466" s="2" t="s">
        <v>40</v>
      </c>
      <c r="H466" s="2">
        <v>11</v>
      </c>
      <c r="I466" s="2">
        <v>11</v>
      </c>
      <c r="J466">
        <f t="shared" si="35"/>
        <v>15</v>
      </c>
      <c r="K466">
        <f t="shared" si="36"/>
        <v>8</v>
      </c>
      <c r="L466" t="str">
        <f t="shared" si="37"/>
        <v>No</v>
      </c>
      <c r="M466" t="str">
        <f t="shared" si="39"/>
        <v>Yes</v>
      </c>
      <c r="N466" t="str">
        <f t="shared" si="38"/>
        <v>No</v>
      </c>
    </row>
    <row r="467" spans="1:14" x14ac:dyDescent="0.3">
      <c r="A467" s="4" t="s">
        <v>951</v>
      </c>
      <c r="B467" s="4" t="s">
        <v>952</v>
      </c>
      <c r="C467" s="4" t="s">
        <v>21</v>
      </c>
      <c r="D467" s="5">
        <v>45730</v>
      </c>
      <c r="E467" s="5">
        <v>45738</v>
      </c>
      <c r="F467" s="5">
        <v>45735</v>
      </c>
      <c r="G467" s="4" t="s">
        <v>22</v>
      </c>
      <c r="H467" s="4">
        <v>71</v>
      </c>
      <c r="I467" s="2">
        <v>71</v>
      </c>
      <c r="J467">
        <f t="shared" si="35"/>
        <v>5</v>
      </c>
      <c r="K467">
        <f t="shared" si="36"/>
        <v>-3</v>
      </c>
      <c r="L467" t="str">
        <f t="shared" si="37"/>
        <v>Yes</v>
      </c>
      <c r="M467" t="str">
        <f t="shared" si="39"/>
        <v>Yes</v>
      </c>
      <c r="N467" t="str">
        <f t="shared" si="38"/>
        <v>Yes</v>
      </c>
    </row>
    <row r="468" spans="1:14" x14ac:dyDescent="0.3">
      <c r="A468" s="2" t="s">
        <v>953</v>
      </c>
      <c r="B468" s="2" t="s">
        <v>954</v>
      </c>
      <c r="C468" s="2" t="s">
        <v>21</v>
      </c>
      <c r="D468" s="3">
        <v>45732</v>
      </c>
      <c r="E468" s="3">
        <v>45735</v>
      </c>
      <c r="F468" s="3">
        <v>45742</v>
      </c>
      <c r="G468" s="2" t="s">
        <v>15</v>
      </c>
      <c r="H468" s="2">
        <v>25</v>
      </c>
      <c r="I468" s="2">
        <v>25</v>
      </c>
      <c r="J468">
        <f t="shared" si="35"/>
        <v>10</v>
      </c>
      <c r="K468">
        <f t="shared" si="36"/>
        <v>7</v>
      </c>
      <c r="L468" t="str">
        <f t="shared" si="37"/>
        <v>No</v>
      </c>
      <c r="M468" t="str">
        <f t="shared" si="39"/>
        <v>Yes</v>
      </c>
      <c r="N468" t="str">
        <f t="shared" si="38"/>
        <v>No</v>
      </c>
    </row>
    <row r="469" spans="1:14" x14ac:dyDescent="0.3">
      <c r="A469" s="4" t="s">
        <v>955</v>
      </c>
      <c r="B469" s="4" t="s">
        <v>956</v>
      </c>
      <c r="C469" s="4" t="s">
        <v>27</v>
      </c>
      <c r="D469" s="5">
        <v>45732</v>
      </c>
      <c r="E469" s="5">
        <v>45733</v>
      </c>
      <c r="F469" s="5">
        <v>45744</v>
      </c>
      <c r="G469" s="4" t="s">
        <v>11</v>
      </c>
      <c r="H469" s="4">
        <v>6</v>
      </c>
      <c r="I469" s="2">
        <v>6</v>
      </c>
      <c r="J469">
        <f t="shared" si="35"/>
        <v>12</v>
      </c>
      <c r="K469">
        <f t="shared" si="36"/>
        <v>11</v>
      </c>
      <c r="L469" t="str">
        <f t="shared" si="37"/>
        <v>No</v>
      </c>
      <c r="M469" t="str">
        <f t="shared" si="39"/>
        <v>Yes</v>
      </c>
      <c r="N469" t="str">
        <f t="shared" si="38"/>
        <v>No</v>
      </c>
    </row>
    <row r="470" spans="1:14" x14ac:dyDescent="0.3">
      <c r="A470" s="2" t="s">
        <v>957</v>
      </c>
      <c r="B470" s="2" t="s">
        <v>958</v>
      </c>
      <c r="C470" s="2" t="s">
        <v>37</v>
      </c>
      <c r="D470" s="3">
        <v>45732</v>
      </c>
      <c r="E470" s="3">
        <v>45736</v>
      </c>
      <c r="F470" s="3">
        <v>45745</v>
      </c>
      <c r="G470" s="2" t="s">
        <v>11</v>
      </c>
      <c r="H470" s="2">
        <v>9</v>
      </c>
      <c r="I470" s="2">
        <v>9</v>
      </c>
      <c r="J470">
        <f t="shared" si="35"/>
        <v>13</v>
      </c>
      <c r="K470">
        <f t="shared" si="36"/>
        <v>9</v>
      </c>
      <c r="L470" t="str">
        <f t="shared" si="37"/>
        <v>No</v>
      </c>
      <c r="M470" t="str">
        <f t="shared" si="39"/>
        <v>Yes</v>
      </c>
      <c r="N470" t="str">
        <f t="shared" si="38"/>
        <v>No</v>
      </c>
    </row>
    <row r="471" spans="1:14" x14ac:dyDescent="0.3">
      <c r="A471" s="4" t="s">
        <v>959</v>
      </c>
      <c r="B471" s="4" t="s">
        <v>960</v>
      </c>
      <c r="C471" s="4" t="s">
        <v>72</v>
      </c>
      <c r="D471" s="5">
        <v>45732</v>
      </c>
      <c r="E471" s="5">
        <v>45739</v>
      </c>
      <c r="F471" s="5">
        <v>45746</v>
      </c>
      <c r="G471" s="4" t="s">
        <v>18</v>
      </c>
      <c r="H471" s="4">
        <v>5</v>
      </c>
      <c r="I471" s="2">
        <v>9</v>
      </c>
      <c r="J471">
        <f t="shared" si="35"/>
        <v>14</v>
      </c>
      <c r="K471">
        <f t="shared" si="36"/>
        <v>7</v>
      </c>
      <c r="L471" t="str">
        <f t="shared" si="37"/>
        <v>No</v>
      </c>
      <c r="M471" t="str">
        <f t="shared" si="39"/>
        <v>No</v>
      </c>
      <c r="N471" t="str">
        <f t="shared" si="38"/>
        <v>No</v>
      </c>
    </row>
    <row r="472" spans="1:14" x14ac:dyDescent="0.3">
      <c r="A472" s="2" t="s">
        <v>961</v>
      </c>
      <c r="B472" s="2" t="s">
        <v>962</v>
      </c>
      <c r="C472" s="2" t="s">
        <v>14</v>
      </c>
      <c r="D472" s="3">
        <v>45733</v>
      </c>
      <c r="E472" s="3">
        <v>45735</v>
      </c>
      <c r="F472" s="3">
        <v>45747</v>
      </c>
      <c r="G472" s="2" t="s">
        <v>18</v>
      </c>
      <c r="H472" s="2">
        <v>49</v>
      </c>
      <c r="I472" s="2">
        <v>49</v>
      </c>
      <c r="J472">
        <f t="shared" si="35"/>
        <v>14</v>
      </c>
      <c r="K472">
        <f t="shared" si="36"/>
        <v>12</v>
      </c>
      <c r="L472" t="str">
        <f t="shared" si="37"/>
        <v>No</v>
      </c>
      <c r="M472" t="str">
        <f t="shared" si="39"/>
        <v>Yes</v>
      </c>
      <c r="N472" t="str">
        <f t="shared" si="38"/>
        <v>No</v>
      </c>
    </row>
    <row r="473" spans="1:14" x14ac:dyDescent="0.3">
      <c r="A473" s="4" t="s">
        <v>963</v>
      </c>
      <c r="B473" s="4" t="s">
        <v>964</v>
      </c>
      <c r="C473" s="4" t="s">
        <v>21</v>
      </c>
      <c r="D473" s="5">
        <v>45732</v>
      </c>
      <c r="E473" s="5">
        <v>45741</v>
      </c>
      <c r="F473" s="5">
        <v>45740</v>
      </c>
      <c r="G473" s="4" t="s">
        <v>22</v>
      </c>
      <c r="H473" s="4">
        <v>39</v>
      </c>
      <c r="I473" s="2">
        <v>39</v>
      </c>
      <c r="J473">
        <f t="shared" si="35"/>
        <v>8</v>
      </c>
      <c r="K473">
        <f t="shared" si="36"/>
        <v>-1</v>
      </c>
      <c r="L473" t="str">
        <f t="shared" si="37"/>
        <v>Yes</v>
      </c>
      <c r="M473" t="str">
        <f t="shared" si="39"/>
        <v>Yes</v>
      </c>
      <c r="N473" t="str">
        <f t="shared" si="38"/>
        <v>Yes</v>
      </c>
    </row>
    <row r="474" spans="1:14" x14ac:dyDescent="0.3">
      <c r="A474" s="2" t="s">
        <v>965</v>
      </c>
      <c r="B474" s="2" t="s">
        <v>966</v>
      </c>
      <c r="C474" s="2" t="s">
        <v>27</v>
      </c>
      <c r="D474" s="3">
        <v>45733</v>
      </c>
      <c r="E474" s="3">
        <v>45741</v>
      </c>
      <c r="F474" s="3">
        <v>45748</v>
      </c>
      <c r="G474" s="2" t="s">
        <v>11</v>
      </c>
      <c r="H474" s="2">
        <v>7</v>
      </c>
      <c r="I474" s="2">
        <v>7</v>
      </c>
      <c r="J474">
        <f t="shared" si="35"/>
        <v>15</v>
      </c>
      <c r="K474">
        <f t="shared" si="36"/>
        <v>7</v>
      </c>
      <c r="L474" t="str">
        <f t="shared" si="37"/>
        <v>No</v>
      </c>
      <c r="M474" t="str">
        <f t="shared" si="39"/>
        <v>Yes</v>
      </c>
      <c r="N474" t="str">
        <f t="shared" si="38"/>
        <v>No</v>
      </c>
    </row>
    <row r="475" spans="1:14" x14ac:dyDescent="0.3">
      <c r="A475" s="4" t="s">
        <v>967</v>
      </c>
      <c r="B475" s="4" t="s">
        <v>968</v>
      </c>
      <c r="C475" s="4" t="s">
        <v>37</v>
      </c>
      <c r="D475" s="5">
        <v>45734</v>
      </c>
      <c r="E475" s="5">
        <v>45736</v>
      </c>
      <c r="F475" s="5">
        <v>45748</v>
      </c>
      <c r="G475" s="4" t="s">
        <v>18</v>
      </c>
      <c r="H475" s="4">
        <v>24</v>
      </c>
      <c r="I475" s="2">
        <v>32</v>
      </c>
      <c r="J475">
        <f t="shared" si="35"/>
        <v>14</v>
      </c>
      <c r="K475">
        <f t="shared" si="36"/>
        <v>12</v>
      </c>
      <c r="L475" t="str">
        <f t="shared" si="37"/>
        <v>No</v>
      </c>
      <c r="M475" t="str">
        <f t="shared" si="39"/>
        <v>No</v>
      </c>
      <c r="N475" t="str">
        <f t="shared" si="38"/>
        <v>No</v>
      </c>
    </row>
    <row r="476" spans="1:14" x14ac:dyDescent="0.3">
      <c r="A476" s="2" t="s">
        <v>969</v>
      </c>
      <c r="B476" s="2" t="s">
        <v>970</v>
      </c>
      <c r="C476" s="2" t="s">
        <v>34</v>
      </c>
      <c r="D476" s="3">
        <v>45734</v>
      </c>
      <c r="E476" s="3">
        <v>45740</v>
      </c>
      <c r="F476" s="3">
        <v>45743</v>
      </c>
      <c r="G476" s="2" t="s">
        <v>18</v>
      </c>
      <c r="H476" s="2">
        <v>17</v>
      </c>
      <c r="I476" s="2">
        <v>17</v>
      </c>
      <c r="J476">
        <f t="shared" si="35"/>
        <v>9</v>
      </c>
      <c r="K476">
        <f t="shared" si="36"/>
        <v>3</v>
      </c>
      <c r="L476" t="str">
        <f t="shared" si="37"/>
        <v>No</v>
      </c>
      <c r="M476" t="str">
        <f t="shared" si="39"/>
        <v>Yes</v>
      </c>
      <c r="N476" t="str">
        <f t="shared" si="38"/>
        <v>No</v>
      </c>
    </row>
    <row r="477" spans="1:14" x14ac:dyDescent="0.3">
      <c r="A477" s="4" t="s">
        <v>971</v>
      </c>
      <c r="B477" s="4" t="s">
        <v>972</v>
      </c>
      <c r="C477" s="4" t="s">
        <v>34</v>
      </c>
      <c r="D477" s="5">
        <v>45734</v>
      </c>
      <c r="E477" s="5">
        <v>45736</v>
      </c>
      <c r="F477" s="5">
        <v>45742</v>
      </c>
      <c r="G477" s="4" t="s">
        <v>40</v>
      </c>
      <c r="H477" s="4">
        <v>41</v>
      </c>
      <c r="I477" s="2">
        <v>41</v>
      </c>
      <c r="J477">
        <f t="shared" si="35"/>
        <v>8</v>
      </c>
      <c r="K477">
        <f t="shared" si="36"/>
        <v>6</v>
      </c>
      <c r="L477" t="str">
        <f t="shared" si="37"/>
        <v>No</v>
      </c>
      <c r="M477" t="str">
        <f t="shared" si="39"/>
        <v>Yes</v>
      </c>
      <c r="N477" t="str">
        <f t="shared" si="38"/>
        <v>No</v>
      </c>
    </row>
    <row r="478" spans="1:14" x14ac:dyDescent="0.3">
      <c r="A478" s="2" t="s">
        <v>973</v>
      </c>
      <c r="B478" s="2" t="s">
        <v>974</v>
      </c>
      <c r="C478" s="2" t="s">
        <v>10</v>
      </c>
      <c r="D478" s="3">
        <v>45733</v>
      </c>
      <c r="E478" s="3">
        <v>45735</v>
      </c>
      <c r="F478" s="3">
        <v>45738</v>
      </c>
      <c r="G478" s="2" t="s">
        <v>40</v>
      </c>
      <c r="H478" s="2">
        <v>24</v>
      </c>
      <c r="I478" s="2">
        <v>24</v>
      </c>
      <c r="J478">
        <f t="shared" si="35"/>
        <v>5</v>
      </c>
      <c r="K478">
        <f t="shared" si="36"/>
        <v>3</v>
      </c>
      <c r="L478" t="str">
        <f t="shared" si="37"/>
        <v>No</v>
      </c>
      <c r="M478" t="str">
        <f t="shared" si="39"/>
        <v>Yes</v>
      </c>
      <c r="N478" t="str">
        <f t="shared" si="38"/>
        <v>No</v>
      </c>
    </row>
    <row r="479" spans="1:14" x14ac:dyDescent="0.3">
      <c r="A479" s="4" t="s">
        <v>975</v>
      </c>
      <c r="B479" s="4" t="s">
        <v>976</v>
      </c>
      <c r="C479" s="4" t="s">
        <v>72</v>
      </c>
      <c r="D479" s="5">
        <v>45732</v>
      </c>
      <c r="E479" s="5">
        <v>45735</v>
      </c>
      <c r="F479" s="5">
        <v>45746</v>
      </c>
      <c r="G479" s="4" t="s">
        <v>40</v>
      </c>
      <c r="H479" s="4">
        <v>13</v>
      </c>
      <c r="I479" s="2">
        <v>13</v>
      </c>
      <c r="J479">
        <f t="shared" si="35"/>
        <v>14</v>
      </c>
      <c r="K479">
        <f t="shared" si="36"/>
        <v>11</v>
      </c>
      <c r="L479" t="str">
        <f t="shared" si="37"/>
        <v>No</v>
      </c>
      <c r="M479" t="str">
        <f t="shared" si="39"/>
        <v>Yes</v>
      </c>
      <c r="N479" t="str">
        <f t="shared" si="38"/>
        <v>No</v>
      </c>
    </row>
    <row r="480" spans="1:14" x14ac:dyDescent="0.3">
      <c r="A480" s="2" t="s">
        <v>977</v>
      </c>
      <c r="B480" s="2" t="s">
        <v>978</v>
      </c>
      <c r="C480" s="2" t="s">
        <v>14</v>
      </c>
      <c r="D480" s="3">
        <v>45733</v>
      </c>
      <c r="E480" s="3">
        <v>45739</v>
      </c>
      <c r="F480" s="3">
        <v>45748</v>
      </c>
      <c r="G480" s="2" t="s">
        <v>18</v>
      </c>
      <c r="H480" s="2">
        <v>14</v>
      </c>
      <c r="I480" s="2">
        <v>16</v>
      </c>
      <c r="J480">
        <f t="shared" si="35"/>
        <v>15</v>
      </c>
      <c r="K480">
        <f t="shared" si="36"/>
        <v>9</v>
      </c>
      <c r="L480" t="str">
        <f t="shared" si="37"/>
        <v>No</v>
      </c>
      <c r="M480" t="str">
        <f t="shared" si="39"/>
        <v>No</v>
      </c>
      <c r="N480" t="str">
        <f t="shared" si="38"/>
        <v>No</v>
      </c>
    </row>
    <row r="481" spans="1:14" x14ac:dyDescent="0.3">
      <c r="A481" s="4" t="s">
        <v>979</v>
      </c>
      <c r="B481" s="4" t="s">
        <v>980</v>
      </c>
      <c r="C481" s="4" t="s">
        <v>14</v>
      </c>
      <c r="D481" s="5">
        <v>45734</v>
      </c>
      <c r="E481" s="5">
        <v>45736</v>
      </c>
      <c r="F481" s="5">
        <v>45749</v>
      </c>
      <c r="G481" s="4" t="s">
        <v>40</v>
      </c>
      <c r="H481" s="4">
        <v>57</v>
      </c>
      <c r="I481" s="2">
        <v>60</v>
      </c>
      <c r="J481">
        <f t="shared" si="35"/>
        <v>15</v>
      </c>
      <c r="K481">
        <f t="shared" si="36"/>
        <v>13</v>
      </c>
      <c r="L481" t="str">
        <f t="shared" si="37"/>
        <v>No</v>
      </c>
      <c r="M481" t="str">
        <f t="shared" si="39"/>
        <v>No</v>
      </c>
      <c r="N481" t="str">
        <f t="shared" si="38"/>
        <v>No</v>
      </c>
    </row>
    <row r="482" spans="1:14" x14ac:dyDescent="0.3">
      <c r="A482" s="2" t="s">
        <v>981</v>
      </c>
      <c r="B482" s="2" t="s">
        <v>982</v>
      </c>
      <c r="C482" s="2" t="s">
        <v>21</v>
      </c>
      <c r="D482" s="3">
        <v>45734</v>
      </c>
      <c r="E482" s="3">
        <v>45739</v>
      </c>
      <c r="F482" s="3">
        <v>45740</v>
      </c>
      <c r="G482" s="2" t="s">
        <v>40</v>
      </c>
      <c r="H482" s="2">
        <v>25</v>
      </c>
      <c r="I482" s="2">
        <v>29</v>
      </c>
      <c r="J482">
        <f t="shared" si="35"/>
        <v>6</v>
      </c>
      <c r="K482">
        <f t="shared" si="36"/>
        <v>1</v>
      </c>
      <c r="L482" t="str">
        <f t="shared" si="37"/>
        <v>No</v>
      </c>
      <c r="M482" t="str">
        <f t="shared" si="39"/>
        <v>No</v>
      </c>
      <c r="N482" t="str">
        <f t="shared" si="38"/>
        <v>No</v>
      </c>
    </row>
    <row r="483" spans="1:14" x14ac:dyDescent="0.3">
      <c r="A483" s="4" t="s">
        <v>983</v>
      </c>
      <c r="B483" s="4" t="s">
        <v>984</v>
      </c>
      <c r="C483" s="4" t="s">
        <v>21</v>
      </c>
      <c r="D483" s="5">
        <v>45732</v>
      </c>
      <c r="E483" s="5">
        <v>45735</v>
      </c>
      <c r="F483" s="5">
        <v>45737</v>
      </c>
      <c r="G483" s="4" t="s">
        <v>18</v>
      </c>
      <c r="H483" s="4">
        <v>33</v>
      </c>
      <c r="I483" s="2">
        <v>33</v>
      </c>
      <c r="J483">
        <f t="shared" si="35"/>
        <v>5</v>
      </c>
      <c r="K483">
        <f t="shared" si="36"/>
        <v>2</v>
      </c>
      <c r="L483" t="str">
        <f t="shared" si="37"/>
        <v>No</v>
      </c>
      <c r="M483" t="str">
        <f t="shared" si="39"/>
        <v>Yes</v>
      </c>
      <c r="N483" t="str">
        <f t="shared" si="38"/>
        <v>No</v>
      </c>
    </row>
    <row r="484" spans="1:14" x14ac:dyDescent="0.3">
      <c r="A484" s="2" t="s">
        <v>985</v>
      </c>
      <c r="B484" s="2" t="s">
        <v>986</v>
      </c>
      <c r="C484" s="2" t="s">
        <v>34</v>
      </c>
      <c r="D484" s="3">
        <v>45733</v>
      </c>
      <c r="E484" s="3">
        <v>45740</v>
      </c>
      <c r="F484" s="3">
        <v>45740</v>
      </c>
      <c r="G484" s="2" t="s">
        <v>40</v>
      </c>
      <c r="H484" s="2">
        <v>36</v>
      </c>
      <c r="I484" s="2">
        <v>36</v>
      </c>
      <c r="J484">
        <f t="shared" si="35"/>
        <v>7</v>
      </c>
      <c r="K484">
        <f t="shared" si="36"/>
        <v>0</v>
      </c>
      <c r="L484" t="str">
        <f t="shared" si="37"/>
        <v>Yes</v>
      </c>
      <c r="M484" t="str">
        <f t="shared" si="39"/>
        <v>Yes</v>
      </c>
      <c r="N484" t="str">
        <f t="shared" si="38"/>
        <v>Yes</v>
      </c>
    </row>
    <row r="485" spans="1:14" x14ac:dyDescent="0.3">
      <c r="A485" s="4" t="s">
        <v>987</v>
      </c>
      <c r="B485" s="4" t="s">
        <v>988</v>
      </c>
      <c r="C485" s="4" t="s">
        <v>37</v>
      </c>
      <c r="D485" s="5">
        <v>45733</v>
      </c>
      <c r="E485" s="5">
        <v>45742</v>
      </c>
      <c r="F485" s="5">
        <v>45747</v>
      </c>
      <c r="G485" s="4" t="s">
        <v>22</v>
      </c>
      <c r="H485" s="4">
        <v>10</v>
      </c>
      <c r="I485" s="2">
        <v>10</v>
      </c>
      <c r="J485">
        <f t="shared" si="35"/>
        <v>14</v>
      </c>
      <c r="K485">
        <f t="shared" si="36"/>
        <v>5</v>
      </c>
      <c r="L485" t="str">
        <f t="shared" si="37"/>
        <v>No</v>
      </c>
      <c r="M485" t="str">
        <f t="shared" si="39"/>
        <v>Yes</v>
      </c>
      <c r="N485" t="str">
        <f t="shared" si="38"/>
        <v>No</v>
      </c>
    </row>
    <row r="486" spans="1:14" x14ac:dyDescent="0.3">
      <c r="A486" s="2" t="s">
        <v>989</v>
      </c>
      <c r="B486" s="2" t="s">
        <v>990</v>
      </c>
      <c r="C486" s="2" t="s">
        <v>37</v>
      </c>
      <c r="D486" s="3">
        <v>45733</v>
      </c>
      <c r="E486" s="3">
        <v>45739</v>
      </c>
      <c r="F486" s="3">
        <v>45746</v>
      </c>
      <c r="G486" s="2" t="s">
        <v>22</v>
      </c>
      <c r="H486" s="2">
        <v>32</v>
      </c>
      <c r="I486" s="2">
        <v>34</v>
      </c>
      <c r="J486">
        <f t="shared" si="35"/>
        <v>13</v>
      </c>
      <c r="K486">
        <f t="shared" si="36"/>
        <v>7</v>
      </c>
      <c r="L486" t="str">
        <f t="shared" si="37"/>
        <v>No</v>
      </c>
      <c r="M486" t="str">
        <f t="shared" si="39"/>
        <v>No</v>
      </c>
      <c r="N486" t="str">
        <f t="shared" si="38"/>
        <v>No</v>
      </c>
    </row>
    <row r="487" spans="1:14" x14ac:dyDescent="0.3">
      <c r="A487" s="4" t="s">
        <v>991</v>
      </c>
      <c r="B487" s="4" t="s">
        <v>992</v>
      </c>
      <c r="C487" s="4" t="s">
        <v>10</v>
      </c>
      <c r="D487" s="5">
        <v>45733</v>
      </c>
      <c r="E487" s="5">
        <v>45737</v>
      </c>
      <c r="F487" s="5">
        <v>45738</v>
      </c>
      <c r="G487" s="4" t="s">
        <v>22</v>
      </c>
      <c r="H487" s="4">
        <v>19</v>
      </c>
      <c r="I487" s="2">
        <v>19</v>
      </c>
      <c r="J487">
        <f t="shared" si="35"/>
        <v>5</v>
      </c>
      <c r="K487">
        <f t="shared" si="36"/>
        <v>1</v>
      </c>
      <c r="L487" t="str">
        <f t="shared" si="37"/>
        <v>No</v>
      </c>
      <c r="M487" t="str">
        <f t="shared" si="39"/>
        <v>Yes</v>
      </c>
      <c r="N487" t="str">
        <f t="shared" si="38"/>
        <v>No</v>
      </c>
    </row>
    <row r="488" spans="1:14" x14ac:dyDescent="0.3">
      <c r="A488" s="2" t="s">
        <v>993</v>
      </c>
      <c r="B488" s="2" t="s">
        <v>994</v>
      </c>
      <c r="C488" s="2" t="s">
        <v>10</v>
      </c>
      <c r="D488" s="3">
        <v>45735</v>
      </c>
      <c r="E488" s="3">
        <v>45736</v>
      </c>
      <c r="F488" s="3">
        <v>45741</v>
      </c>
      <c r="G488" s="2" t="s">
        <v>15</v>
      </c>
      <c r="H488" s="2">
        <v>14</v>
      </c>
      <c r="I488" s="2">
        <v>14</v>
      </c>
      <c r="J488">
        <f t="shared" si="35"/>
        <v>6</v>
      </c>
      <c r="K488">
        <f t="shared" si="36"/>
        <v>5</v>
      </c>
      <c r="L488" t="str">
        <f t="shared" si="37"/>
        <v>No</v>
      </c>
      <c r="M488" t="str">
        <f t="shared" si="39"/>
        <v>Yes</v>
      </c>
      <c r="N488" t="str">
        <f t="shared" si="38"/>
        <v>No</v>
      </c>
    </row>
    <row r="489" spans="1:14" x14ac:dyDescent="0.3">
      <c r="A489" s="4" t="s">
        <v>995</v>
      </c>
      <c r="B489" s="4" t="s">
        <v>996</v>
      </c>
      <c r="C489" s="4" t="s">
        <v>21</v>
      </c>
      <c r="D489" s="5">
        <v>45733</v>
      </c>
      <c r="E489" s="5">
        <v>45740</v>
      </c>
      <c r="F489" s="5">
        <v>45738</v>
      </c>
      <c r="G489" s="4" t="s">
        <v>18</v>
      </c>
      <c r="H489" s="4">
        <v>29</v>
      </c>
      <c r="I489" s="2">
        <v>29</v>
      </c>
      <c r="J489">
        <f t="shared" si="35"/>
        <v>5</v>
      </c>
      <c r="K489">
        <f t="shared" si="36"/>
        <v>-2</v>
      </c>
      <c r="L489" t="str">
        <f t="shared" si="37"/>
        <v>Yes</v>
      </c>
      <c r="M489" t="str">
        <f t="shared" si="39"/>
        <v>Yes</v>
      </c>
      <c r="N489" t="str">
        <f t="shared" si="38"/>
        <v>Yes</v>
      </c>
    </row>
    <row r="490" spans="1:14" x14ac:dyDescent="0.3">
      <c r="A490" s="2" t="s">
        <v>997</v>
      </c>
      <c r="B490" s="2" t="s">
        <v>998</v>
      </c>
      <c r="C490" s="2" t="s">
        <v>72</v>
      </c>
      <c r="D490" s="3">
        <v>45736</v>
      </c>
      <c r="E490" s="3">
        <v>45739</v>
      </c>
      <c r="F490" s="3">
        <v>45750</v>
      </c>
      <c r="G490" s="2" t="s">
        <v>11</v>
      </c>
      <c r="H490" s="2">
        <v>12</v>
      </c>
      <c r="I490" s="2">
        <v>14</v>
      </c>
      <c r="J490">
        <f t="shared" si="35"/>
        <v>14</v>
      </c>
      <c r="K490">
        <f t="shared" si="36"/>
        <v>11</v>
      </c>
      <c r="L490" t="str">
        <f t="shared" si="37"/>
        <v>No</v>
      </c>
      <c r="M490" t="str">
        <f t="shared" si="39"/>
        <v>No</v>
      </c>
      <c r="N490" t="str">
        <f t="shared" si="38"/>
        <v>No</v>
      </c>
    </row>
    <row r="491" spans="1:14" x14ac:dyDescent="0.3">
      <c r="A491" s="4" t="s">
        <v>999</v>
      </c>
      <c r="B491" s="4" t="s">
        <v>1000</v>
      </c>
      <c r="C491" s="4" t="s">
        <v>10</v>
      </c>
      <c r="D491" s="5">
        <v>45735</v>
      </c>
      <c r="E491" s="5">
        <v>45743</v>
      </c>
      <c r="F491" s="5">
        <v>45740</v>
      </c>
      <c r="G491" s="4" t="s">
        <v>11</v>
      </c>
      <c r="H491" s="4">
        <v>21</v>
      </c>
      <c r="I491" s="2">
        <v>21</v>
      </c>
      <c r="J491">
        <f t="shared" si="35"/>
        <v>5</v>
      </c>
      <c r="K491">
        <f t="shared" si="36"/>
        <v>-3</v>
      </c>
      <c r="L491" t="str">
        <f t="shared" si="37"/>
        <v>Yes</v>
      </c>
      <c r="M491" t="str">
        <f t="shared" si="39"/>
        <v>Yes</v>
      </c>
      <c r="N491" t="str">
        <f t="shared" si="38"/>
        <v>Yes</v>
      </c>
    </row>
    <row r="492" spans="1:14" x14ac:dyDescent="0.3">
      <c r="A492" s="2" t="s">
        <v>1001</v>
      </c>
      <c r="B492" s="2" t="s">
        <v>1002</v>
      </c>
      <c r="C492" s="2" t="s">
        <v>10</v>
      </c>
      <c r="D492" s="3">
        <v>45736</v>
      </c>
      <c r="E492" s="3">
        <v>45741</v>
      </c>
      <c r="F492" s="3">
        <v>45741</v>
      </c>
      <c r="G492" s="2" t="s">
        <v>11</v>
      </c>
      <c r="H492" s="2">
        <v>15</v>
      </c>
      <c r="I492" s="2">
        <v>15</v>
      </c>
      <c r="J492">
        <f t="shared" si="35"/>
        <v>5</v>
      </c>
      <c r="K492">
        <f t="shared" si="36"/>
        <v>0</v>
      </c>
      <c r="L492" t="str">
        <f t="shared" si="37"/>
        <v>Yes</v>
      </c>
      <c r="M492" t="str">
        <f t="shared" si="39"/>
        <v>Yes</v>
      </c>
      <c r="N492" t="str">
        <f t="shared" si="38"/>
        <v>Yes</v>
      </c>
    </row>
    <row r="493" spans="1:14" x14ac:dyDescent="0.3">
      <c r="A493" s="4" t="s">
        <v>1003</v>
      </c>
      <c r="B493" s="4" t="s">
        <v>1004</v>
      </c>
      <c r="C493" s="4" t="s">
        <v>14</v>
      </c>
      <c r="D493" s="5">
        <v>45736</v>
      </c>
      <c r="E493" s="5">
        <v>45743</v>
      </c>
      <c r="F493" s="5">
        <v>45751</v>
      </c>
      <c r="G493" s="4" t="s">
        <v>22</v>
      </c>
      <c r="H493" s="4">
        <v>11</v>
      </c>
      <c r="I493" s="2">
        <v>11</v>
      </c>
      <c r="J493">
        <f t="shared" si="35"/>
        <v>15</v>
      </c>
      <c r="K493">
        <f t="shared" si="36"/>
        <v>8</v>
      </c>
      <c r="L493" t="str">
        <f t="shared" si="37"/>
        <v>No</v>
      </c>
      <c r="M493" t="str">
        <f t="shared" si="39"/>
        <v>Yes</v>
      </c>
      <c r="N493" t="str">
        <f t="shared" si="38"/>
        <v>No</v>
      </c>
    </row>
    <row r="494" spans="1:14" x14ac:dyDescent="0.3">
      <c r="A494" s="2" t="s">
        <v>1005</v>
      </c>
      <c r="B494" s="2" t="s">
        <v>1006</v>
      </c>
      <c r="C494" s="2" t="s">
        <v>21</v>
      </c>
      <c r="D494" s="3">
        <v>45735</v>
      </c>
      <c r="E494" s="3">
        <v>45743</v>
      </c>
      <c r="F494" s="3">
        <v>45741</v>
      </c>
      <c r="G494" s="2" t="s">
        <v>18</v>
      </c>
      <c r="H494" s="2">
        <v>33</v>
      </c>
      <c r="I494" s="2">
        <v>33</v>
      </c>
      <c r="J494">
        <f t="shared" si="35"/>
        <v>6</v>
      </c>
      <c r="K494">
        <f t="shared" si="36"/>
        <v>-2</v>
      </c>
      <c r="L494" t="str">
        <f t="shared" si="37"/>
        <v>Yes</v>
      </c>
      <c r="M494" t="str">
        <f t="shared" si="39"/>
        <v>Yes</v>
      </c>
      <c r="N494" t="str">
        <f t="shared" si="38"/>
        <v>Yes</v>
      </c>
    </row>
    <row r="495" spans="1:14" x14ac:dyDescent="0.3">
      <c r="A495" s="4" t="s">
        <v>1007</v>
      </c>
      <c r="B495" s="4" t="s">
        <v>1008</v>
      </c>
      <c r="C495" s="4" t="s">
        <v>21</v>
      </c>
      <c r="D495" s="5">
        <v>45734</v>
      </c>
      <c r="E495" s="5">
        <v>45738</v>
      </c>
      <c r="F495" s="5">
        <v>45740</v>
      </c>
      <c r="G495" s="4" t="s">
        <v>18</v>
      </c>
      <c r="H495" s="4">
        <v>14</v>
      </c>
      <c r="I495" s="2">
        <v>14</v>
      </c>
      <c r="J495">
        <f t="shared" si="35"/>
        <v>6</v>
      </c>
      <c r="K495">
        <f t="shared" si="36"/>
        <v>2</v>
      </c>
      <c r="L495" t="str">
        <f t="shared" si="37"/>
        <v>No</v>
      </c>
      <c r="M495" t="str">
        <f t="shared" si="39"/>
        <v>Yes</v>
      </c>
      <c r="N495" t="str">
        <f t="shared" si="38"/>
        <v>No</v>
      </c>
    </row>
    <row r="496" spans="1:14" x14ac:dyDescent="0.3">
      <c r="A496" s="2" t="s">
        <v>1009</v>
      </c>
      <c r="B496" s="2" t="s">
        <v>1010</v>
      </c>
      <c r="C496" s="2" t="s">
        <v>34</v>
      </c>
      <c r="D496" s="3">
        <v>45737</v>
      </c>
      <c r="E496" s="3">
        <v>45745</v>
      </c>
      <c r="F496" s="3">
        <v>45748</v>
      </c>
      <c r="G496" s="2" t="s">
        <v>40</v>
      </c>
      <c r="H496" s="2">
        <v>12</v>
      </c>
      <c r="I496" s="2">
        <v>13</v>
      </c>
      <c r="J496">
        <f t="shared" si="35"/>
        <v>11</v>
      </c>
      <c r="K496">
        <f t="shared" si="36"/>
        <v>3</v>
      </c>
      <c r="L496" t="str">
        <f t="shared" si="37"/>
        <v>No</v>
      </c>
      <c r="M496" t="str">
        <f t="shared" si="39"/>
        <v>No</v>
      </c>
      <c r="N496" t="str">
        <f t="shared" si="38"/>
        <v>No</v>
      </c>
    </row>
    <row r="497" spans="1:14" x14ac:dyDescent="0.3">
      <c r="A497" s="4" t="s">
        <v>1011</v>
      </c>
      <c r="B497" s="4" t="s">
        <v>1012</v>
      </c>
      <c r="C497" s="4" t="s">
        <v>37</v>
      </c>
      <c r="D497" s="5">
        <v>45736</v>
      </c>
      <c r="E497" s="5">
        <v>45740</v>
      </c>
      <c r="F497" s="5">
        <v>45753</v>
      </c>
      <c r="G497" s="4" t="s">
        <v>40</v>
      </c>
      <c r="H497" s="4">
        <v>22</v>
      </c>
      <c r="I497" s="2">
        <v>22</v>
      </c>
      <c r="J497">
        <f t="shared" si="35"/>
        <v>17</v>
      </c>
      <c r="K497">
        <f t="shared" si="36"/>
        <v>13</v>
      </c>
      <c r="L497" t="str">
        <f t="shared" si="37"/>
        <v>No</v>
      </c>
      <c r="M497" t="str">
        <f t="shared" si="39"/>
        <v>Yes</v>
      </c>
      <c r="N497" t="str">
        <f t="shared" si="38"/>
        <v>No</v>
      </c>
    </row>
    <row r="498" spans="1:14" x14ac:dyDescent="0.3">
      <c r="A498" s="2" t="s">
        <v>1013</v>
      </c>
      <c r="B498" s="2" t="s">
        <v>1014</v>
      </c>
      <c r="C498" s="2" t="s">
        <v>10</v>
      </c>
      <c r="D498" s="3">
        <v>45736</v>
      </c>
      <c r="E498" s="3">
        <v>45741</v>
      </c>
      <c r="F498" s="3">
        <v>45745</v>
      </c>
      <c r="G498" s="2" t="s">
        <v>11</v>
      </c>
      <c r="H498" s="2">
        <v>17</v>
      </c>
      <c r="I498" s="2">
        <v>17</v>
      </c>
      <c r="J498">
        <f t="shared" si="35"/>
        <v>9</v>
      </c>
      <c r="K498">
        <f t="shared" si="36"/>
        <v>4</v>
      </c>
      <c r="L498" t="str">
        <f t="shared" si="37"/>
        <v>No</v>
      </c>
      <c r="M498" t="str">
        <f t="shared" si="39"/>
        <v>Yes</v>
      </c>
      <c r="N498" t="str">
        <f t="shared" si="38"/>
        <v>No</v>
      </c>
    </row>
    <row r="499" spans="1:14" x14ac:dyDescent="0.3">
      <c r="A499" s="4" t="s">
        <v>1015</v>
      </c>
      <c r="B499" s="4" t="s">
        <v>1016</v>
      </c>
      <c r="C499" s="4" t="s">
        <v>14</v>
      </c>
      <c r="D499" s="5">
        <v>45736</v>
      </c>
      <c r="E499" s="5">
        <v>45742</v>
      </c>
      <c r="F499" s="5">
        <v>45755</v>
      </c>
      <c r="G499" s="4" t="s">
        <v>22</v>
      </c>
      <c r="H499" s="4">
        <v>10</v>
      </c>
      <c r="I499" s="2">
        <v>11</v>
      </c>
      <c r="J499">
        <f t="shared" si="35"/>
        <v>19</v>
      </c>
      <c r="K499">
        <f t="shared" si="36"/>
        <v>13</v>
      </c>
      <c r="L499" t="str">
        <f t="shared" si="37"/>
        <v>No</v>
      </c>
      <c r="M499" t="str">
        <f t="shared" si="39"/>
        <v>No</v>
      </c>
      <c r="N499" t="str">
        <f t="shared" si="38"/>
        <v>No</v>
      </c>
    </row>
    <row r="500" spans="1:14" x14ac:dyDescent="0.3">
      <c r="A500" s="2" t="s">
        <v>1017</v>
      </c>
      <c r="B500" s="2" t="s">
        <v>1018</v>
      </c>
      <c r="C500" s="2" t="s">
        <v>21</v>
      </c>
      <c r="D500" s="3">
        <v>45736</v>
      </c>
      <c r="E500" s="3">
        <v>45743</v>
      </c>
      <c r="F500" s="3">
        <v>45744</v>
      </c>
      <c r="G500" s="2" t="s">
        <v>11</v>
      </c>
      <c r="H500" s="2">
        <v>21</v>
      </c>
      <c r="I500" s="2">
        <v>21</v>
      </c>
      <c r="J500">
        <f t="shared" si="35"/>
        <v>8</v>
      </c>
      <c r="K500">
        <f t="shared" si="36"/>
        <v>1</v>
      </c>
      <c r="L500" t="str">
        <f t="shared" si="37"/>
        <v>No</v>
      </c>
      <c r="M500" t="str">
        <f t="shared" si="39"/>
        <v>Yes</v>
      </c>
      <c r="N500" t="str">
        <f t="shared" si="38"/>
        <v>No</v>
      </c>
    </row>
    <row r="501" spans="1:14" x14ac:dyDescent="0.3">
      <c r="A501" s="4" t="s">
        <v>1019</v>
      </c>
      <c r="B501" s="4" t="s">
        <v>1020</v>
      </c>
      <c r="C501" s="4" t="s">
        <v>27</v>
      </c>
      <c r="D501" s="5">
        <v>45735</v>
      </c>
      <c r="E501" s="5">
        <v>45745</v>
      </c>
      <c r="F501" s="5">
        <v>45747</v>
      </c>
      <c r="G501" s="4" t="s">
        <v>15</v>
      </c>
      <c r="H501" s="4">
        <v>9</v>
      </c>
      <c r="I501" s="2">
        <v>9</v>
      </c>
      <c r="J501">
        <f t="shared" si="35"/>
        <v>12</v>
      </c>
      <c r="K501">
        <f t="shared" si="36"/>
        <v>2</v>
      </c>
      <c r="L501" t="str">
        <f t="shared" si="37"/>
        <v>No</v>
      </c>
      <c r="M501" t="str">
        <f t="shared" si="39"/>
        <v>Yes</v>
      </c>
      <c r="N501" t="str">
        <f t="shared" si="38"/>
        <v>No</v>
      </c>
    </row>
    <row r="502" spans="1:14" x14ac:dyDescent="0.3">
      <c r="A502" s="2" t="s">
        <v>1021</v>
      </c>
      <c r="B502" s="2" t="s">
        <v>1022</v>
      </c>
      <c r="C502" s="2" t="s">
        <v>72</v>
      </c>
      <c r="D502" s="3">
        <v>45737</v>
      </c>
      <c r="E502" s="3">
        <v>45741</v>
      </c>
      <c r="F502" s="3">
        <v>45755</v>
      </c>
      <c r="G502" s="2" t="s">
        <v>40</v>
      </c>
      <c r="H502" s="2">
        <v>21</v>
      </c>
      <c r="I502" s="2">
        <v>23</v>
      </c>
      <c r="J502">
        <f t="shared" si="35"/>
        <v>18</v>
      </c>
      <c r="K502">
        <f t="shared" si="36"/>
        <v>14</v>
      </c>
      <c r="L502" t="str">
        <f t="shared" si="37"/>
        <v>No</v>
      </c>
      <c r="M502" t="str">
        <f t="shared" si="39"/>
        <v>No</v>
      </c>
      <c r="N502" t="str">
        <f t="shared" si="38"/>
        <v>No</v>
      </c>
    </row>
    <row r="503" spans="1:14" x14ac:dyDescent="0.3">
      <c r="A503" s="4" t="s">
        <v>1023</v>
      </c>
      <c r="B503" s="4" t="s">
        <v>1024</v>
      </c>
      <c r="C503" s="4" t="s">
        <v>72</v>
      </c>
      <c r="D503" s="5">
        <v>45736</v>
      </c>
      <c r="E503" s="5">
        <v>45742</v>
      </c>
      <c r="F503" s="5">
        <v>45754</v>
      </c>
      <c r="G503" s="4" t="s">
        <v>11</v>
      </c>
      <c r="H503" s="4">
        <v>19</v>
      </c>
      <c r="I503" s="2">
        <v>19</v>
      </c>
      <c r="J503">
        <f t="shared" si="35"/>
        <v>18</v>
      </c>
      <c r="K503">
        <f t="shared" si="36"/>
        <v>12</v>
      </c>
      <c r="L503" t="str">
        <f t="shared" si="37"/>
        <v>No</v>
      </c>
      <c r="M503" t="str">
        <f t="shared" si="39"/>
        <v>Yes</v>
      </c>
      <c r="N503" t="str">
        <f t="shared" si="38"/>
        <v>No</v>
      </c>
    </row>
    <row r="504" spans="1:14" x14ac:dyDescent="0.3">
      <c r="A504" s="2" t="s">
        <v>1025</v>
      </c>
      <c r="B504" s="2" t="s">
        <v>1026</v>
      </c>
      <c r="C504" s="2" t="s">
        <v>59</v>
      </c>
      <c r="D504" s="3">
        <v>45737</v>
      </c>
      <c r="E504" s="3">
        <v>45742</v>
      </c>
      <c r="F504" s="3">
        <v>45742</v>
      </c>
      <c r="G504" s="2" t="s">
        <v>18</v>
      </c>
      <c r="H504" s="2">
        <v>18</v>
      </c>
      <c r="I504" s="2">
        <v>18</v>
      </c>
      <c r="J504">
        <f t="shared" si="35"/>
        <v>5</v>
      </c>
      <c r="K504">
        <f t="shared" si="36"/>
        <v>0</v>
      </c>
      <c r="L504" t="str">
        <f t="shared" si="37"/>
        <v>Yes</v>
      </c>
      <c r="M504" t="str">
        <f t="shared" si="39"/>
        <v>Yes</v>
      </c>
      <c r="N504" t="str">
        <f t="shared" si="38"/>
        <v>Yes</v>
      </c>
    </row>
    <row r="505" spans="1:14" x14ac:dyDescent="0.3">
      <c r="A505" s="4" t="s">
        <v>1027</v>
      </c>
      <c r="B505" s="4" t="s">
        <v>1028</v>
      </c>
      <c r="C505" s="4" t="s">
        <v>21</v>
      </c>
      <c r="D505" s="5">
        <v>45738</v>
      </c>
      <c r="E505" s="5">
        <v>45739</v>
      </c>
      <c r="F505" s="5">
        <v>45744</v>
      </c>
      <c r="G505" s="4" t="s">
        <v>11</v>
      </c>
      <c r="H505" s="4">
        <v>41</v>
      </c>
      <c r="I505" s="2">
        <v>42</v>
      </c>
      <c r="J505">
        <f t="shared" si="35"/>
        <v>6</v>
      </c>
      <c r="K505">
        <f t="shared" si="36"/>
        <v>5</v>
      </c>
      <c r="L505" t="str">
        <f t="shared" si="37"/>
        <v>No</v>
      </c>
      <c r="M505" t="str">
        <f t="shared" si="39"/>
        <v>No</v>
      </c>
      <c r="N505" t="str">
        <f t="shared" si="38"/>
        <v>No</v>
      </c>
    </row>
    <row r="506" spans="1:14" x14ac:dyDescent="0.3">
      <c r="A506" s="2" t="s">
        <v>1029</v>
      </c>
      <c r="B506" s="2" t="s">
        <v>1030</v>
      </c>
      <c r="C506" s="2" t="s">
        <v>27</v>
      </c>
      <c r="D506" s="3">
        <v>45737</v>
      </c>
      <c r="E506" s="3">
        <v>45744</v>
      </c>
      <c r="F506" s="3">
        <v>45750</v>
      </c>
      <c r="G506" s="2" t="s">
        <v>11</v>
      </c>
      <c r="H506" s="2">
        <v>35</v>
      </c>
      <c r="I506" s="2">
        <v>35</v>
      </c>
      <c r="J506">
        <f t="shared" si="35"/>
        <v>13</v>
      </c>
      <c r="K506">
        <f t="shared" si="36"/>
        <v>6</v>
      </c>
      <c r="L506" t="str">
        <f t="shared" si="37"/>
        <v>No</v>
      </c>
      <c r="M506" t="str">
        <f t="shared" si="39"/>
        <v>Yes</v>
      </c>
      <c r="N506" t="str">
        <f t="shared" si="38"/>
        <v>No</v>
      </c>
    </row>
    <row r="507" spans="1:14" x14ac:dyDescent="0.3">
      <c r="A507" s="4" t="s">
        <v>1031</v>
      </c>
      <c r="B507" s="4" t="s">
        <v>1032</v>
      </c>
      <c r="C507" s="4" t="s">
        <v>27</v>
      </c>
      <c r="D507" s="5">
        <v>45737</v>
      </c>
      <c r="E507" s="5">
        <v>45740</v>
      </c>
      <c r="F507" s="5">
        <v>45751</v>
      </c>
      <c r="G507" s="4" t="s">
        <v>18</v>
      </c>
      <c r="H507" s="4">
        <v>8</v>
      </c>
      <c r="I507" s="2">
        <v>8</v>
      </c>
      <c r="J507">
        <f t="shared" si="35"/>
        <v>14</v>
      </c>
      <c r="K507">
        <f t="shared" si="36"/>
        <v>11</v>
      </c>
      <c r="L507" t="str">
        <f t="shared" si="37"/>
        <v>No</v>
      </c>
      <c r="M507" t="str">
        <f t="shared" si="39"/>
        <v>Yes</v>
      </c>
      <c r="N507" t="str">
        <f t="shared" si="38"/>
        <v>No</v>
      </c>
    </row>
    <row r="508" spans="1:14" x14ac:dyDescent="0.3">
      <c r="A508" s="2" t="s">
        <v>1033</v>
      </c>
      <c r="B508" s="2" t="s">
        <v>1034</v>
      </c>
      <c r="C508" s="2" t="s">
        <v>34</v>
      </c>
      <c r="D508" s="3">
        <v>45737</v>
      </c>
      <c r="E508" s="3">
        <v>45743</v>
      </c>
      <c r="F508" s="3">
        <v>45744</v>
      </c>
      <c r="G508" s="2" t="s">
        <v>22</v>
      </c>
      <c r="H508" s="2">
        <v>41</v>
      </c>
      <c r="I508" s="2">
        <v>41</v>
      </c>
      <c r="J508">
        <f t="shared" si="35"/>
        <v>7</v>
      </c>
      <c r="K508">
        <f t="shared" si="36"/>
        <v>1</v>
      </c>
      <c r="L508" t="str">
        <f t="shared" si="37"/>
        <v>No</v>
      </c>
      <c r="M508" t="str">
        <f t="shared" si="39"/>
        <v>Yes</v>
      </c>
      <c r="N508" t="str">
        <f t="shared" si="38"/>
        <v>No</v>
      </c>
    </row>
    <row r="509" spans="1:14" x14ac:dyDescent="0.3">
      <c r="A509" s="4" t="s">
        <v>1035</v>
      </c>
      <c r="B509" s="4" t="s">
        <v>1036</v>
      </c>
      <c r="C509" s="4" t="s">
        <v>37</v>
      </c>
      <c r="D509" s="5">
        <v>45739</v>
      </c>
      <c r="E509" s="5">
        <v>45746</v>
      </c>
      <c r="F509" s="5">
        <v>45752</v>
      </c>
      <c r="G509" s="4" t="s">
        <v>18</v>
      </c>
      <c r="H509" s="4">
        <v>49</v>
      </c>
      <c r="I509" s="2">
        <v>49</v>
      </c>
      <c r="J509">
        <f t="shared" si="35"/>
        <v>13</v>
      </c>
      <c r="K509">
        <f t="shared" si="36"/>
        <v>6</v>
      </c>
      <c r="L509" t="str">
        <f t="shared" si="37"/>
        <v>No</v>
      </c>
      <c r="M509" t="str">
        <f t="shared" si="39"/>
        <v>Yes</v>
      </c>
      <c r="N509" t="str">
        <f t="shared" si="38"/>
        <v>No</v>
      </c>
    </row>
    <row r="510" spans="1:14" x14ac:dyDescent="0.3">
      <c r="A510" s="2" t="s">
        <v>1037</v>
      </c>
      <c r="B510" s="2" t="s">
        <v>1038</v>
      </c>
      <c r="C510" s="2" t="s">
        <v>59</v>
      </c>
      <c r="D510" s="3">
        <v>45738</v>
      </c>
      <c r="E510" s="3">
        <v>45743</v>
      </c>
      <c r="F510" s="3">
        <v>45743</v>
      </c>
      <c r="G510" s="2" t="s">
        <v>15</v>
      </c>
      <c r="H510" s="2">
        <v>52</v>
      </c>
      <c r="I510" s="2">
        <v>52</v>
      </c>
      <c r="J510">
        <f t="shared" si="35"/>
        <v>5</v>
      </c>
      <c r="K510">
        <f t="shared" si="36"/>
        <v>0</v>
      </c>
      <c r="L510" t="str">
        <f t="shared" si="37"/>
        <v>Yes</v>
      </c>
      <c r="M510" t="str">
        <f t="shared" si="39"/>
        <v>Yes</v>
      </c>
      <c r="N510" t="str">
        <f t="shared" si="38"/>
        <v>Yes</v>
      </c>
    </row>
    <row r="511" spans="1:14" x14ac:dyDescent="0.3">
      <c r="A511" s="4" t="s">
        <v>1039</v>
      </c>
      <c r="B511" s="4" t="s">
        <v>1040</v>
      </c>
      <c r="C511" s="4" t="s">
        <v>21</v>
      </c>
      <c r="D511" s="5">
        <v>45738</v>
      </c>
      <c r="E511" s="5">
        <v>45746</v>
      </c>
      <c r="F511" s="5">
        <v>45743</v>
      </c>
      <c r="G511" s="4" t="s">
        <v>18</v>
      </c>
      <c r="H511" s="4">
        <v>60</v>
      </c>
      <c r="I511" s="2">
        <v>60</v>
      </c>
      <c r="J511">
        <f t="shared" si="35"/>
        <v>5</v>
      </c>
      <c r="K511">
        <f t="shared" si="36"/>
        <v>-3</v>
      </c>
      <c r="L511" t="str">
        <f t="shared" si="37"/>
        <v>Yes</v>
      </c>
      <c r="M511" t="str">
        <f t="shared" si="39"/>
        <v>Yes</v>
      </c>
      <c r="N511" t="str">
        <f t="shared" si="38"/>
        <v>Yes</v>
      </c>
    </row>
    <row r="512" spans="1:14" x14ac:dyDescent="0.3">
      <c r="A512" s="2" t="s">
        <v>1041</v>
      </c>
      <c r="B512" s="2" t="s">
        <v>1042</v>
      </c>
      <c r="C512" s="2" t="s">
        <v>21</v>
      </c>
      <c r="D512" s="3">
        <v>45737</v>
      </c>
      <c r="E512" s="3">
        <v>45746</v>
      </c>
      <c r="F512" s="3">
        <v>45743</v>
      </c>
      <c r="G512" s="2" t="s">
        <v>22</v>
      </c>
      <c r="H512" s="2">
        <v>13</v>
      </c>
      <c r="I512" s="2">
        <v>13</v>
      </c>
      <c r="J512">
        <f t="shared" si="35"/>
        <v>6</v>
      </c>
      <c r="K512">
        <f t="shared" si="36"/>
        <v>-3</v>
      </c>
      <c r="L512" t="str">
        <f t="shared" si="37"/>
        <v>Yes</v>
      </c>
      <c r="M512" t="str">
        <f t="shared" si="39"/>
        <v>Yes</v>
      </c>
      <c r="N512" t="str">
        <f t="shared" si="38"/>
        <v>Yes</v>
      </c>
    </row>
    <row r="513" spans="1:14" x14ac:dyDescent="0.3">
      <c r="A513" s="4" t="s">
        <v>1043</v>
      </c>
      <c r="B513" s="4" t="s">
        <v>1044</v>
      </c>
      <c r="C513" s="4" t="s">
        <v>27</v>
      </c>
      <c r="D513" s="5">
        <v>45738</v>
      </c>
      <c r="E513" s="5">
        <v>45745</v>
      </c>
      <c r="F513" s="5">
        <v>45750</v>
      </c>
      <c r="G513" s="4" t="s">
        <v>40</v>
      </c>
      <c r="H513" s="4">
        <v>28</v>
      </c>
      <c r="I513" s="2">
        <v>28</v>
      </c>
      <c r="J513">
        <f t="shared" si="35"/>
        <v>12</v>
      </c>
      <c r="K513">
        <f t="shared" si="36"/>
        <v>5</v>
      </c>
      <c r="L513" t="str">
        <f t="shared" si="37"/>
        <v>No</v>
      </c>
      <c r="M513" t="str">
        <f t="shared" si="39"/>
        <v>Yes</v>
      </c>
      <c r="N513" t="str">
        <f t="shared" si="38"/>
        <v>No</v>
      </c>
    </row>
    <row r="514" spans="1:14" x14ac:dyDescent="0.3">
      <c r="A514" s="2" t="s">
        <v>1045</v>
      </c>
      <c r="B514" s="2" t="s">
        <v>1046</v>
      </c>
      <c r="C514" s="2" t="s">
        <v>27</v>
      </c>
      <c r="D514" s="3">
        <v>45737</v>
      </c>
      <c r="E514" s="3">
        <v>45744</v>
      </c>
      <c r="F514" s="3">
        <v>45749</v>
      </c>
      <c r="G514" s="2" t="s">
        <v>15</v>
      </c>
      <c r="H514" s="2">
        <v>1</v>
      </c>
      <c r="I514" s="2">
        <v>7</v>
      </c>
      <c r="J514">
        <f t="shared" si="35"/>
        <v>12</v>
      </c>
      <c r="K514">
        <f t="shared" si="36"/>
        <v>5</v>
      </c>
      <c r="L514" t="str">
        <f t="shared" si="37"/>
        <v>No</v>
      </c>
      <c r="M514" t="str">
        <f t="shared" si="39"/>
        <v>No</v>
      </c>
      <c r="N514" t="str">
        <f t="shared" si="38"/>
        <v>No</v>
      </c>
    </row>
    <row r="515" spans="1:14" x14ac:dyDescent="0.3">
      <c r="A515" s="4" t="s">
        <v>1047</v>
      </c>
      <c r="B515" s="4" t="s">
        <v>1048</v>
      </c>
      <c r="C515" s="4" t="s">
        <v>37</v>
      </c>
      <c r="D515" s="5">
        <v>45739</v>
      </c>
      <c r="E515" s="5">
        <v>45745</v>
      </c>
      <c r="F515" s="5">
        <v>45751</v>
      </c>
      <c r="G515" s="4" t="s">
        <v>22</v>
      </c>
      <c r="H515" s="4">
        <v>36</v>
      </c>
      <c r="I515" s="2">
        <v>36</v>
      </c>
      <c r="J515">
        <f t="shared" ref="J515:J578" si="40">F515-D515</f>
        <v>12</v>
      </c>
      <c r="K515">
        <f t="shared" ref="K515:K578" si="41">F515-E515</f>
        <v>6</v>
      </c>
      <c r="L515" t="str">
        <f t="shared" ref="L515:L578" si="42">IF(K515&lt;=0,"Yes","No")</f>
        <v>No</v>
      </c>
      <c r="M515" t="str">
        <f t="shared" si="39"/>
        <v>Yes</v>
      </c>
      <c r="N515" t="str">
        <f t="shared" ref="N515:N578" si="43">IF(AND(L515="Yes",M515="Yes"),"Yes","No")</f>
        <v>No</v>
      </c>
    </row>
    <row r="516" spans="1:14" x14ac:dyDescent="0.3">
      <c r="A516" s="2" t="s">
        <v>1049</v>
      </c>
      <c r="B516" s="2" t="s">
        <v>1050</v>
      </c>
      <c r="C516" s="2" t="s">
        <v>37</v>
      </c>
      <c r="D516" s="3">
        <v>45740</v>
      </c>
      <c r="E516" s="3">
        <v>45747</v>
      </c>
      <c r="F516" s="3">
        <v>45753</v>
      </c>
      <c r="G516" s="2" t="s">
        <v>22</v>
      </c>
      <c r="H516" s="2">
        <v>58</v>
      </c>
      <c r="I516" s="2">
        <v>58</v>
      </c>
      <c r="J516">
        <f t="shared" si="40"/>
        <v>13</v>
      </c>
      <c r="K516">
        <f t="shared" si="41"/>
        <v>6</v>
      </c>
      <c r="L516" t="str">
        <f t="shared" si="42"/>
        <v>No</v>
      </c>
      <c r="M516" t="str">
        <f t="shared" ref="M516:M579" si="44">IF(H516=I516,"Yes","No")</f>
        <v>Yes</v>
      </c>
      <c r="N516" t="str">
        <f t="shared" si="43"/>
        <v>No</v>
      </c>
    </row>
    <row r="517" spans="1:14" x14ac:dyDescent="0.3">
      <c r="A517" s="4" t="s">
        <v>1051</v>
      </c>
      <c r="B517" s="4" t="s">
        <v>1052</v>
      </c>
      <c r="C517" s="4" t="s">
        <v>14</v>
      </c>
      <c r="D517" s="5">
        <v>45739</v>
      </c>
      <c r="E517" s="5">
        <v>45747</v>
      </c>
      <c r="F517" s="5">
        <v>45754</v>
      </c>
      <c r="G517" s="4" t="s">
        <v>22</v>
      </c>
      <c r="H517" s="4">
        <v>50</v>
      </c>
      <c r="I517" s="2">
        <v>50</v>
      </c>
      <c r="J517">
        <f t="shared" si="40"/>
        <v>15</v>
      </c>
      <c r="K517">
        <f t="shared" si="41"/>
        <v>7</v>
      </c>
      <c r="L517" t="str">
        <f t="shared" si="42"/>
        <v>No</v>
      </c>
      <c r="M517" t="str">
        <f t="shared" si="44"/>
        <v>Yes</v>
      </c>
      <c r="N517" t="str">
        <f t="shared" si="43"/>
        <v>No</v>
      </c>
    </row>
    <row r="518" spans="1:14" x14ac:dyDescent="0.3">
      <c r="A518" s="2" t="s">
        <v>1053</v>
      </c>
      <c r="B518" s="2" t="s">
        <v>1054</v>
      </c>
      <c r="C518" s="2" t="s">
        <v>27</v>
      </c>
      <c r="D518" s="3">
        <v>45739</v>
      </c>
      <c r="E518" s="3">
        <v>45748</v>
      </c>
      <c r="F518" s="3">
        <v>45752</v>
      </c>
      <c r="G518" s="2" t="s">
        <v>22</v>
      </c>
      <c r="H518" s="2">
        <v>22</v>
      </c>
      <c r="I518" s="2">
        <v>22</v>
      </c>
      <c r="J518">
        <f t="shared" si="40"/>
        <v>13</v>
      </c>
      <c r="K518">
        <f t="shared" si="41"/>
        <v>4</v>
      </c>
      <c r="L518" t="str">
        <f t="shared" si="42"/>
        <v>No</v>
      </c>
      <c r="M518" t="str">
        <f t="shared" si="44"/>
        <v>Yes</v>
      </c>
      <c r="N518" t="str">
        <f t="shared" si="43"/>
        <v>No</v>
      </c>
    </row>
    <row r="519" spans="1:14" x14ac:dyDescent="0.3">
      <c r="A519" s="4" t="s">
        <v>1055</v>
      </c>
      <c r="B519" s="4" t="s">
        <v>1056</v>
      </c>
      <c r="C519" s="4" t="s">
        <v>37</v>
      </c>
      <c r="D519" s="5">
        <v>45740</v>
      </c>
      <c r="E519" s="5">
        <v>45743</v>
      </c>
      <c r="F519" s="5">
        <v>45753</v>
      </c>
      <c r="G519" s="4" t="s">
        <v>40</v>
      </c>
      <c r="H519" s="4">
        <v>17</v>
      </c>
      <c r="I519" s="2">
        <v>17</v>
      </c>
      <c r="J519">
        <f t="shared" si="40"/>
        <v>13</v>
      </c>
      <c r="K519">
        <f t="shared" si="41"/>
        <v>10</v>
      </c>
      <c r="L519" t="str">
        <f t="shared" si="42"/>
        <v>No</v>
      </c>
      <c r="M519" t="str">
        <f t="shared" si="44"/>
        <v>Yes</v>
      </c>
      <c r="N519" t="str">
        <f t="shared" si="43"/>
        <v>No</v>
      </c>
    </row>
    <row r="520" spans="1:14" x14ac:dyDescent="0.3">
      <c r="A520" s="2" t="s">
        <v>1057</v>
      </c>
      <c r="B520" s="2" t="s">
        <v>1058</v>
      </c>
      <c r="C520" s="2" t="s">
        <v>21</v>
      </c>
      <c r="D520" s="3">
        <v>45739</v>
      </c>
      <c r="E520" s="3">
        <v>45748</v>
      </c>
      <c r="F520" s="3">
        <v>45746</v>
      </c>
      <c r="G520" s="2" t="s">
        <v>18</v>
      </c>
      <c r="H520" s="2">
        <v>43</v>
      </c>
      <c r="I520" s="2">
        <v>43</v>
      </c>
      <c r="J520">
        <f t="shared" si="40"/>
        <v>7</v>
      </c>
      <c r="K520">
        <f t="shared" si="41"/>
        <v>-2</v>
      </c>
      <c r="L520" t="str">
        <f t="shared" si="42"/>
        <v>Yes</v>
      </c>
      <c r="M520" t="str">
        <f t="shared" si="44"/>
        <v>Yes</v>
      </c>
      <c r="N520" t="str">
        <f t="shared" si="43"/>
        <v>Yes</v>
      </c>
    </row>
    <row r="521" spans="1:14" x14ac:dyDescent="0.3">
      <c r="A521" s="4" t="s">
        <v>1059</v>
      </c>
      <c r="B521" s="4" t="s">
        <v>1060</v>
      </c>
      <c r="C521" s="4" t="s">
        <v>21</v>
      </c>
      <c r="D521" s="5">
        <v>45740</v>
      </c>
      <c r="E521" s="5">
        <v>45746</v>
      </c>
      <c r="F521" s="5">
        <v>45745</v>
      </c>
      <c r="G521" s="4" t="s">
        <v>18</v>
      </c>
      <c r="H521" s="4">
        <v>44</v>
      </c>
      <c r="I521" s="2">
        <v>44</v>
      </c>
      <c r="J521">
        <f t="shared" si="40"/>
        <v>5</v>
      </c>
      <c r="K521">
        <f t="shared" si="41"/>
        <v>-1</v>
      </c>
      <c r="L521" t="str">
        <f t="shared" si="42"/>
        <v>Yes</v>
      </c>
      <c r="M521" t="str">
        <f t="shared" si="44"/>
        <v>Yes</v>
      </c>
      <c r="N521" t="str">
        <f t="shared" si="43"/>
        <v>Yes</v>
      </c>
    </row>
    <row r="522" spans="1:14" x14ac:dyDescent="0.3">
      <c r="A522" s="2" t="s">
        <v>1061</v>
      </c>
      <c r="B522" s="2" t="s">
        <v>1062</v>
      </c>
      <c r="C522" s="2" t="s">
        <v>34</v>
      </c>
      <c r="D522" s="3">
        <v>45740</v>
      </c>
      <c r="E522" s="3">
        <v>45749</v>
      </c>
      <c r="F522" s="3">
        <v>45747</v>
      </c>
      <c r="G522" s="2" t="s">
        <v>40</v>
      </c>
      <c r="H522" s="2">
        <v>22</v>
      </c>
      <c r="I522" s="2">
        <v>22</v>
      </c>
      <c r="J522">
        <f t="shared" si="40"/>
        <v>7</v>
      </c>
      <c r="K522">
        <f t="shared" si="41"/>
        <v>-2</v>
      </c>
      <c r="L522" t="str">
        <f t="shared" si="42"/>
        <v>Yes</v>
      </c>
      <c r="M522" t="str">
        <f t="shared" si="44"/>
        <v>Yes</v>
      </c>
      <c r="N522" t="str">
        <f t="shared" si="43"/>
        <v>Yes</v>
      </c>
    </row>
    <row r="523" spans="1:14" x14ac:dyDescent="0.3">
      <c r="A523" s="4" t="s">
        <v>1063</v>
      </c>
      <c r="B523" s="4" t="s">
        <v>1064</v>
      </c>
      <c r="C523" s="4" t="s">
        <v>37</v>
      </c>
      <c r="D523" s="5">
        <v>45742</v>
      </c>
      <c r="E523" s="5">
        <v>45745</v>
      </c>
      <c r="F523" s="5">
        <v>45755</v>
      </c>
      <c r="G523" s="4" t="s">
        <v>18</v>
      </c>
      <c r="H523" s="4">
        <v>26</v>
      </c>
      <c r="I523" s="2">
        <v>26</v>
      </c>
      <c r="J523">
        <f t="shared" si="40"/>
        <v>13</v>
      </c>
      <c r="K523">
        <f t="shared" si="41"/>
        <v>10</v>
      </c>
      <c r="L523" t="str">
        <f t="shared" si="42"/>
        <v>No</v>
      </c>
      <c r="M523" t="str">
        <f t="shared" si="44"/>
        <v>Yes</v>
      </c>
      <c r="N523" t="str">
        <f t="shared" si="43"/>
        <v>No</v>
      </c>
    </row>
    <row r="524" spans="1:14" x14ac:dyDescent="0.3">
      <c r="A524" s="2" t="s">
        <v>1065</v>
      </c>
      <c r="B524" s="2" t="s">
        <v>1066</v>
      </c>
      <c r="C524" s="2" t="s">
        <v>10</v>
      </c>
      <c r="D524" s="3">
        <v>45741</v>
      </c>
      <c r="E524" s="3">
        <v>45750</v>
      </c>
      <c r="F524" s="3">
        <v>45745</v>
      </c>
      <c r="G524" s="2" t="s">
        <v>11</v>
      </c>
      <c r="H524" s="2">
        <v>24</v>
      </c>
      <c r="I524" s="2">
        <v>24</v>
      </c>
      <c r="J524">
        <f t="shared" si="40"/>
        <v>4</v>
      </c>
      <c r="K524">
        <f t="shared" si="41"/>
        <v>-5</v>
      </c>
      <c r="L524" t="str">
        <f t="shared" si="42"/>
        <v>Yes</v>
      </c>
      <c r="M524" t="str">
        <f t="shared" si="44"/>
        <v>Yes</v>
      </c>
      <c r="N524" t="str">
        <f t="shared" si="43"/>
        <v>Yes</v>
      </c>
    </row>
    <row r="525" spans="1:14" x14ac:dyDescent="0.3">
      <c r="A525" s="4" t="s">
        <v>1067</v>
      </c>
      <c r="B525" s="4" t="s">
        <v>1068</v>
      </c>
      <c r="C525" s="4" t="s">
        <v>72</v>
      </c>
      <c r="D525" s="5">
        <v>45741</v>
      </c>
      <c r="E525" s="5">
        <v>45744</v>
      </c>
      <c r="F525" s="5">
        <v>45755</v>
      </c>
      <c r="G525" s="4" t="s">
        <v>11</v>
      </c>
      <c r="H525" s="4">
        <v>7</v>
      </c>
      <c r="I525" s="2">
        <v>13</v>
      </c>
      <c r="J525">
        <f t="shared" si="40"/>
        <v>14</v>
      </c>
      <c r="K525">
        <f t="shared" si="41"/>
        <v>11</v>
      </c>
      <c r="L525" t="str">
        <f t="shared" si="42"/>
        <v>No</v>
      </c>
      <c r="M525" t="str">
        <f t="shared" si="44"/>
        <v>No</v>
      </c>
      <c r="N525" t="str">
        <f t="shared" si="43"/>
        <v>No</v>
      </c>
    </row>
    <row r="526" spans="1:14" x14ac:dyDescent="0.3">
      <c r="A526" s="2" t="s">
        <v>1069</v>
      </c>
      <c r="B526" s="2" t="s">
        <v>1070</v>
      </c>
      <c r="C526" s="2" t="s">
        <v>14</v>
      </c>
      <c r="D526" s="3">
        <v>45741</v>
      </c>
      <c r="E526" s="3">
        <v>45747</v>
      </c>
      <c r="F526" s="3">
        <v>45760</v>
      </c>
      <c r="G526" s="2" t="s">
        <v>11</v>
      </c>
      <c r="H526" s="2">
        <v>39</v>
      </c>
      <c r="I526" s="2">
        <v>39</v>
      </c>
      <c r="J526">
        <f t="shared" si="40"/>
        <v>19</v>
      </c>
      <c r="K526">
        <f t="shared" si="41"/>
        <v>13</v>
      </c>
      <c r="L526" t="str">
        <f t="shared" si="42"/>
        <v>No</v>
      </c>
      <c r="M526" t="str">
        <f t="shared" si="44"/>
        <v>Yes</v>
      </c>
      <c r="N526" t="str">
        <f t="shared" si="43"/>
        <v>No</v>
      </c>
    </row>
    <row r="527" spans="1:14" x14ac:dyDescent="0.3">
      <c r="A527" s="4" t="s">
        <v>1071</v>
      </c>
      <c r="B527" s="4" t="s">
        <v>1072</v>
      </c>
      <c r="C527" s="4" t="s">
        <v>21</v>
      </c>
      <c r="D527" s="5">
        <v>45742</v>
      </c>
      <c r="E527" s="5">
        <v>45744</v>
      </c>
      <c r="F527" s="5">
        <v>45748</v>
      </c>
      <c r="G527" s="4" t="s">
        <v>40</v>
      </c>
      <c r="H527" s="4">
        <v>34</v>
      </c>
      <c r="I527" s="2">
        <v>37</v>
      </c>
      <c r="J527">
        <f t="shared" si="40"/>
        <v>6</v>
      </c>
      <c r="K527">
        <f t="shared" si="41"/>
        <v>4</v>
      </c>
      <c r="L527" t="str">
        <f t="shared" si="42"/>
        <v>No</v>
      </c>
      <c r="M527" t="str">
        <f t="shared" si="44"/>
        <v>No</v>
      </c>
      <c r="N527" t="str">
        <f t="shared" si="43"/>
        <v>No</v>
      </c>
    </row>
    <row r="528" spans="1:14" x14ac:dyDescent="0.3">
      <c r="A528" s="2" t="s">
        <v>1073</v>
      </c>
      <c r="B528" s="2" t="s">
        <v>1074</v>
      </c>
      <c r="C528" s="2" t="s">
        <v>21</v>
      </c>
      <c r="D528" s="3">
        <v>45741</v>
      </c>
      <c r="E528" s="3">
        <v>45743</v>
      </c>
      <c r="F528" s="3">
        <v>45751</v>
      </c>
      <c r="G528" s="2" t="s">
        <v>22</v>
      </c>
      <c r="H528" s="2">
        <v>34</v>
      </c>
      <c r="I528" s="2">
        <v>35</v>
      </c>
      <c r="J528">
        <f t="shared" si="40"/>
        <v>10</v>
      </c>
      <c r="K528">
        <f t="shared" si="41"/>
        <v>8</v>
      </c>
      <c r="L528" t="str">
        <f t="shared" si="42"/>
        <v>No</v>
      </c>
      <c r="M528" t="str">
        <f t="shared" si="44"/>
        <v>No</v>
      </c>
      <c r="N528" t="str">
        <f t="shared" si="43"/>
        <v>No</v>
      </c>
    </row>
    <row r="529" spans="1:14" x14ac:dyDescent="0.3">
      <c r="A529" s="4" t="s">
        <v>1075</v>
      </c>
      <c r="B529" s="4" t="s">
        <v>1076</v>
      </c>
      <c r="C529" s="4" t="s">
        <v>37</v>
      </c>
      <c r="D529" s="5">
        <v>45743</v>
      </c>
      <c r="E529" s="5">
        <v>45744</v>
      </c>
      <c r="F529" s="5">
        <v>45756</v>
      </c>
      <c r="G529" s="4" t="s">
        <v>11</v>
      </c>
      <c r="H529" s="4">
        <v>33</v>
      </c>
      <c r="I529" s="2">
        <v>33</v>
      </c>
      <c r="J529">
        <f t="shared" si="40"/>
        <v>13</v>
      </c>
      <c r="K529">
        <f t="shared" si="41"/>
        <v>12</v>
      </c>
      <c r="L529" t="str">
        <f t="shared" si="42"/>
        <v>No</v>
      </c>
      <c r="M529" t="str">
        <f t="shared" si="44"/>
        <v>Yes</v>
      </c>
      <c r="N529" t="str">
        <f t="shared" si="43"/>
        <v>No</v>
      </c>
    </row>
    <row r="530" spans="1:14" x14ac:dyDescent="0.3">
      <c r="A530" s="2" t="s">
        <v>1077</v>
      </c>
      <c r="B530" s="2" t="s">
        <v>1078</v>
      </c>
      <c r="C530" s="2" t="s">
        <v>72</v>
      </c>
      <c r="D530" s="3">
        <v>45742</v>
      </c>
      <c r="E530" s="3">
        <v>45745</v>
      </c>
      <c r="F530" s="3">
        <v>45755</v>
      </c>
      <c r="G530" s="2" t="s">
        <v>40</v>
      </c>
      <c r="H530" s="2">
        <v>17</v>
      </c>
      <c r="I530" s="2">
        <v>17</v>
      </c>
      <c r="J530">
        <f t="shared" si="40"/>
        <v>13</v>
      </c>
      <c r="K530">
        <f t="shared" si="41"/>
        <v>10</v>
      </c>
      <c r="L530" t="str">
        <f t="shared" si="42"/>
        <v>No</v>
      </c>
      <c r="M530" t="str">
        <f t="shared" si="44"/>
        <v>Yes</v>
      </c>
      <c r="N530" t="str">
        <f t="shared" si="43"/>
        <v>No</v>
      </c>
    </row>
    <row r="531" spans="1:14" x14ac:dyDescent="0.3">
      <c r="A531" s="4" t="s">
        <v>1079</v>
      </c>
      <c r="B531" s="4" t="s">
        <v>1080</v>
      </c>
      <c r="C531" s="4" t="s">
        <v>10</v>
      </c>
      <c r="D531" s="5">
        <v>45742</v>
      </c>
      <c r="E531" s="5">
        <v>45744</v>
      </c>
      <c r="F531" s="5">
        <v>45751</v>
      </c>
      <c r="G531" s="4" t="s">
        <v>40</v>
      </c>
      <c r="H531" s="4">
        <v>21</v>
      </c>
      <c r="I531" s="2">
        <v>21</v>
      </c>
      <c r="J531">
        <f t="shared" si="40"/>
        <v>9</v>
      </c>
      <c r="K531">
        <f t="shared" si="41"/>
        <v>7</v>
      </c>
      <c r="L531" t="str">
        <f t="shared" si="42"/>
        <v>No</v>
      </c>
      <c r="M531" t="str">
        <f t="shared" si="44"/>
        <v>Yes</v>
      </c>
      <c r="N531" t="str">
        <f t="shared" si="43"/>
        <v>No</v>
      </c>
    </row>
    <row r="532" spans="1:14" x14ac:dyDescent="0.3">
      <c r="A532" s="2" t="s">
        <v>1081</v>
      </c>
      <c r="B532" s="2" t="s">
        <v>1082</v>
      </c>
      <c r="C532" s="2" t="s">
        <v>59</v>
      </c>
      <c r="D532" s="3">
        <v>45743</v>
      </c>
      <c r="E532" s="3">
        <v>45751</v>
      </c>
      <c r="F532" s="3">
        <v>45748</v>
      </c>
      <c r="G532" s="2" t="s">
        <v>11</v>
      </c>
      <c r="H532" s="2">
        <v>18</v>
      </c>
      <c r="I532" s="2">
        <v>18</v>
      </c>
      <c r="J532">
        <f t="shared" si="40"/>
        <v>5</v>
      </c>
      <c r="K532">
        <f t="shared" si="41"/>
        <v>-3</v>
      </c>
      <c r="L532" t="str">
        <f t="shared" si="42"/>
        <v>Yes</v>
      </c>
      <c r="M532" t="str">
        <f t="shared" si="44"/>
        <v>Yes</v>
      </c>
      <c r="N532" t="str">
        <f t="shared" si="43"/>
        <v>Yes</v>
      </c>
    </row>
    <row r="533" spans="1:14" x14ac:dyDescent="0.3">
      <c r="A533" s="4" t="s">
        <v>1083</v>
      </c>
      <c r="B533" s="4" t="s">
        <v>1084</v>
      </c>
      <c r="C533" s="4" t="s">
        <v>21</v>
      </c>
      <c r="D533" s="5">
        <v>45741</v>
      </c>
      <c r="E533" s="5">
        <v>45750</v>
      </c>
      <c r="F533" s="5">
        <v>45746</v>
      </c>
      <c r="G533" s="4" t="s">
        <v>18</v>
      </c>
      <c r="H533" s="4">
        <v>31</v>
      </c>
      <c r="I533" s="2">
        <v>31</v>
      </c>
      <c r="J533">
        <f t="shared" si="40"/>
        <v>5</v>
      </c>
      <c r="K533">
        <f t="shared" si="41"/>
        <v>-4</v>
      </c>
      <c r="L533" t="str">
        <f t="shared" si="42"/>
        <v>Yes</v>
      </c>
      <c r="M533" t="str">
        <f t="shared" si="44"/>
        <v>Yes</v>
      </c>
      <c r="N533" t="str">
        <f t="shared" si="43"/>
        <v>Yes</v>
      </c>
    </row>
    <row r="534" spans="1:14" x14ac:dyDescent="0.3">
      <c r="A534" s="2" t="s">
        <v>1085</v>
      </c>
      <c r="B534" s="2" t="s">
        <v>1086</v>
      </c>
      <c r="C534" s="2" t="s">
        <v>21</v>
      </c>
      <c r="D534" s="3">
        <v>45741</v>
      </c>
      <c r="E534" s="3">
        <v>45744</v>
      </c>
      <c r="F534" s="3">
        <v>45749</v>
      </c>
      <c r="G534" s="2" t="s">
        <v>15</v>
      </c>
      <c r="H534" s="2">
        <v>47</v>
      </c>
      <c r="I534" s="2">
        <v>47</v>
      </c>
      <c r="J534">
        <f t="shared" si="40"/>
        <v>8</v>
      </c>
      <c r="K534">
        <f t="shared" si="41"/>
        <v>5</v>
      </c>
      <c r="L534" t="str">
        <f t="shared" si="42"/>
        <v>No</v>
      </c>
      <c r="M534" t="str">
        <f t="shared" si="44"/>
        <v>Yes</v>
      </c>
      <c r="N534" t="str">
        <f t="shared" si="43"/>
        <v>No</v>
      </c>
    </row>
    <row r="535" spans="1:14" x14ac:dyDescent="0.3">
      <c r="A535" s="4" t="s">
        <v>1087</v>
      </c>
      <c r="B535" s="4" t="s">
        <v>1088</v>
      </c>
      <c r="C535" s="4" t="s">
        <v>21</v>
      </c>
      <c r="D535" s="5">
        <v>45741</v>
      </c>
      <c r="E535" s="5">
        <v>45744</v>
      </c>
      <c r="F535" s="5">
        <v>45747</v>
      </c>
      <c r="G535" s="4" t="s">
        <v>22</v>
      </c>
      <c r="H535" s="4">
        <v>25</v>
      </c>
      <c r="I535" s="2">
        <v>25</v>
      </c>
      <c r="J535">
        <f t="shared" si="40"/>
        <v>6</v>
      </c>
      <c r="K535">
        <f t="shared" si="41"/>
        <v>3</v>
      </c>
      <c r="L535" t="str">
        <f t="shared" si="42"/>
        <v>No</v>
      </c>
      <c r="M535" t="str">
        <f t="shared" si="44"/>
        <v>Yes</v>
      </c>
      <c r="N535" t="str">
        <f t="shared" si="43"/>
        <v>No</v>
      </c>
    </row>
    <row r="536" spans="1:14" x14ac:dyDescent="0.3">
      <c r="A536" s="2" t="s">
        <v>1089</v>
      </c>
      <c r="B536" s="2" t="s">
        <v>1090</v>
      </c>
      <c r="C536" s="2" t="s">
        <v>34</v>
      </c>
      <c r="D536" s="3">
        <v>45744</v>
      </c>
      <c r="E536" s="3">
        <v>45745</v>
      </c>
      <c r="F536" s="3">
        <v>45755</v>
      </c>
      <c r="G536" s="2" t="s">
        <v>22</v>
      </c>
      <c r="H536" s="2">
        <v>50</v>
      </c>
      <c r="I536" s="2">
        <v>50</v>
      </c>
      <c r="J536">
        <f t="shared" si="40"/>
        <v>11</v>
      </c>
      <c r="K536">
        <f t="shared" si="41"/>
        <v>10</v>
      </c>
      <c r="L536" t="str">
        <f t="shared" si="42"/>
        <v>No</v>
      </c>
      <c r="M536" t="str">
        <f t="shared" si="44"/>
        <v>Yes</v>
      </c>
      <c r="N536" t="str">
        <f t="shared" si="43"/>
        <v>No</v>
      </c>
    </row>
    <row r="537" spans="1:14" x14ac:dyDescent="0.3">
      <c r="A537" s="4" t="s">
        <v>1091</v>
      </c>
      <c r="B537" s="4" t="s">
        <v>1092</v>
      </c>
      <c r="C537" s="4" t="s">
        <v>34</v>
      </c>
      <c r="D537" s="5">
        <v>45742</v>
      </c>
      <c r="E537" s="5">
        <v>45751</v>
      </c>
      <c r="F537" s="5">
        <v>45748</v>
      </c>
      <c r="G537" s="4" t="s">
        <v>18</v>
      </c>
      <c r="H537" s="4">
        <v>24</v>
      </c>
      <c r="I537" s="2">
        <v>24</v>
      </c>
      <c r="J537">
        <f t="shared" si="40"/>
        <v>6</v>
      </c>
      <c r="K537">
        <f t="shared" si="41"/>
        <v>-3</v>
      </c>
      <c r="L537" t="str">
        <f t="shared" si="42"/>
        <v>Yes</v>
      </c>
      <c r="M537" t="str">
        <f t="shared" si="44"/>
        <v>Yes</v>
      </c>
      <c r="N537" t="str">
        <f t="shared" si="43"/>
        <v>Yes</v>
      </c>
    </row>
    <row r="538" spans="1:14" x14ac:dyDescent="0.3">
      <c r="A538" s="2" t="s">
        <v>1093</v>
      </c>
      <c r="B538" s="2" t="s">
        <v>1094</v>
      </c>
      <c r="C538" s="2" t="s">
        <v>10</v>
      </c>
      <c r="D538" s="3">
        <v>45742</v>
      </c>
      <c r="E538" s="3">
        <v>45749</v>
      </c>
      <c r="F538" s="3">
        <v>45746</v>
      </c>
      <c r="G538" s="2" t="s">
        <v>22</v>
      </c>
      <c r="H538" s="2">
        <v>11</v>
      </c>
      <c r="I538" s="2">
        <v>11</v>
      </c>
      <c r="J538">
        <f t="shared" si="40"/>
        <v>4</v>
      </c>
      <c r="K538">
        <f t="shared" si="41"/>
        <v>-3</v>
      </c>
      <c r="L538" t="str">
        <f t="shared" si="42"/>
        <v>Yes</v>
      </c>
      <c r="M538" t="str">
        <f t="shared" si="44"/>
        <v>Yes</v>
      </c>
      <c r="N538" t="str">
        <f t="shared" si="43"/>
        <v>Yes</v>
      </c>
    </row>
    <row r="539" spans="1:14" x14ac:dyDescent="0.3">
      <c r="A539" s="4" t="s">
        <v>1095</v>
      </c>
      <c r="B539" s="4" t="s">
        <v>1096</v>
      </c>
      <c r="C539" s="4" t="s">
        <v>10</v>
      </c>
      <c r="D539" s="5">
        <v>45743</v>
      </c>
      <c r="E539" s="5">
        <v>45747</v>
      </c>
      <c r="F539" s="5">
        <v>45752</v>
      </c>
      <c r="G539" s="4" t="s">
        <v>11</v>
      </c>
      <c r="H539" s="4">
        <v>5</v>
      </c>
      <c r="I539" s="2">
        <v>7</v>
      </c>
      <c r="J539">
        <f t="shared" si="40"/>
        <v>9</v>
      </c>
      <c r="K539">
        <f t="shared" si="41"/>
        <v>5</v>
      </c>
      <c r="L539" t="str">
        <f t="shared" si="42"/>
        <v>No</v>
      </c>
      <c r="M539" t="str">
        <f t="shared" si="44"/>
        <v>No</v>
      </c>
      <c r="N539" t="str">
        <f t="shared" si="43"/>
        <v>No</v>
      </c>
    </row>
    <row r="540" spans="1:14" x14ac:dyDescent="0.3">
      <c r="A540" s="2" t="s">
        <v>1097</v>
      </c>
      <c r="B540" s="2" t="s">
        <v>1098</v>
      </c>
      <c r="C540" s="2" t="s">
        <v>59</v>
      </c>
      <c r="D540" s="3">
        <v>45743</v>
      </c>
      <c r="E540" s="3">
        <v>45748</v>
      </c>
      <c r="F540" s="3">
        <v>45746</v>
      </c>
      <c r="G540" s="2" t="s">
        <v>22</v>
      </c>
      <c r="H540" s="2">
        <v>21</v>
      </c>
      <c r="I540" s="2">
        <v>21</v>
      </c>
      <c r="J540">
        <f t="shared" si="40"/>
        <v>3</v>
      </c>
      <c r="K540">
        <f t="shared" si="41"/>
        <v>-2</v>
      </c>
      <c r="L540" t="str">
        <f t="shared" si="42"/>
        <v>Yes</v>
      </c>
      <c r="M540" t="str">
        <f t="shared" si="44"/>
        <v>Yes</v>
      </c>
      <c r="N540" t="str">
        <f t="shared" si="43"/>
        <v>Yes</v>
      </c>
    </row>
    <row r="541" spans="1:14" x14ac:dyDescent="0.3">
      <c r="A541" s="4" t="s">
        <v>1099</v>
      </c>
      <c r="B541" s="4" t="s">
        <v>1100</v>
      </c>
      <c r="C541" s="4" t="s">
        <v>21</v>
      </c>
      <c r="D541" s="5">
        <v>45742</v>
      </c>
      <c r="E541" s="5">
        <v>45751</v>
      </c>
      <c r="F541" s="5">
        <v>45752</v>
      </c>
      <c r="G541" s="4" t="s">
        <v>15</v>
      </c>
      <c r="H541" s="4">
        <v>16</v>
      </c>
      <c r="I541" s="2">
        <v>16</v>
      </c>
      <c r="J541">
        <f t="shared" si="40"/>
        <v>10</v>
      </c>
      <c r="K541">
        <f t="shared" si="41"/>
        <v>1</v>
      </c>
      <c r="L541" t="str">
        <f t="shared" si="42"/>
        <v>No</v>
      </c>
      <c r="M541" t="str">
        <f t="shared" si="44"/>
        <v>Yes</v>
      </c>
      <c r="N541" t="str">
        <f t="shared" si="43"/>
        <v>No</v>
      </c>
    </row>
    <row r="542" spans="1:14" x14ac:dyDescent="0.3">
      <c r="A542" s="2" t="s">
        <v>1101</v>
      </c>
      <c r="B542" s="2" t="s">
        <v>1102</v>
      </c>
      <c r="C542" s="2" t="s">
        <v>27</v>
      </c>
      <c r="D542" s="3">
        <v>45744</v>
      </c>
      <c r="E542" s="3">
        <v>45752</v>
      </c>
      <c r="F542" s="3">
        <v>45757</v>
      </c>
      <c r="G542" s="2" t="s">
        <v>22</v>
      </c>
      <c r="H542" s="2">
        <v>19</v>
      </c>
      <c r="I542" s="2">
        <v>19</v>
      </c>
      <c r="J542">
        <f t="shared" si="40"/>
        <v>13</v>
      </c>
      <c r="K542">
        <f t="shared" si="41"/>
        <v>5</v>
      </c>
      <c r="L542" t="str">
        <f t="shared" si="42"/>
        <v>No</v>
      </c>
      <c r="M542" t="str">
        <f t="shared" si="44"/>
        <v>Yes</v>
      </c>
      <c r="N542" t="str">
        <f t="shared" si="43"/>
        <v>No</v>
      </c>
    </row>
    <row r="543" spans="1:14" x14ac:dyDescent="0.3">
      <c r="A543" s="4" t="s">
        <v>1103</v>
      </c>
      <c r="B543" s="4" t="s">
        <v>1104</v>
      </c>
      <c r="C543" s="4" t="s">
        <v>27</v>
      </c>
      <c r="D543" s="5">
        <v>45742</v>
      </c>
      <c r="E543" s="5">
        <v>45746</v>
      </c>
      <c r="F543" s="5">
        <v>45759</v>
      </c>
      <c r="G543" s="4" t="s">
        <v>11</v>
      </c>
      <c r="H543" s="4">
        <v>6</v>
      </c>
      <c r="I543" s="2">
        <v>6</v>
      </c>
      <c r="J543">
        <f t="shared" si="40"/>
        <v>17</v>
      </c>
      <c r="K543">
        <f t="shared" si="41"/>
        <v>13</v>
      </c>
      <c r="L543" t="str">
        <f t="shared" si="42"/>
        <v>No</v>
      </c>
      <c r="M543" t="str">
        <f t="shared" si="44"/>
        <v>Yes</v>
      </c>
      <c r="N543" t="str">
        <f t="shared" si="43"/>
        <v>No</v>
      </c>
    </row>
    <row r="544" spans="1:14" x14ac:dyDescent="0.3">
      <c r="A544" s="2" t="s">
        <v>1105</v>
      </c>
      <c r="B544" s="2" t="s">
        <v>1106</v>
      </c>
      <c r="C544" s="2" t="s">
        <v>27</v>
      </c>
      <c r="D544" s="3">
        <v>45742</v>
      </c>
      <c r="E544" s="3">
        <v>45746</v>
      </c>
      <c r="F544" s="3">
        <v>45755</v>
      </c>
      <c r="G544" s="2" t="s">
        <v>22</v>
      </c>
      <c r="H544" s="2">
        <v>12</v>
      </c>
      <c r="I544" s="2">
        <v>12</v>
      </c>
      <c r="J544">
        <f t="shared" si="40"/>
        <v>13</v>
      </c>
      <c r="K544">
        <f t="shared" si="41"/>
        <v>9</v>
      </c>
      <c r="L544" t="str">
        <f t="shared" si="42"/>
        <v>No</v>
      </c>
      <c r="M544" t="str">
        <f t="shared" si="44"/>
        <v>Yes</v>
      </c>
      <c r="N544" t="str">
        <f t="shared" si="43"/>
        <v>No</v>
      </c>
    </row>
    <row r="545" spans="1:14" x14ac:dyDescent="0.3">
      <c r="A545" s="4" t="s">
        <v>1107</v>
      </c>
      <c r="B545" s="4" t="s">
        <v>1108</v>
      </c>
      <c r="C545" s="4" t="s">
        <v>34</v>
      </c>
      <c r="D545" s="5">
        <v>45745</v>
      </c>
      <c r="E545" s="5">
        <v>45746</v>
      </c>
      <c r="F545" s="5">
        <v>45754</v>
      </c>
      <c r="G545" s="4" t="s">
        <v>11</v>
      </c>
      <c r="H545" s="4">
        <v>43</v>
      </c>
      <c r="I545" s="2">
        <v>43</v>
      </c>
      <c r="J545">
        <f t="shared" si="40"/>
        <v>9</v>
      </c>
      <c r="K545">
        <f t="shared" si="41"/>
        <v>8</v>
      </c>
      <c r="L545" t="str">
        <f t="shared" si="42"/>
        <v>No</v>
      </c>
      <c r="M545" t="str">
        <f t="shared" si="44"/>
        <v>Yes</v>
      </c>
      <c r="N545" t="str">
        <f t="shared" si="43"/>
        <v>No</v>
      </c>
    </row>
    <row r="546" spans="1:14" x14ac:dyDescent="0.3">
      <c r="A546" s="2" t="s">
        <v>1109</v>
      </c>
      <c r="B546" s="2" t="s">
        <v>1110</v>
      </c>
      <c r="C546" s="2" t="s">
        <v>10</v>
      </c>
      <c r="D546" s="3">
        <v>45745</v>
      </c>
      <c r="E546" s="3">
        <v>45747</v>
      </c>
      <c r="F546" s="3">
        <v>45750</v>
      </c>
      <c r="G546" s="2" t="s">
        <v>18</v>
      </c>
      <c r="H546" s="2">
        <v>11</v>
      </c>
      <c r="I546" s="2">
        <v>11</v>
      </c>
      <c r="J546">
        <f t="shared" si="40"/>
        <v>5</v>
      </c>
      <c r="K546">
        <f t="shared" si="41"/>
        <v>3</v>
      </c>
      <c r="L546" t="str">
        <f t="shared" si="42"/>
        <v>No</v>
      </c>
      <c r="M546" t="str">
        <f t="shared" si="44"/>
        <v>Yes</v>
      </c>
      <c r="N546" t="str">
        <f t="shared" si="43"/>
        <v>No</v>
      </c>
    </row>
    <row r="547" spans="1:14" x14ac:dyDescent="0.3">
      <c r="A547" s="4" t="s">
        <v>1111</v>
      </c>
      <c r="B547" s="4" t="s">
        <v>1112</v>
      </c>
      <c r="C547" s="4" t="s">
        <v>14</v>
      </c>
      <c r="D547" s="5">
        <v>45744</v>
      </c>
      <c r="E547" s="5">
        <v>45748</v>
      </c>
      <c r="F547" s="5">
        <v>45760</v>
      </c>
      <c r="G547" s="4" t="s">
        <v>40</v>
      </c>
      <c r="H547" s="4">
        <v>9</v>
      </c>
      <c r="I547" s="2">
        <v>9</v>
      </c>
      <c r="J547">
        <f t="shared" si="40"/>
        <v>16</v>
      </c>
      <c r="K547">
        <f t="shared" si="41"/>
        <v>12</v>
      </c>
      <c r="L547" t="str">
        <f t="shared" si="42"/>
        <v>No</v>
      </c>
      <c r="M547" t="str">
        <f t="shared" si="44"/>
        <v>Yes</v>
      </c>
      <c r="N547" t="str">
        <f t="shared" si="43"/>
        <v>No</v>
      </c>
    </row>
    <row r="548" spans="1:14" x14ac:dyDescent="0.3">
      <c r="A548" s="2" t="s">
        <v>1113</v>
      </c>
      <c r="B548" s="2" t="s">
        <v>1114</v>
      </c>
      <c r="C548" s="2" t="s">
        <v>14</v>
      </c>
      <c r="D548" s="3">
        <v>45744</v>
      </c>
      <c r="E548" s="3">
        <v>45750</v>
      </c>
      <c r="F548" s="3">
        <v>45759</v>
      </c>
      <c r="G548" s="2" t="s">
        <v>11</v>
      </c>
      <c r="H548" s="2">
        <v>67</v>
      </c>
      <c r="I548" s="2">
        <v>67</v>
      </c>
      <c r="J548">
        <f t="shared" si="40"/>
        <v>15</v>
      </c>
      <c r="K548">
        <f t="shared" si="41"/>
        <v>9</v>
      </c>
      <c r="L548" t="str">
        <f t="shared" si="42"/>
        <v>No</v>
      </c>
      <c r="M548" t="str">
        <f t="shared" si="44"/>
        <v>Yes</v>
      </c>
      <c r="N548" t="str">
        <f t="shared" si="43"/>
        <v>No</v>
      </c>
    </row>
    <row r="549" spans="1:14" x14ac:dyDescent="0.3">
      <c r="A549" s="4" t="s">
        <v>1115</v>
      </c>
      <c r="B549" s="4" t="s">
        <v>1116</v>
      </c>
      <c r="C549" s="4" t="s">
        <v>14</v>
      </c>
      <c r="D549" s="5">
        <v>45743</v>
      </c>
      <c r="E549" s="5">
        <v>45751</v>
      </c>
      <c r="F549" s="5">
        <v>45758</v>
      </c>
      <c r="G549" s="4" t="s">
        <v>22</v>
      </c>
      <c r="H549" s="4">
        <v>9</v>
      </c>
      <c r="I549" s="2">
        <v>9</v>
      </c>
      <c r="J549">
        <f t="shared" si="40"/>
        <v>15</v>
      </c>
      <c r="K549">
        <f t="shared" si="41"/>
        <v>7</v>
      </c>
      <c r="L549" t="str">
        <f t="shared" si="42"/>
        <v>No</v>
      </c>
      <c r="M549" t="str">
        <f t="shared" si="44"/>
        <v>Yes</v>
      </c>
      <c r="N549" t="str">
        <f t="shared" si="43"/>
        <v>No</v>
      </c>
    </row>
    <row r="550" spans="1:14" x14ac:dyDescent="0.3">
      <c r="A550" s="2" t="s">
        <v>1117</v>
      </c>
      <c r="B550" s="2" t="s">
        <v>1118</v>
      </c>
      <c r="C550" s="2" t="s">
        <v>21</v>
      </c>
      <c r="D550" s="3">
        <v>45744</v>
      </c>
      <c r="E550" s="3">
        <v>45752</v>
      </c>
      <c r="F550" s="3">
        <v>45750</v>
      </c>
      <c r="G550" s="2" t="s">
        <v>18</v>
      </c>
      <c r="H550" s="2">
        <v>48</v>
      </c>
      <c r="I550" s="2">
        <v>48</v>
      </c>
      <c r="J550">
        <f t="shared" si="40"/>
        <v>6</v>
      </c>
      <c r="K550">
        <f t="shared" si="41"/>
        <v>-2</v>
      </c>
      <c r="L550" t="str">
        <f t="shared" si="42"/>
        <v>Yes</v>
      </c>
      <c r="M550" t="str">
        <f t="shared" si="44"/>
        <v>Yes</v>
      </c>
      <c r="N550" t="str">
        <f t="shared" si="43"/>
        <v>Yes</v>
      </c>
    </row>
    <row r="551" spans="1:14" x14ac:dyDescent="0.3">
      <c r="A551" s="4" t="s">
        <v>1119</v>
      </c>
      <c r="B551" s="4" t="s">
        <v>1120</v>
      </c>
      <c r="C551" s="4" t="s">
        <v>27</v>
      </c>
      <c r="D551" s="5">
        <v>45743</v>
      </c>
      <c r="E551" s="5">
        <v>45746</v>
      </c>
      <c r="F551" s="5">
        <v>45760</v>
      </c>
      <c r="G551" s="4" t="s">
        <v>22</v>
      </c>
      <c r="H551" s="4">
        <v>6</v>
      </c>
      <c r="I551" s="2">
        <v>6</v>
      </c>
      <c r="J551">
        <f t="shared" si="40"/>
        <v>17</v>
      </c>
      <c r="K551">
        <f t="shared" si="41"/>
        <v>14</v>
      </c>
      <c r="L551" t="str">
        <f t="shared" si="42"/>
        <v>No</v>
      </c>
      <c r="M551" t="str">
        <f t="shared" si="44"/>
        <v>Yes</v>
      </c>
      <c r="N551" t="str">
        <f t="shared" si="43"/>
        <v>No</v>
      </c>
    </row>
    <row r="552" spans="1:14" x14ac:dyDescent="0.3">
      <c r="A552" s="2" t="s">
        <v>1121</v>
      </c>
      <c r="B552" s="2" t="s">
        <v>1122</v>
      </c>
      <c r="C552" s="2" t="s">
        <v>27</v>
      </c>
      <c r="D552" s="3">
        <v>45744</v>
      </c>
      <c r="E552" s="3">
        <v>45753</v>
      </c>
      <c r="F552" s="3">
        <v>45757</v>
      </c>
      <c r="G552" s="2" t="s">
        <v>18</v>
      </c>
      <c r="H552" s="2">
        <v>1</v>
      </c>
      <c r="I552" s="2">
        <v>4</v>
      </c>
      <c r="J552">
        <f t="shared" si="40"/>
        <v>13</v>
      </c>
      <c r="K552">
        <f t="shared" si="41"/>
        <v>4</v>
      </c>
      <c r="L552" t="str">
        <f t="shared" si="42"/>
        <v>No</v>
      </c>
      <c r="M552" t="str">
        <f t="shared" si="44"/>
        <v>No</v>
      </c>
      <c r="N552" t="str">
        <f t="shared" si="43"/>
        <v>No</v>
      </c>
    </row>
    <row r="553" spans="1:14" x14ac:dyDescent="0.3">
      <c r="A553" s="4" t="s">
        <v>1123</v>
      </c>
      <c r="B553" s="4" t="s">
        <v>1124</v>
      </c>
      <c r="C553" s="4" t="s">
        <v>21</v>
      </c>
      <c r="D553" s="5">
        <v>45744</v>
      </c>
      <c r="E553" s="5">
        <v>45748</v>
      </c>
      <c r="F553" s="5">
        <v>45752</v>
      </c>
      <c r="G553" s="4" t="s">
        <v>15</v>
      </c>
      <c r="H553" s="4">
        <v>25</v>
      </c>
      <c r="I553" s="2">
        <v>25</v>
      </c>
      <c r="J553">
        <f t="shared" si="40"/>
        <v>8</v>
      </c>
      <c r="K553">
        <f t="shared" si="41"/>
        <v>4</v>
      </c>
      <c r="L553" t="str">
        <f t="shared" si="42"/>
        <v>No</v>
      </c>
      <c r="M553" t="str">
        <f t="shared" si="44"/>
        <v>Yes</v>
      </c>
      <c r="N553" t="str">
        <f t="shared" si="43"/>
        <v>No</v>
      </c>
    </row>
    <row r="554" spans="1:14" x14ac:dyDescent="0.3">
      <c r="A554" s="2" t="s">
        <v>1125</v>
      </c>
      <c r="B554" s="2" t="s">
        <v>1126</v>
      </c>
      <c r="C554" s="2" t="s">
        <v>21</v>
      </c>
      <c r="D554" s="3">
        <v>45744</v>
      </c>
      <c r="E554" s="3">
        <v>45750</v>
      </c>
      <c r="F554" s="3">
        <v>45754</v>
      </c>
      <c r="G554" s="2" t="s">
        <v>11</v>
      </c>
      <c r="H554" s="2">
        <v>49</v>
      </c>
      <c r="I554" s="2">
        <v>49</v>
      </c>
      <c r="J554">
        <f t="shared" si="40"/>
        <v>10</v>
      </c>
      <c r="K554">
        <f t="shared" si="41"/>
        <v>4</v>
      </c>
      <c r="L554" t="str">
        <f t="shared" si="42"/>
        <v>No</v>
      </c>
      <c r="M554" t="str">
        <f t="shared" si="44"/>
        <v>Yes</v>
      </c>
      <c r="N554" t="str">
        <f t="shared" si="43"/>
        <v>No</v>
      </c>
    </row>
    <row r="555" spans="1:14" x14ac:dyDescent="0.3">
      <c r="A555" s="4" t="s">
        <v>1127</v>
      </c>
      <c r="B555" s="4" t="s">
        <v>1128</v>
      </c>
      <c r="C555" s="4" t="s">
        <v>27</v>
      </c>
      <c r="D555" s="5">
        <v>45745</v>
      </c>
      <c r="E555" s="5">
        <v>45750</v>
      </c>
      <c r="F555" s="5">
        <v>45759</v>
      </c>
      <c r="G555" s="4" t="s">
        <v>40</v>
      </c>
      <c r="H555" s="4">
        <v>6</v>
      </c>
      <c r="I555" s="2">
        <v>6</v>
      </c>
      <c r="J555">
        <f t="shared" si="40"/>
        <v>14</v>
      </c>
      <c r="K555">
        <f t="shared" si="41"/>
        <v>9</v>
      </c>
      <c r="L555" t="str">
        <f t="shared" si="42"/>
        <v>No</v>
      </c>
      <c r="M555" t="str">
        <f t="shared" si="44"/>
        <v>Yes</v>
      </c>
      <c r="N555" t="str">
        <f t="shared" si="43"/>
        <v>No</v>
      </c>
    </row>
    <row r="556" spans="1:14" x14ac:dyDescent="0.3">
      <c r="A556" s="2" t="s">
        <v>1129</v>
      </c>
      <c r="B556" s="2" t="s">
        <v>1130</v>
      </c>
      <c r="C556" s="2" t="s">
        <v>34</v>
      </c>
      <c r="D556" s="3">
        <v>45745</v>
      </c>
      <c r="E556" s="3">
        <v>45748</v>
      </c>
      <c r="F556" s="3">
        <v>45752</v>
      </c>
      <c r="G556" s="2" t="s">
        <v>15</v>
      </c>
      <c r="H556" s="2">
        <v>47</v>
      </c>
      <c r="I556" s="2">
        <v>47</v>
      </c>
      <c r="J556">
        <f t="shared" si="40"/>
        <v>7</v>
      </c>
      <c r="K556">
        <f t="shared" si="41"/>
        <v>4</v>
      </c>
      <c r="L556" t="str">
        <f t="shared" si="42"/>
        <v>No</v>
      </c>
      <c r="M556" t="str">
        <f t="shared" si="44"/>
        <v>Yes</v>
      </c>
      <c r="N556" t="str">
        <f t="shared" si="43"/>
        <v>No</v>
      </c>
    </row>
    <row r="557" spans="1:14" x14ac:dyDescent="0.3">
      <c r="A557" s="4" t="s">
        <v>1131</v>
      </c>
      <c r="B557" s="4" t="s">
        <v>1132</v>
      </c>
      <c r="C557" s="4" t="s">
        <v>14</v>
      </c>
      <c r="D557" s="5">
        <v>45747</v>
      </c>
      <c r="E557" s="5">
        <v>45755</v>
      </c>
      <c r="F557" s="5">
        <v>45762</v>
      </c>
      <c r="G557" s="4" t="s">
        <v>15</v>
      </c>
      <c r="H557" s="4">
        <v>1</v>
      </c>
      <c r="I557" s="2">
        <v>5</v>
      </c>
      <c r="J557">
        <f t="shared" si="40"/>
        <v>15</v>
      </c>
      <c r="K557">
        <f t="shared" si="41"/>
        <v>7</v>
      </c>
      <c r="L557" t="str">
        <f t="shared" si="42"/>
        <v>No</v>
      </c>
      <c r="M557" t="str">
        <f t="shared" si="44"/>
        <v>No</v>
      </c>
      <c r="N557" t="str">
        <f t="shared" si="43"/>
        <v>No</v>
      </c>
    </row>
    <row r="558" spans="1:14" x14ac:dyDescent="0.3">
      <c r="A558" s="2" t="s">
        <v>1133</v>
      </c>
      <c r="B558" s="2" t="s">
        <v>1134</v>
      </c>
      <c r="C558" s="2" t="s">
        <v>59</v>
      </c>
      <c r="D558" s="3">
        <v>45747</v>
      </c>
      <c r="E558" s="3">
        <v>45754</v>
      </c>
      <c r="F558" s="3">
        <v>45752</v>
      </c>
      <c r="G558" s="2" t="s">
        <v>11</v>
      </c>
      <c r="H558" s="2">
        <v>37</v>
      </c>
      <c r="I558" s="2">
        <v>37</v>
      </c>
      <c r="J558">
        <f t="shared" si="40"/>
        <v>5</v>
      </c>
      <c r="K558">
        <f t="shared" si="41"/>
        <v>-2</v>
      </c>
      <c r="L558" t="str">
        <f t="shared" si="42"/>
        <v>Yes</v>
      </c>
      <c r="M558" t="str">
        <f t="shared" si="44"/>
        <v>Yes</v>
      </c>
      <c r="N558" t="str">
        <f t="shared" si="43"/>
        <v>Yes</v>
      </c>
    </row>
    <row r="559" spans="1:14" x14ac:dyDescent="0.3">
      <c r="A559" s="4" t="s">
        <v>1135</v>
      </c>
      <c r="B559" s="4" t="s">
        <v>1136</v>
      </c>
      <c r="C559" s="4" t="s">
        <v>14</v>
      </c>
      <c r="D559" s="5">
        <v>45747</v>
      </c>
      <c r="E559" s="5">
        <v>45755</v>
      </c>
      <c r="F559" s="5">
        <v>45763</v>
      </c>
      <c r="G559" s="4" t="s">
        <v>11</v>
      </c>
      <c r="H559" s="4">
        <v>27</v>
      </c>
      <c r="I559" s="2">
        <v>27</v>
      </c>
      <c r="J559">
        <f t="shared" si="40"/>
        <v>16</v>
      </c>
      <c r="K559">
        <f t="shared" si="41"/>
        <v>8</v>
      </c>
      <c r="L559" t="str">
        <f t="shared" si="42"/>
        <v>No</v>
      </c>
      <c r="M559" t="str">
        <f t="shared" si="44"/>
        <v>Yes</v>
      </c>
      <c r="N559" t="str">
        <f t="shared" si="43"/>
        <v>No</v>
      </c>
    </row>
    <row r="560" spans="1:14" x14ac:dyDescent="0.3">
      <c r="A560" s="2" t="s">
        <v>1137</v>
      </c>
      <c r="B560" s="2" t="s">
        <v>1138</v>
      </c>
      <c r="C560" s="2" t="s">
        <v>21</v>
      </c>
      <c r="D560" s="3">
        <v>45746</v>
      </c>
      <c r="E560" s="3">
        <v>45755</v>
      </c>
      <c r="F560" s="3">
        <v>45756</v>
      </c>
      <c r="G560" s="2" t="s">
        <v>11</v>
      </c>
      <c r="H560" s="2">
        <v>26</v>
      </c>
      <c r="I560" s="2">
        <v>26</v>
      </c>
      <c r="J560">
        <f t="shared" si="40"/>
        <v>10</v>
      </c>
      <c r="K560">
        <f t="shared" si="41"/>
        <v>1</v>
      </c>
      <c r="L560" t="str">
        <f t="shared" si="42"/>
        <v>No</v>
      </c>
      <c r="M560" t="str">
        <f t="shared" si="44"/>
        <v>Yes</v>
      </c>
      <c r="N560" t="str">
        <f t="shared" si="43"/>
        <v>No</v>
      </c>
    </row>
    <row r="561" spans="1:14" x14ac:dyDescent="0.3">
      <c r="A561" s="4" t="s">
        <v>1139</v>
      </c>
      <c r="B561" s="4" t="s">
        <v>1140</v>
      </c>
      <c r="C561" s="4" t="s">
        <v>21</v>
      </c>
      <c r="D561" s="5">
        <v>45745</v>
      </c>
      <c r="E561" s="5">
        <v>45754</v>
      </c>
      <c r="F561" s="5">
        <v>45752</v>
      </c>
      <c r="G561" s="4" t="s">
        <v>22</v>
      </c>
      <c r="H561" s="4">
        <v>32</v>
      </c>
      <c r="I561" s="2">
        <v>38</v>
      </c>
      <c r="J561">
        <f t="shared" si="40"/>
        <v>7</v>
      </c>
      <c r="K561">
        <f t="shared" si="41"/>
        <v>-2</v>
      </c>
      <c r="L561" t="str">
        <f t="shared" si="42"/>
        <v>Yes</v>
      </c>
      <c r="M561" t="str">
        <f t="shared" si="44"/>
        <v>No</v>
      </c>
      <c r="N561" t="str">
        <f t="shared" si="43"/>
        <v>No</v>
      </c>
    </row>
    <row r="562" spans="1:14" x14ac:dyDescent="0.3">
      <c r="A562" s="2" t="s">
        <v>1141</v>
      </c>
      <c r="B562" s="2" t="s">
        <v>1142</v>
      </c>
      <c r="C562" s="2" t="s">
        <v>72</v>
      </c>
      <c r="D562" s="3">
        <v>45747</v>
      </c>
      <c r="E562" s="3">
        <v>45756</v>
      </c>
      <c r="F562" s="3">
        <v>45761</v>
      </c>
      <c r="G562" s="2" t="s">
        <v>15</v>
      </c>
      <c r="H562" s="2">
        <v>35</v>
      </c>
      <c r="I562" s="2">
        <v>35</v>
      </c>
      <c r="J562">
        <f t="shared" si="40"/>
        <v>14</v>
      </c>
      <c r="K562">
        <f t="shared" si="41"/>
        <v>5</v>
      </c>
      <c r="L562" t="str">
        <f t="shared" si="42"/>
        <v>No</v>
      </c>
      <c r="M562" t="str">
        <f t="shared" si="44"/>
        <v>Yes</v>
      </c>
      <c r="N562" t="str">
        <f t="shared" si="43"/>
        <v>No</v>
      </c>
    </row>
    <row r="563" spans="1:14" x14ac:dyDescent="0.3">
      <c r="A563" s="4" t="s">
        <v>1143</v>
      </c>
      <c r="B563" s="4" t="s">
        <v>1144</v>
      </c>
      <c r="C563" s="4" t="s">
        <v>14</v>
      </c>
      <c r="D563" s="5">
        <v>45747</v>
      </c>
      <c r="E563" s="5">
        <v>45756</v>
      </c>
      <c r="F563" s="5">
        <v>45763</v>
      </c>
      <c r="G563" s="4" t="s">
        <v>22</v>
      </c>
      <c r="H563" s="4">
        <v>6</v>
      </c>
      <c r="I563" s="2">
        <v>6</v>
      </c>
      <c r="J563">
        <f t="shared" si="40"/>
        <v>16</v>
      </c>
      <c r="K563">
        <f t="shared" si="41"/>
        <v>7</v>
      </c>
      <c r="L563" t="str">
        <f t="shared" si="42"/>
        <v>No</v>
      </c>
      <c r="M563" t="str">
        <f t="shared" si="44"/>
        <v>Yes</v>
      </c>
      <c r="N563" t="str">
        <f t="shared" si="43"/>
        <v>No</v>
      </c>
    </row>
    <row r="564" spans="1:14" x14ac:dyDescent="0.3">
      <c r="A564" s="2" t="s">
        <v>1145</v>
      </c>
      <c r="B564" s="2" t="s">
        <v>1146</v>
      </c>
      <c r="C564" s="2" t="s">
        <v>14</v>
      </c>
      <c r="D564" s="3">
        <v>45747</v>
      </c>
      <c r="E564" s="3">
        <v>45753</v>
      </c>
      <c r="F564" s="3">
        <v>45762</v>
      </c>
      <c r="G564" s="2" t="s">
        <v>40</v>
      </c>
      <c r="H564" s="2">
        <v>12</v>
      </c>
      <c r="I564" s="2">
        <v>12</v>
      </c>
      <c r="J564">
        <f t="shared" si="40"/>
        <v>15</v>
      </c>
      <c r="K564">
        <f t="shared" si="41"/>
        <v>9</v>
      </c>
      <c r="L564" t="str">
        <f t="shared" si="42"/>
        <v>No</v>
      </c>
      <c r="M564" t="str">
        <f t="shared" si="44"/>
        <v>Yes</v>
      </c>
      <c r="N564" t="str">
        <f t="shared" si="43"/>
        <v>No</v>
      </c>
    </row>
    <row r="565" spans="1:14" x14ac:dyDescent="0.3">
      <c r="A565" s="4" t="s">
        <v>1147</v>
      </c>
      <c r="B565" s="4" t="s">
        <v>1148</v>
      </c>
      <c r="C565" s="4" t="s">
        <v>21</v>
      </c>
      <c r="D565" s="5">
        <v>45748</v>
      </c>
      <c r="E565" s="5">
        <v>45751</v>
      </c>
      <c r="F565" s="5">
        <v>45753</v>
      </c>
      <c r="G565" s="4" t="s">
        <v>11</v>
      </c>
      <c r="H565" s="4">
        <v>59</v>
      </c>
      <c r="I565" s="2">
        <v>59</v>
      </c>
      <c r="J565">
        <f t="shared" si="40"/>
        <v>5</v>
      </c>
      <c r="K565">
        <f t="shared" si="41"/>
        <v>2</v>
      </c>
      <c r="L565" t="str">
        <f t="shared" si="42"/>
        <v>No</v>
      </c>
      <c r="M565" t="str">
        <f t="shared" si="44"/>
        <v>Yes</v>
      </c>
      <c r="N565" t="str">
        <f t="shared" si="43"/>
        <v>No</v>
      </c>
    </row>
    <row r="566" spans="1:14" x14ac:dyDescent="0.3">
      <c r="A566" s="2" t="s">
        <v>1149</v>
      </c>
      <c r="B566" s="2" t="s">
        <v>1150</v>
      </c>
      <c r="C566" s="2" t="s">
        <v>27</v>
      </c>
      <c r="D566" s="3">
        <v>45746</v>
      </c>
      <c r="E566" s="3">
        <v>45750</v>
      </c>
      <c r="F566" s="3">
        <v>45758</v>
      </c>
      <c r="G566" s="2" t="s">
        <v>11</v>
      </c>
      <c r="H566" s="2">
        <v>6</v>
      </c>
      <c r="I566" s="2">
        <v>6</v>
      </c>
      <c r="J566">
        <f t="shared" si="40"/>
        <v>12</v>
      </c>
      <c r="K566">
        <f t="shared" si="41"/>
        <v>8</v>
      </c>
      <c r="L566" t="str">
        <f t="shared" si="42"/>
        <v>No</v>
      </c>
      <c r="M566" t="str">
        <f t="shared" si="44"/>
        <v>Yes</v>
      </c>
      <c r="N566" t="str">
        <f t="shared" si="43"/>
        <v>No</v>
      </c>
    </row>
    <row r="567" spans="1:14" x14ac:dyDescent="0.3">
      <c r="A567" s="4" t="s">
        <v>1151</v>
      </c>
      <c r="B567" s="4" t="s">
        <v>1152</v>
      </c>
      <c r="C567" s="4" t="s">
        <v>37</v>
      </c>
      <c r="D567" s="5">
        <v>45749</v>
      </c>
      <c r="E567" s="5">
        <v>45756</v>
      </c>
      <c r="F567" s="5">
        <v>45763</v>
      </c>
      <c r="G567" s="4" t="s">
        <v>22</v>
      </c>
      <c r="H567" s="4">
        <v>39</v>
      </c>
      <c r="I567" s="2">
        <v>43</v>
      </c>
      <c r="J567">
        <f t="shared" si="40"/>
        <v>14</v>
      </c>
      <c r="K567">
        <f t="shared" si="41"/>
        <v>7</v>
      </c>
      <c r="L567" t="str">
        <f t="shared" si="42"/>
        <v>No</v>
      </c>
      <c r="M567" t="str">
        <f t="shared" si="44"/>
        <v>No</v>
      </c>
      <c r="N567" t="str">
        <f t="shared" si="43"/>
        <v>No</v>
      </c>
    </row>
    <row r="568" spans="1:14" x14ac:dyDescent="0.3">
      <c r="A568" s="2" t="s">
        <v>1153</v>
      </c>
      <c r="B568" s="2" t="s">
        <v>1154</v>
      </c>
      <c r="C568" s="2" t="s">
        <v>59</v>
      </c>
      <c r="D568" s="3">
        <v>45747</v>
      </c>
      <c r="E568" s="3">
        <v>45750</v>
      </c>
      <c r="F568" s="3">
        <v>45751</v>
      </c>
      <c r="G568" s="2" t="s">
        <v>15</v>
      </c>
      <c r="H568" s="2">
        <v>23</v>
      </c>
      <c r="I568" s="2">
        <v>23</v>
      </c>
      <c r="J568">
        <f t="shared" si="40"/>
        <v>4</v>
      </c>
      <c r="K568">
        <f t="shared" si="41"/>
        <v>1</v>
      </c>
      <c r="L568" t="str">
        <f t="shared" si="42"/>
        <v>No</v>
      </c>
      <c r="M568" t="str">
        <f t="shared" si="44"/>
        <v>Yes</v>
      </c>
      <c r="N568" t="str">
        <f t="shared" si="43"/>
        <v>No</v>
      </c>
    </row>
    <row r="569" spans="1:14" x14ac:dyDescent="0.3">
      <c r="A569" s="4" t="s">
        <v>1155</v>
      </c>
      <c r="B569" s="4" t="s">
        <v>1156</v>
      </c>
      <c r="C569" s="4" t="s">
        <v>27</v>
      </c>
      <c r="D569" s="5">
        <v>45749</v>
      </c>
      <c r="E569" s="5">
        <v>45752</v>
      </c>
      <c r="F569" s="5">
        <v>45764</v>
      </c>
      <c r="G569" s="4" t="s">
        <v>11</v>
      </c>
      <c r="H569" s="4">
        <v>20</v>
      </c>
      <c r="I569" s="2">
        <v>26</v>
      </c>
      <c r="J569">
        <f t="shared" si="40"/>
        <v>15</v>
      </c>
      <c r="K569">
        <f t="shared" si="41"/>
        <v>12</v>
      </c>
      <c r="L569" t="str">
        <f t="shared" si="42"/>
        <v>No</v>
      </c>
      <c r="M569" t="str">
        <f t="shared" si="44"/>
        <v>No</v>
      </c>
      <c r="N569" t="str">
        <f t="shared" si="43"/>
        <v>No</v>
      </c>
    </row>
    <row r="570" spans="1:14" x14ac:dyDescent="0.3">
      <c r="A570" s="2" t="s">
        <v>1157</v>
      </c>
      <c r="B570" s="2" t="s">
        <v>1158</v>
      </c>
      <c r="C570" s="2" t="s">
        <v>27</v>
      </c>
      <c r="D570" s="3">
        <v>45749</v>
      </c>
      <c r="E570" s="3">
        <v>45755</v>
      </c>
      <c r="F570" s="3">
        <v>45762</v>
      </c>
      <c r="G570" s="2" t="s">
        <v>40</v>
      </c>
      <c r="H570" s="2">
        <v>2</v>
      </c>
      <c r="I570" s="2">
        <v>5</v>
      </c>
      <c r="J570">
        <f t="shared" si="40"/>
        <v>13</v>
      </c>
      <c r="K570">
        <f t="shared" si="41"/>
        <v>7</v>
      </c>
      <c r="L570" t="str">
        <f t="shared" si="42"/>
        <v>No</v>
      </c>
      <c r="M570" t="str">
        <f t="shared" si="44"/>
        <v>No</v>
      </c>
      <c r="N570" t="str">
        <f t="shared" si="43"/>
        <v>No</v>
      </c>
    </row>
    <row r="571" spans="1:14" x14ac:dyDescent="0.3">
      <c r="A571" s="4" t="s">
        <v>1159</v>
      </c>
      <c r="B571" s="4" t="s">
        <v>1160</v>
      </c>
      <c r="C571" s="4" t="s">
        <v>27</v>
      </c>
      <c r="D571" s="5">
        <v>45748</v>
      </c>
      <c r="E571" s="5">
        <v>45753</v>
      </c>
      <c r="F571" s="5">
        <v>45763</v>
      </c>
      <c r="G571" s="4" t="s">
        <v>40</v>
      </c>
      <c r="H571" s="4">
        <v>5</v>
      </c>
      <c r="I571" s="2">
        <v>5</v>
      </c>
      <c r="J571">
        <f t="shared" si="40"/>
        <v>15</v>
      </c>
      <c r="K571">
        <f t="shared" si="41"/>
        <v>10</v>
      </c>
      <c r="L571" t="str">
        <f t="shared" si="42"/>
        <v>No</v>
      </c>
      <c r="M571" t="str">
        <f t="shared" si="44"/>
        <v>Yes</v>
      </c>
      <c r="N571" t="str">
        <f t="shared" si="43"/>
        <v>No</v>
      </c>
    </row>
    <row r="572" spans="1:14" x14ac:dyDescent="0.3">
      <c r="A572" s="2" t="s">
        <v>1161</v>
      </c>
      <c r="B572" s="2" t="s">
        <v>1162</v>
      </c>
      <c r="C572" s="2" t="s">
        <v>72</v>
      </c>
      <c r="D572" s="3">
        <v>45749</v>
      </c>
      <c r="E572" s="3">
        <v>45755</v>
      </c>
      <c r="F572" s="3">
        <v>45765</v>
      </c>
      <c r="G572" s="2" t="s">
        <v>40</v>
      </c>
      <c r="H572" s="2">
        <v>7</v>
      </c>
      <c r="I572" s="2">
        <v>7</v>
      </c>
      <c r="J572">
        <f t="shared" si="40"/>
        <v>16</v>
      </c>
      <c r="K572">
        <f t="shared" si="41"/>
        <v>10</v>
      </c>
      <c r="L572" t="str">
        <f t="shared" si="42"/>
        <v>No</v>
      </c>
      <c r="M572" t="str">
        <f t="shared" si="44"/>
        <v>Yes</v>
      </c>
      <c r="N572" t="str">
        <f t="shared" si="43"/>
        <v>No</v>
      </c>
    </row>
    <row r="573" spans="1:14" x14ac:dyDescent="0.3">
      <c r="A573" s="4" t="s">
        <v>1163</v>
      </c>
      <c r="B573" s="4" t="s">
        <v>1164</v>
      </c>
      <c r="C573" s="4" t="s">
        <v>59</v>
      </c>
      <c r="D573" s="5">
        <v>45748</v>
      </c>
      <c r="E573" s="5">
        <v>45755</v>
      </c>
      <c r="F573" s="5">
        <v>45754</v>
      </c>
      <c r="G573" s="4" t="s">
        <v>11</v>
      </c>
      <c r="H573" s="4">
        <v>43</v>
      </c>
      <c r="I573" s="2">
        <v>51</v>
      </c>
      <c r="J573">
        <f t="shared" si="40"/>
        <v>6</v>
      </c>
      <c r="K573">
        <f t="shared" si="41"/>
        <v>-1</v>
      </c>
      <c r="L573" t="str">
        <f t="shared" si="42"/>
        <v>Yes</v>
      </c>
      <c r="M573" t="str">
        <f t="shared" si="44"/>
        <v>No</v>
      </c>
      <c r="N573" t="str">
        <f t="shared" si="43"/>
        <v>No</v>
      </c>
    </row>
    <row r="574" spans="1:14" x14ac:dyDescent="0.3">
      <c r="A574" s="2" t="s">
        <v>1165</v>
      </c>
      <c r="B574" s="2" t="s">
        <v>1166</v>
      </c>
      <c r="C574" s="2" t="s">
        <v>21</v>
      </c>
      <c r="D574" s="3">
        <v>45748</v>
      </c>
      <c r="E574" s="3">
        <v>45753</v>
      </c>
      <c r="F574" s="3">
        <v>45753</v>
      </c>
      <c r="G574" s="2" t="s">
        <v>22</v>
      </c>
      <c r="H574" s="2">
        <v>22</v>
      </c>
      <c r="I574" s="2">
        <v>29</v>
      </c>
      <c r="J574">
        <f t="shared" si="40"/>
        <v>5</v>
      </c>
      <c r="K574">
        <f t="shared" si="41"/>
        <v>0</v>
      </c>
      <c r="L574" t="str">
        <f t="shared" si="42"/>
        <v>Yes</v>
      </c>
      <c r="M574" t="str">
        <f t="shared" si="44"/>
        <v>No</v>
      </c>
      <c r="N574" t="str">
        <f t="shared" si="43"/>
        <v>No</v>
      </c>
    </row>
    <row r="575" spans="1:14" x14ac:dyDescent="0.3">
      <c r="A575" s="4" t="s">
        <v>1167</v>
      </c>
      <c r="B575" s="4" t="s">
        <v>1168</v>
      </c>
      <c r="C575" s="4" t="s">
        <v>10</v>
      </c>
      <c r="D575" s="5">
        <v>45750</v>
      </c>
      <c r="E575" s="5">
        <v>45752</v>
      </c>
      <c r="F575" s="5">
        <v>45754</v>
      </c>
      <c r="G575" s="4" t="s">
        <v>40</v>
      </c>
      <c r="H575" s="4">
        <v>1</v>
      </c>
      <c r="I575" s="2">
        <v>1</v>
      </c>
      <c r="J575">
        <f t="shared" si="40"/>
        <v>4</v>
      </c>
      <c r="K575">
        <f t="shared" si="41"/>
        <v>2</v>
      </c>
      <c r="L575" t="str">
        <f t="shared" si="42"/>
        <v>No</v>
      </c>
      <c r="M575" t="str">
        <f t="shared" si="44"/>
        <v>Yes</v>
      </c>
      <c r="N575" t="str">
        <f t="shared" si="43"/>
        <v>No</v>
      </c>
    </row>
    <row r="576" spans="1:14" x14ac:dyDescent="0.3">
      <c r="A576" s="2" t="s">
        <v>1169</v>
      </c>
      <c r="B576" s="2" t="s">
        <v>1170</v>
      </c>
      <c r="C576" s="2" t="s">
        <v>14</v>
      </c>
      <c r="D576" s="3">
        <v>45751</v>
      </c>
      <c r="E576" s="3">
        <v>45755</v>
      </c>
      <c r="F576" s="3">
        <v>45768</v>
      </c>
      <c r="G576" s="2" t="s">
        <v>11</v>
      </c>
      <c r="H576" s="2">
        <v>18</v>
      </c>
      <c r="I576" s="2">
        <v>18</v>
      </c>
      <c r="J576">
        <f t="shared" si="40"/>
        <v>17</v>
      </c>
      <c r="K576">
        <f t="shared" si="41"/>
        <v>13</v>
      </c>
      <c r="L576" t="str">
        <f t="shared" si="42"/>
        <v>No</v>
      </c>
      <c r="M576" t="str">
        <f t="shared" si="44"/>
        <v>Yes</v>
      </c>
      <c r="N576" t="str">
        <f t="shared" si="43"/>
        <v>No</v>
      </c>
    </row>
    <row r="577" spans="1:14" x14ac:dyDescent="0.3">
      <c r="A577" s="4" t="s">
        <v>1171</v>
      </c>
      <c r="B577" s="4" t="s">
        <v>1172</v>
      </c>
      <c r="C577" s="4" t="s">
        <v>21</v>
      </c>
      <c r="D577" s="5">
        <v>45751</v>
      </c>
      <c r="E577" s="5">
        <v>45752</v>
      </c>
      <c r="F577" s="5">
        <v>45758</v>
      </c>
      <c r="G577" s="4" t="s">
        <v>15</v>
      </c>
      <c r="H577" s="4">
        <v>54</v>
      </c>
      <c r="I577" s="2">
        <v>54</v>
      </c>
      <c r="J577">
        <f t="shared" si="40"/>
        <v>7</v>
      </c>
      <c r="K577">
        <f t="shared" si="41"/>
        <v>6</v>
      </c>
      <c r="L577" t="str">
        <f t="shared" si="42"/>
        <v>No</v>
      </c>
      <c r="M577" t="str">
        <f t="shared" si="44"/>
        <v>Yes</v>
      </c>
      <c r="N577" t="str">
        <f t="shared" si="43"/>
        <v>No</v>
      </c>
    </row>
    <row r="578" spans="1:14" x14ac:dyDescent="0.3">
      <c r="A578" s="2" t="s">
        <v>1173</v>
      </c>
      <c r="B578" s="2" t="s">
        <v>1174</v>
      </c>
      <c r="C578" s="2" t="s">
        <v>21</v>
      </c>
      <c r="D578" s="3">
        <v>45749</v>
      </c>
      <c r="E578" s="3">
        <v>45759</v>
      </c>
      <c r="F578" s="3">
        <v>45759</v>
      </c>
      <c r="G578" s="2" t="s">
        <v>15</v>
      </c>
      <c r="H578" s="2">
        <v>26</v>
      </c>
      <c r="I578" s="2">
        <v>26</v>
      </c>
      <c r="J578">
        <f t="shared" si="40"/>
        <v>10</v>
      </c>
      <c r="K578">
        <f t="shared" si="41"/>
        <v>0</v>
      </c>
      <c r="L578" t="str">
        <f t="shared" si="42"/>
        <v>Yes</v>
      </c>
      <c r="M578" t="str">
        <f t="shared" si="44"/>
        <v>Yes</v>
      </c>
      <c r="N578" t="str">
        <f t="shared" si="43"/>
        <v>Yes</v>
      </c>
    </row>
    <row r="579" spans="1:14" x14ac:dyDescent="0.3">
      <c r="A579" s="4" t="s">
        <v>1175</v>
      </c>
      <c r="B579" s="4" t="s">
        <v>1176</v>
      </c>
      <c r="C579" s="4" t="s">
        <v>27</v>
      </c>
      <c r="D579" s="5">
        <v>45749</v>
      </c>
      <c r="E579" s="5">
        <v>45756</v>
      </c>
      <c r="F579" s="5">
        <v>45762</v>
      </c>
      <c r="G579" s="4" t="s">
        <v>22</v>
      </c>
      <c r="H579" s="4">
        <v>6</v>
      </c>
      <c r="I579" s="2">
        <v>6</v>
      </c>
      <c r="J579">
        <f t="shared" ref="J579:J642" si="45">F579-D579</f>
        <v>13</v>
      </c>
      <c r="K579">
        <f t="shared" ref="K579:K642" si="46">F579-E579</f>
        <v>6</v>
      </c>
      <c r="L579" t="str">
        <f t="shared" ref="L579:L642" si="47">IF(K579&lt;=0,"Yes","No")</f>
        <v>No</v>
      </c>
      <c r="M579" t="str">
        <f t="shared" si="44"/>
        <v>Yes</v>
      </c>
      <c r="N579" t="str">
        <f t="shared" ref="N579:N642" si="48">IF(AND(L579="Yes",M579="Yes"),"Yes","No")</f>
        <v>No</v>
      </c>
    </row>
    <row r="580" spans="1:14" x14ac:dyDescent="0.3">
      <c r="A580" s="2" t="s">
        <v>1177</v>
      </c>
      <c r="B580" s="2" t="s">
        <v>1178</v>
      </c>
      <c r="C580" s="2" t="s">
        <v>34</v>
      </c>
      <c r="D580" s="3">
        <v>45752</v>
      </c>
      <c r="E580" s="3">
        <v>45758</v>
      </c>
      <c r="F580" s="3">
        <v>45761</v>
      </c>
      <c r="G580" s="2" t="s">
        <v>11</v>
      </c>
      <c r="H580" s="2">
        <v>64</v>
      </c>
      <c r="I580" s="2">
        <v>64</v>
      </c>
      <c r="J580">
        <f t="shared" si="45"/>
        <v>9</v>
      </c>
      <c r="K580">
        <f t="shared" si="46"/>
        <v>3</v>
      </c>
      <c r="L580" t="str">
        <f t="shared" si="47"/>
        <v>No</v>
      </c>
      <c r="M580" t="str">
        <f t="shared" ref="M580:M643" si="49">IF(H580=I580,"Yes","No")</f>
        <v>Yes</v>
      </c>
      <c r="N580" t="str">
        <f t="shared" si="48"/>
        <v>No</v>
      </c>
    </row>
    <row r="581" spans="1:14" x14ac:dyDescent="0.3">
      <c r="A581" s="4" t="s">
        <v>1179</v>
      </c>
      <c r="B581" s="4" t="s">
        <v>1180</v>
      </c>
      <c r="C581" s="4" t="s">
        <v>37</v>
      </c>
      <c r="D581" s="5">
        <v>45750</v>
      </c>
      <c r="E581" s="5">
        <v>45757</v>
      </c>
      <c r="F581" s="5">
        <v>45765</v>
      </c>
      <c r="G581" s="4" t="s">
        <v>22</v>
      </c>
      <c r="H581" s="4">
        <v>13</v>
      </c>
      <c r="I581" s="2">
        <v>13</v>
      </c>
      <c r="J581">
        <f t="shared" si="45"/>
        <v>15</v>
      </c>
      <c r="K581">
        <f t="shared" si="46"/>
        <v>8</v>
      </c>
      <c r="L581" t="str">
        <f t="shared" si="47"/>
        <v>No</v>
      </c>
      <c r="M581" t="str">
        <f t="shared" si="49"/>
        <v>Yes</v>
      </c>
      <c r="N581" t="str">
        <f t="shared" si="48"/>
        <v>No</v>
      </c>
    </row>
    <row r="582" spans="1:14" x14ac:dyDescent="0.3">
      <c r="A582" s="2" t="s">
        <v>1181</v>
      </c>
      <c r="B582" s="2" t="s">
        <v>1182</v>
      </c>
      <c r="C582" s="2" t="s">
        <v>21</v>
      </c>
      <c r="D582" s="3">
        <v>45750</v>
      </c>
      <c r="E582" s="3">
        <v>45755</v>
      </c>
      <c r="F582" s="3">
        <v>45756</v>
      </c>
      <c r="G582" s="2" t="s">
        <v>18</v>
      </c>
      <c r="H582" s="2">
        <v>32</v>
      </c>
      <c r="I582" s="2">
        <v>32</v>
      </c>
      <c r="J582">
        <f t="shared" si="45"/>
        <v>6</v>
      </c>
      <c r="K582">
        <f t="shared" si="46"/>
        <v>1</v>
      </c>
      <c r="L582" t="str">
        <f t="shared" si="47"/>
        <v>No</v>
      </c>
      <c r="M582" t="str">
        <f t="shared" si="49"/>
        <v>Yes</v>
      </c>
      <c r="N582" t="str">
        <f t="shared" si="48"/>
        <v>No</v>
      </c>
    </row>
    <row r="583" spans="1:14" x14ac:dyDescent="0.3">
      <c r="A583" s="4" t="s">
        <v>1183</v>
      </c>
      <c r="B583" s="4" t="s">
        <v>1184</v>
      </c>
      <c r="C583" s="4" t="s">
        <v>27</v>
      </c>
      <c r="D583" s="5">
        <v>45751</v>
      </c>
      <c r="E583" s="5">
        <v>45759</v>
      </c>
      <c r="F583" s="5">
        <v>45768</v>
      </c>
      <c r="G583" s="4" t="s">
        <v>40</v>
      </c>
      <c r="H583" s="4">
        <v>38</v>
      </c>
      <c r="I583" s="2">
        <v>38</v>
      </c>
      <c r="J583">
        <f t="shared" si="45"/>
        <v>17</v>
      </c>
      <c r="K583">
        <f t="shared" si="46"/>
        <v>9</v>
      </c>
      <c r="L583" t="str">
        <f t="shared" si="47"/>
        <v>No</v>
      </c>
      <c r="M583" t="str">
        <f t="shared" si="49"/>
        <v>Yes</v>
      </c>
      <c r="N583" t="str">
        <f t="shared" si="48"/>
        <v>No</v>
      </c>
    </row>
    <row r="584" spans="1:14" x14ac:dyDescent="0.3">
      <c r="A584" s="2" t="s">
        <v>1185</v>
      </c>
      <c r="B584" s="2" t="s">
        <v>1186</v>
      </c>
      <c r="C584" s="2" t="s">
        <v>27</v>
      </c>
      <c r="D584" s="3">
        <v>45750</v>
      </c>
      <c r="E584" s="3">
        <v>45758</v>
      </c>
      <c r="F584" s="3">
        <v>45763</v>
      </c>
      <c r="G584" s="2" t="s">
        <v>22</v>
      </c>
      <c r="H584" s="2">
        <v>5</v>
      </c>
      <c r="I584" s="2">
        <v>5</v>
      </c>
      <c r="J584">
        <f t="shared" si="45"/>
        <v>13</v>
      </c>
      <c r="K584">
        <f t="shared" si="46"/>
        <v>5</v>
      </c>
      <c r="L584" t="str">
        <f t="shared" si="47"/>
        <v>No</v>
      </c>
      <c r="M584" t="str">
        <f t="shared" si="49"/>
        <v>Yes</v>
      </c>
      <c r="N584" t="str">
        <f t="shared" si="48"/>
        <v>No</v>
      </c>
    </row>
    <row r="585" spans="1:14" x14ac:dyDescent="0.3">
      <c r="A585" s="4" t="s">
        <v>1187</v>
      </c>
      <c r="B585" s="4" t="s">
        <v>1188</v>
      </c>
      <c r="C585" s="4" t="s">
        <v>27</v>
      </c>
      <c r="D585" s="5">
        <v>45751</v>
      </c>
      <c r="E585" s="5">
        <v>45758</v>
      </c>
      <c r="F585" s="5">
        <v>45763</v>
      </c>
      <c r="G585" s="4" t="s">
        <v>11</v>
      </c>
      <c r="H585" s="4">
        <v>7</v>
      </c>
      <c r="I585" s="2">
        <v>7</v>
      </c>
      <c r="J585">
        <f t="shared" si="45"/>
        <v>12</v>
      </c>
      <c r="K585">
        <f t="shared" si="46"/>
        <v>5</v>
      </c>
      <c r="L585" t="str">
        <f t="shared" si="47"/>
        <v>No</v>
      </c>
      <c r="M585" t="str">
        <f t="shared" si="49"/>
        <v>Yes</v>
      </c>
      <c r="N585" t="str">
        <f t="shared" si="48"/>
        <v>No</v>
      </c>
    </row>
    <row r="586" spans="1:14" x14ac:dyDescent="0.3">
      <c r="A586" s="2" t="s">
        <v>1189</v>
      </c>
      <c r="B586" s="2" t="s">
        <v>1190</v>
      </c>
      <c r="C586" s="2" t="s">
        <v>10</v>
      </c>
      <c r="D586" s="3">
        <v>45751</v>
      </c>
      <c r="E586" s="3">
        <v>45755</v>
      </c>
      <c r="F586" s="3">
        <v>45757</v>
      </c>
      <c r="G586" s="2" t="s">
        <v>18</v>
      </c>
      <c r="H586" s="2">
        <v>15</v>
      </c>
      <c r="I586" s="2">
        <v>15</v>
      </c>
      <c r="J586">
        <f t="shared" si="45"/>
        <v>6</v>
      </c>
      <c r="K586">
        <f t="shared" si="46"/>
        <v>2</v>
      </c>
      <c r="L586" t="str">
        <f t="shared" si="47"/>
        <v>No</v>
      </c>
      <c r="M586" t="str">
        <f t="shared" si="49"/>
        <v>Yes</v>
      </c>
      <c r="N586" t="str">
        <f t="shared" si="48"/>
        <v>No</v>
      </c>
    </row>
    <row r="587" spans="1:14" x14ac:dyDescent="0.3">
      <c r="A587" s="4" t="s">
        <v>1191</v>
      </c>
      <c r="B587" s="4" t="s">
        <v>1192</v>
      </c>
      <c r="C587" s="4" t="s">
        <v>59</v>
      </c>
      <c r="D587" s="5">
        <v>45751</v>
      </c>
      <c r="E587" s="5">
        <v>45760</v>
      </c>
      <c r="F587" s="5">
        <v>45757</v>
      </c>
      <c r="G587" s="4" t="s">
        <v>18</v>
      </c>
      <c r="H587" s="4">
        <v>11</v>
      </c>
      <c r="I587" s="2">
        <v>11</v>
      </c>
      <c r="J587">
        <f t="shared" si="45"/>
        <v>6</v>
      </c>
      <c r="K587">
        <f t="shared" si="46"/>
        <v>-3</v>
      </c>
      <c r="L587" t="str">
        <f t="shared" si="47"/>
        <v>Yes</v>
      </c>
      <c r="M587" t="str">
        <f t="shared" si="49"/>
        <v>Yes</v>
      </c>
      <c r="N587" t="str">
        <f t="shared" si="48"/>
        <v>Yes</v>
      </c>
    </row>
    <row r="588" spans="1:14" x14ac:dyDescent="0.3">
      <c r="A588" s="2" t="s">
        <v>1193</v>
      </c>
      <c r="B588" s="2" t="s">
        <v>1194</v>
      </c>
      <c r="C588" s="2" t="s">
        <v>21</v>
      </c>
      <c r="D588" s="3">
        <v>45753</v>
      </c>
      <c r="E588" s="3">
        <v>45759</v>
      </c>
      <c r="F588" s="3">
        <v>45759</v>
      </c>
      <c r="G588" s="2" t="s">
        <v>40</v>
      </c>
      <c r="H588" s="2">
        <v>41</v>
      </c>
      <c r="I588" s="2">
        <v>41</v>
      </c>
      <c r="J588">
        <f t="shared" si="45"/>
        <v>6</v>
      </c>
      <c r="K588">
        <f t="shared" si="46"/>
        <v>0</v>
      </c>
      <c r="L588" t="str">
        <f t="shared" si="47"/>
        <v>Yes</v>
      </c>
      <c r="M588" t="str">
        <f t="shared" si="49"/>
        <v>Yes</v>
      </c>
      <c r="N588" t="str">
        <f t="shared" si="48"/>
        <v>Yes</v>
      </c>
    </row>
    <row r="589" spans="1:14" x14ac:dyDescent="0.3">
      <c r="A589" s="4" t="s">
        <v>1195</v>
      </c>
      <c r="B589" s="4" t="s">
        <v>1196</v>
      </c>
      <c r="C589" s="4" t="s">
        <v>34</v>
      </c>
      <c r="D589" s="5">
        <v>45754</v>
      </c>
      <c r="E589" s="5">
        <v>45760</v>
      </c>
      <c r="F589" s="5">
        <v>45762</v>
      </c>
      <c r="G589" s="4" t="s">
        <v>22</v>
      </c>
      <c r="H589" s="4">
        <v>22</v>
      </c>
      <c r="I589" s="2">
        <v>22</v>
      </c>
      <c r="J589">
        <f t="shared" si="45"/>
        <v>8</v>
      </c>
      <c r="K589">
        <f t="shared" si="46"/>
        <v>2</v>
      </c>
      <c r="L589" t="str">
        <f t="shared" si="47"/>
        <v>No</v>
      </c>
      <c r="M589" t="str">
        <f t="shared" si="49"/>
        <v>Yes</v>
      </c>
      <c r="N589" t="str">
        <f t="shared" si="48"/>
        <v>No</v>
      </c>
    </row>
    <row r="590" spans="1:14" x14ac:dyDescent="0.3">
      <c r="A590" s="2" t="s">
        <v>1197</v>
      </c>
      <c r="B590" s="2" t="s">
        <v>1198</v>
      </c>
      <c r="C590" s="2" t="s">
        <v>14</v>
      </c>
      <c r="D590" s="3">
        <v>45753</v>
      </c>
      <c r="E590" s="3">
        <v>45761</v>
      </c>
      <c r="F590" s="3">
        <v>45767</v>
      </c>
      <c r="G590" s="2" t="s">
        <v>15</v>
      </c>
      <c r="H590" s="2">
        <v>62</v>
      </c>
      <c r="I590" s="2">
        <v>69</v>
      </c>
      <c r="J590">
        <f t="shared" si="45"/>
        <v>14</v>
      </c>
      <c r="K590">
        <f t="shared" si="46"/>
        <v>6</v>
      </c>
      <c r="L590" t="str">
        <f t="shared" si="47"/>
        <v>No</v>
      </c>
      <c r="M590" t="str">
        <f t="shared" si="49"/>
        <v>No</v>
      </c>
      <c r="N590" t="str">
        <f t="shared" si="48"/>
        <v>No</v>
      </c>
    </row>
    <row r="591" spans="1:14" x14ac:dyDescent="0.3">
      <c r="A591" s="4" t="s">
        <v>1199</v>
      </c>
      <c r="B591" s="4" t="s">
        <v>1200</v>
      </c>
      <c r="C591" s="4" t="s">
        <v>59</v>
      </c>
      <c r="D591" s="5">
        <v>45754</v>
      </c>
      <c r="E591" s="5">
        <v>45760</v>
      </c>
      <c r="F591" s="5">
        <v>45757</v>
      </c>
      <c r="G591" s="4" t="s">
        <v>15</v>
      </c>
      <c r="H591" s="4">
        <v>11</v>
      </c>
      <c r="I591" s="2">
        <v>11</v>
      </c>
      <c r="J591">
        <f t="shared" si="45"/>
        <v>3</v>
      </c>
      <c r="K591">
        <f t="shared" si="46"/>
        <v>-3</v>
      </c>
      <c r="L591" t="str">
        <f t="shared" si="47"/>
        <v>Yes</v>
      </c>
      <c r="M591" t="str">
        <f t="shared" si="49"/>
        <v>Yes</v>
      </c>
      <c r="N591" t="str">
        <f t="shared" si="48"/>
        <v>Yes</v>
      </c>
    </row>
    <row r="592" spans="1:14" x14ac:dyDescent="0.3">
      <c r="A592" s="2" t="s">
        <v>1201</v>
      </c>
      <c r="B592" s="2" t="s">
        <v>1202</v>
      </c>
      <c r="C592" s="2" t="s">
        <v>21</v>
      </c>
      <c r="D592" s="3">
        <v>45752</v>
      </c>
      <c r="E592" s="3">
        <v>45756</v>
      </c>
      <c r="F592" s="3">
        <v>45759</v>
      </c>
      <c r="G592" s="2" t="s">
        <v>15</v>
      </c>
      <c r="H592" s="2">
        <v>31</v>
      </c>
      <c r="I592" s="2">
        <v>31</v>
      </c>
      <c r="J592">
        <f t="shared" si="45"/>
        <v>7</v>
      </c>
      <c r="K592">
        <f t="shared" si="46"/>
        <v>3</v>
      </c>
      <c r="L592" t="str">
        <f t="shared" si="47"/>
        <v>No</v>
      </c>
      <c r="M592" t="str">
        <f t="shared" si="49"/>
        <v>Yes</v>
      </c>
      <c r="N592" t="str">
        <f t="shared" si="48"/>
        <v>No</v>
      </c>
    </row>
    <row r="593" spans="1:14" x14ac:dyDescent="0.3">
      <c r="A593" s="4" t="s">
        <v>1203</v>
      </c>
      <c r="B593" s="4" t="s">
        <v>1204</v>
      </c>
      <c r="C593" s="4" t="s">
        <v>34</v>
      </c>
      <c r="D593" s="5">
        <v>45754</v>
      </c>
      <c r="E593" s="5">
        <v>45759</v>
      </c>
      <c r="F593" s="5">
        <v>45760</v>
      </c>
      <c r="G593" s="4" t="s">
        <v>40</v>
      </c>
      <c r="H593" s="4">
        <v>25</v>
      </c>
      <c r="I593" s="2">
        <v>25</v>
      </c>
      <c r="J593">
        <f t="shared" si="45"/>
        <v>6</v>
      </c>
      <c r="K593">
        <f t="shared" si="46"/>
        <v>1</v>
      </c>
      <c r="L593" t="str">
        <f t="shared" si="47"/>
        <v>No</v>
      </c>
      <c r="M593" t="str">
        <f t="shared" si="49"/>
        <v>Yes</v>
      </c>
      <c r="N593" t="str">
        <f t="shared" si="48"/>
        <v>No</v>
      </c>
    </row>
    <row r="594" spans="1:14" x14ac:dyDescent="0.3">
      <c r="A594" s="2" t="s">
        <v>1205</v>
      </c>
      <c r="B594" s="2" t="s">
        <v>1206</v>
      </c>
      <c r="C594" s="2" t="s">
        <v>34</v>
      </c>
      <c r="D594" s="3">
        <v>45755</v>
      </c>
      <c r="E594" s="3">
        <v>45762</v>
      </c>
      <c r="F594" s="3">
        <v>45762</v>
      </c>
      <c r="G594" s="2" t="s">
        <v>40</v>
      </c>
      <c r="H594" s="2">
        <v>47</v>
      </c>
      <c r="I594" s="2">
        <v>47</v>
      </c>
      <c r="J594">
        <f t="shared" si="45"/>
        <v>7</v>
      </c>
      <c r="K594">
        <f t="shared" si="46"/>
        <v>0</v>
      </c>
      <c r="L594" t="str">
        <f t="shared" si="47"/>
        <v>Yes</v>
      </c>
      <c r="M594" t="str">
        <f t="shared" si="49"/>
        <v>Yes</v>
      </c>
      <c r="N594" t="str">
        <f t="shared" si="48"/>
        <v>Yes</v>
      </c>
    </row>
    <row r="595" spans="1:14" x14ac:dyDescent="0.3">
      <c r="A595" s="4" t="s">
        <v>1207</v>
      </c>
      <c r="B595" s="4" t="s">
        <v>1208</v>
      </c>
      <c r="C595" s="4" t="s">
        <v>10</v>
      </c>
      <c r="D595" s="5">
        <v>45755</v>
      </c>
      <c r="E595" s="5">
        <v>45763</v>
      </c>
      <c r="F595" s="5">
        <v>45760</v>
      </c>
      <c r="G595" s="4" t="s">
        <v>11</v>
      </c>
      <c r="H595" s="4">
        <v>10</v>
      </c>
      <c r="I595" s="2">
        <v>10</v>
      </c>
      <c r="J595">
        <f t="shared" si="45"/>
        <v>5</v>
      </c>
      <c r="K595">
        <f t="shared" si="46"/>
        <v>-3</v>
      </c>
      <c r="L595" t="str">
        <f t="shared" si="47"/>
        <v>Yes</v>
      </c>
      <c r="M595" t="str">
        <f t="shared" si="49"/>
        <v>Yes</v>
      </c>
      <c r="N595" t="str">
        <f t="shared" si="48"/>
        <v>Yes</v>
      </c>
    </row>
    <row r="596" spans="1:14" x14ac:dyDescent="0.3">
      <c r="A596" s="2" t="s">
        <v>1209</v>
      </c>
      <c r="B596" s="2" t="s">
        <v>1210</v>
      </c>
      <c r="C596" s="2" t="s">
        <v>72</v>
      </c>
      <c r="D596" s="3">
        <v>45755</v>
      </c>
      <c r="E596" s="3">
        <v>45760</v>
      </c>
      <c r="F596" s="3">
        <v>45771</v>
      </c>
      <c r="G596" s="2" t="s">
        <v>11</v>
      </c>
      <c r="H596" s="2">
        <v>16</v>
      </c>
      <c r="I596" s="2">
        <v>16</v>
      </c>
      <c r="J596">
        <f t="shared" si="45"/>
        <v>16</v>
      </c>
      <c r="K596">
        <f t="shared" si="46"/>
        <v>11</v>
      </c>
      <c r="L596" t="str">
        <f t="shared" si="47"/>
        <v>No</v>
      </c>
      <c r="M596" t="str">
        <f t="shared" si="49"/>
        <v>Yes</v>
      </c>
      <c r="N596" t="str">
        <f t="shared" si="48"/>
        <v>No</v>
      </c>
    </row>
    <row r="597" spans="1:14" x14ac:dyDescent="0.3">
      <c r="A597" s="4" t="s">
        <v>1211</v>
      </c>
      <c r="B597" s="4" t="s">
        <v>1212</v>
      </c>
      <c r="C597" s="4" t="s">
        <v>59</v>
      </c>
      <c r="D597" s="5">
        <v>45753</v>
      </c>
      <c r="E597" s="5">
        <v>45760</v>
      </c>
      <c r="F597" s="5">
        <v>45756</v>
      </c>
      <c r="G597" s="4" t="s">
        <v>15</v>
      </c>
      <c r="H597" s="4">
        <v>44</v>
      </c>
      <c r="I597" s="2">
        <v>44</v>
      </c>
      <c r="J597">
        <f t="shared" si="45"/>
        <v>3</v>
      </c>
      <c r="K597">
        <f t="shared" si="46"/>
        <v>-4</v>
      </c>
      <c r="L597" t="str">
        <f t="shared" si="47"/>
        <v>Yes</v>
      </c>
      <c r="M597" t="str">
        <f t="shared" si="49"/>
        <v>Yes</v>
      </c>
      <c r="N597" t="str">
        <f t="shared" si="48"/>
        <v>Yes</v>
      </c>
    </row>
    <row r="598" spans="1:14" x14ac:dyDescent="0.3">
      <c r="A598" s="2" t="s">
        <v>1213</v>
      </c>
      <c r="B598" s="2" t="s">
        <v>1214</v>
      </c>
      <c r="C598" s="2" t="s">
        <v>21</v>
      </c>
      <c r="D598" s="3">
        <v>45753</v>
      </c>
      <c r="E598" s="3">
        <v>45757</v>
      </c>
      <c r="F598" s="3">
        <v>45759</v>
      </c>
      <c r="G598" s="2" t="s">
        <v>40</v>
      </c>
      <c r="H598" s="2">
        <v>33</v>
      </c>
      <c r="I598" s="2">
        <v>33</v>
      </c>
      <c r="J598">
        <f t="shared" si="45"/>
        <v>6</v>
      </c>
      <c r="K598">
        <f t="shared" si="46"/>
        <v>2</v>
      </c>
      <c r="L598" t="str">
        <f t="shared" si="47"/>
        <v>No</v>
      </c>
      <c r="M598" t="str">
        <f t="shared" si="49"/>
        <v>Yes</v>
      </c>
      <c r="N598" t="str">
        <f t="shared" si="48"/>
        <v>No</v>
      </c>
    </row>
    <row r="599" spans="1:14" x14ac:dyDescent="0.3">
      <c r="A599" s="4" t="s">
        <v>1215</v>
      </c>
      <c r="B599" s="4" t="s">
        <v>1216</v>
      </c>
      <c r="C599" s="4" t="s">
        <v>37</v>
      </c>
      <c r="D599" s="5">
        <v>45756</v>
      </c>
      <c r="E599" s="5">
        <v>45758</v>
      </c>
      <c r="F599" s="5">
        <v>45769</v>
      </c>
      <c r="G599" s="4" t="s">
        <v>22</v>
      </c>
      <c r="H599" s="4">
        <v>44</v>
      </c>
      <c r="I599" s="2">
        <v>44</v>
      </c>
      <c r="J599">
        <f t="shared" si="45"/>
        <v>13</v>
      </c>
      <c r="K599">
        <f t="shared" si="46"/>
        <v>11</v>
      </c>
      <c r="L599" t="str">
        <f t="shared" si="47"/>
        <v>No</v>
      </c>
      <c r="M599" t="str">
        <f t="shared" si="49"/>
        <v>Yes</v>
      </c>
      <c r="N599" t="str">
        <f t="shared" si="48"/>
        <v>No</v>
      </c>
    </row>
    <row r="600" spans="1:14" x14ac:dyDescent="0.3">
      <c r="A600" s="2" t="s">
        <v>1217</v>
      </c>
      <c r="B600" s="2" t="s">
        <v>1218</v>
      </c>
      <c r="C600" s="2" t="s">
        <v>34</v>
      </c>
      <c r="D600" s="3">
        <v>45754</v>
      </c>
      <c r="E600" s="3">
        <v>45757</v>
      </c>
      <c r="F600" s="3">
        <v>45761</v>
      </c>
      <c r="G600" s="2" t="s">
        <v>40</v>
      </c>
      <c r="H600" s="2">
        <v>46</v>
      </c>
      <c r="I600" s="2">
        <v>46</v>
      </c>
      <c r="J600">
        <f t="shared" si="45"/>
        <v>7</v>
      </c>
      <c r="K600">
        <f t="shared" si="46"/>
        <v>4</v>
      </c>
      <c r="L600" t="str">
        <f t="shared" si="47"/>
        <v>No</v>
      </c>
      <c r="M600" t="str">
        <f t="shared" si="49"/>
        <v>Yes</v>
      </c>
      <c r="N600" t="str">
        <f t="shared" si="48"/>
        <v>No</v>
      </c>
    </row>
    <row r="601" spans="1:14" x14ac:dyDescent="0.3">
      <c r="A601" s="4" t="s">
        <v>1219</v>
      </c>
      <c r="B601" s="4" t="s">
        <v>1220</v>
      </c>
      <c r="C601" s="4" t="s">
        <v>72</v>
      </c>
      <c r="D601" s="5">
        <v>45754</v>
      </c>
      <c r="E601" s="5">
        <v>45763</v>
      </c>
      <c r="F601" s="5">
        <v>45768</v>
      </c>
      <c r="G601" s="4" t="s">
        <v>40</v>
      </c>
      <c r="H601" s="4">
        <v>18</v>
      </c>
      <c r="I601" s="2">
        <v>23</v>
      </c>
      <c r="J601">
        <f t="shared" si="45"/>
        <v>14</v>
      </c>
      <c r="K601">
        <f t="shared" si="46"/>
        <v>5</v>
      </c>
      <c r="L601" t="str">
        <f t="shared" si="47"/>
        <v>No</v>
      </c>
      <c r="M601" t="str">
        <f t="shared" si="49"/>
        <v>No</v>
      </c>
      <c r="N601" t="str">
        <f t="shared" si="48"/>
        <v>No</v>
      </c>
    </row>
    <row r="602" spans="1:14" x14ac:dyDescent="0.3">
      <c r="A602" s="2" t="s">
        <v>1221</v>
      </c>
      <c r="B602" s="2" t="s">
        <v>1222</v>
      </c>
      <c r="C602" s="2" t="s">
        <v>59</v>
      </c>
      <c r="D602" s="3">
        <v>45756</v>
      </c>
      <c r="E602" s="3">
        <v>45762</v>
      </c>
      <c r="F602" s="3">
        <v>45760</v>
      </c>
      <c r="G602" s="2" t="s">
        <v>18</v>
      </c>
      <c r="H602" s="2">
        <v>9</v>
      </c>
      <c r="I602" s="2">
        <v>9</v>
      </c>
      <c r="J602">
        <f t="shared" si="45"/>
        <v>4</v>
      </c>
      <c r="K602">
        <f t="shared" si="46"/>
        <v>-2</v>
      </c>
      <c r="L602" t="str">
        <f t="shared" si="47"/>
        <v>Yes</v>
      </c>
      <c r="M602" t="str">
        <f t="shared" si="49"/>
        <v>Yes</v>
      </c>
      <c r="N602" t="str">
        <f t="shared" si="48"/>
        <v>Yes</v>
      </c>
    </row>
    <row r="603" spans="1:14" x14ac:dyDescent="0.3">
      <c r="A603" s="4" t="s">
        <v>1223</v>
      </c>
      <c r="B603" s="4" t="s">
        <v>1224</v>
      </c>
      <c r="C603" s="4" t="s">
        <v>59</v>
      </c>
      <c r="D603" s="5">
        <v>45754</v>
      </c>
      <c r="E603" s="5">
        <v>45757</v>
      </c>
      <c r="F603" s="5">
        <v>45762</v>
      </c>
      <c r="G603" s="4" t="s">
        <v>11</v>
      </c>
      <c r="H603" s="4">
        <v>12</v>
      </c>
      <c r="I603" s="2">
        <v>12</v>
      </c>
      <c r="J603">
        <f t="shared" si="45"/>
        <v>8</v>
      </c>
      <c r="K603">
        <f t="shared" si="46"/>
        <v>5</v>
      </c>
      <c r="L603" t="str">
        <f t="shared" si="47"/>
        <v>No</v>
      </c>
      <c r="M603" t="str">
        <f t="shared" si="49"/>
        <v>Yes</v>
      </c>
      <c r="N603" t="str">
        <f t="shared" si="48"/>
        <v>No</v>
      </c>
    </row>
    <row r="604" spans="1:14" x14ac:dyDescent="0.3">
      <c r="A604" s="2" t="s">
        <v>1225</v>
      </c>
      <c r="B604" s="2" t="s">
        <v>1226</v>
      </c>
      <c r="C604" s="2" t="s">
        <v>21</v>
      </c>
      <c r="D604" s="3">
        <v>45754</v>
      </c>
      <c r="E604" s="3">
        <v>45762</v>
      </c>
      <c r="F604" s="3">
        <v>45759</v>
      </c>
      <c r="G604" s="2" t="s">
        <v>22</v>
      </c>
      <c r="H604" s="2">
        <v>38</v>
      </c>
      <c r="I604" s="2">
        <v>38</v>
      </c>
      <c r="J604">
        <f t="shared" si="45"/>
        <v>5</v>
      </c>
      <c r="K604">
        <f t="shared" si="46"/>
        <v>-3</v>
      </c>
      <c r="L604" t="str">
        <f t="shared" si="47"/>
        <v>Yes</v>
      </c>
      <c r="M604" t="str">
        <f t="shared" si="49"/>
        <v>Yes</v>
      </c>
      <c r="N604" t="str">
        <f t="shared" si="48"/>
        <v>Yes</v>
      </c>
    </row>
    <row r="605" spans="1:14" x14ac:dyDescent="0.3">
      <c r="A605" s="4" t="s">
        <v>1227</v>
      </c>
      <c r="B605" s="4" t="s">
        <v>1228</v>
      </c>
      <c r="C605" s="4" t="s">
        <v>27</v>
      </c>
      <c r="D605" s="5">
        <v>45756</v>
      </c>
      <c r="E605" s="5">
        <v>45759</v>
      </c>
      <c r="F605" s="5">
        <v>45769</v>
      </c>
      <c r="G605" s="4" t="s">
        <v>22</v>
      </c>
      <c r="H605" s="4">
        <v>1</v>
      </c>
      <c r="I605" s="2">
        <v>1</v>
      </c>
      <c r="J605">
        <f t="shared" si="45"/>
        <v>13</v>
      </c>
      <c r="K605">
        <f t="shared" si="46"/>
        <v>10</v>
      </c>
      <c r="L605" t="str">
        <f t="shared" si="47"/>
        <v>No</v>
      </c>
      <c r="M605" t="str">
        <f t="shared" si="49"/>
        <v>Yes</v>
      </c>
      <c r="N605" t="str">
        <f t="shared" si="48"/>
        <v>No</v>
      </c>
    </row>
    <row r="606" spans="1:14" x14ac:dyDescent="0.3">
      <c r="A606" s="2" t="s">
        <v>1229</v>
      </c>
      <c r="B606" s="2" t="s">
        <v>1230</v>
      </c>
      <c r="C606" s="2" t="s">
        <v>27</v>
      </c>
      <c r="D606" s="3">
        <v>45754</v>
      </c>
      <c r="E606" s="3">
        <v>45757</v>
      </c>
      <c r="F606" s="3">
        <v>45766</v>
      </c>
      <c r="G606" s="2" t="s">
        <v>18</v>
      </c>
      <c r="H606" s="2">
        <v>11</v>
      </c>
      <c r="I606" s="2">
        <v>11</v>
      </c>
      <c r="J606">
        <f t="shared" si="45"/>
        <v>12</v>
      </c>
      <c r="K606">
        <f t="shared" si="46"/>
        <v>9</v>
      </c>
      <c r="L606" t="str">
        <f t="shared" si="47"/>
        <v>No</v>
      </c>
      <c r="M606" t="str">
        <f t="shared" si="49"/>
        <v>Yes</v>
      </c>
      <c r="N606" t="str">
        <f t="shared" si="48"/>
        <v>No</v>
      </c>
    </row>
    <row r="607" spans="1:14" x14ac:dyDescent="0.3">
      <c r="A607" s="4" t="s">
        <v>1231</v>
      </c>
      <c r="B607" s="4" t="s">
        <v>1232</v>
      </c>
      <c r="C607" s="4" t="s">
        <v>34</v>
      </c>
      <c r="D607" s="5">
        <v>45757</v>
      </c>
      <c r="E607" s="5">
        <v>45759</v>
      </c>
      <c r="F607" s="5">
        <v>45764</v>
      </c>
      <c r="G607" s="4" t="s">
        <v>40</v>
      </c>
      <c r="H607" s="4">
        <v>27</v>
      </c>
      <c r="I607" s="2">
        <v>27</v>
      </c>
      <c r="J607">
        <f t="shared" si="45"/>
        <v>7</v>
      </c>
      <c r="K607">
        <f t="shared" si="46"/>
        <v>5</v>
      </c>
      <c r="L607" t="str">
        <f t="shared" si="47"/>
        <v>No</v>
      </c>
      <c r="M607" t="str">
        <f t="shared" si="49"/>
        <v>Yes</v>
      </c>
      <c r="N607" t="str">
        <f t="shared" si="48"/>
        <v>No</v>
      </c>
    </row>
    <row r="608" spans="1:14" x14ac:dyDescent="0.3">
      <c r="A608" s="2" t="s">
        <v>1233</v>
      </c>
      <c r="B608" s="2" t="s">
        <v>1234</v>
      </c>
      <c r="C608" s="2" t="s">
        <v>37</v>
      </c>
      <c r="D608" s="3">
        <v>45755</v>
      </c>
      <c r="E608" s="3">
        <v>45763</v>
      </c>
      <c r="F608" s="3">
        <v>45768</v>
      </c>
      <c r="G608" s="2" t="s">
        <v>40</v>
      </c>
      <c r="H608" s="2">
        <v>9</v>
      </c>
      <c r="I608" s="2">
        <v>9</v>
      </c>
      <c r="J608">
        <f t="shared" si="45"/>
        <v>13</v>
      </c>
      <c r="K608">
        <f t="shared" si="46"/>
        <v>5</v>
      </c>
      <c r="L608" t="str">
        <f t="shared" si="47"/>
        <v>No</v>
      </c>
      <c r="M608" t="str">
        <f t="shared" si="49"/>
        <v>Yes</v>
      </c>
      <c r="N608" t="str">
        <f t="shared" si="48"/>
        <v>No</v>
      </c>
    </row>
    <row r="609" spans="1:14" x14ac:dyDescent="0.3">
      <c r="A609" s="4" t="s">
        <v>1235</v>
      </c>
      <c r="B609" s="4" t="s">
        <v>1236</v>
      </c>
      <c r="C609" s="4" t="s">
        <v>10</v>
      </c>
      <c r="D609" s="5">
        <v>45757</v>
      </c>
      <c r="E609" s="5">
        <v>45759</v>
      </c>
      <c r="F609" s="5">
        <v>45761</v>
      </c>
      <c r="G609" s="4" t="s">
        <v>11</v>
      </c>
      <c r="H609" s="4">
        <v>8</v>
      </c>
      <c r="I609" s="2">
        <v>8</v>
      </c>
      <c r="J609">
        <f t="shared" si="45"/>
        <v>4</v>
      </c>
      <c r="K609">
        <f t="shared" si="46"/>
        <v>2</v>
      </c>
      <c r="L609" t="str">
        <f t="shared" si="47"/>
        <v>No</v>
      </c>
      <c r="M609" t="str">
        <f t="shared" si="49"/>
        <v>Yes</v>
      </c>
      <c r="N609" t="str">
        <f t="shared" si="48"/>
        <v>No</v>
      </c>
    </row>
    <row r="610" spans="1:14" x14ac:dyDescent="0.3">
      <c r="A610" s="2" t="s">
        <v>1237</v>
      </c>
      <c r="B610" s="2" t="s">
        <v>1238</v>
      </c>
      <c r="C610" s="2" t="s">
        <v>72</v>
      </c>
      <c r="D610" s="3">
        <v>45756</v>
      </c>
      <c r="E610" s="3">
        <v>45760</v>
      </c>
      <c r="F610" s="3">
        <v>45774</v>
      </c>
      <c r="G610" s="2" t="s">
        <v>18</v>
      </c>
      <c r="H610" s="2">
        <v>10</v>
      </c>
      <c r="I610" s="2">
        <v>10</v>
      </c>
      <c r="J610">
        <f t="shared" si="45"/>
        <v>18</v>
      </c>
      <c r="K610">
        <f t="shared" si="46"/>
        <v>14</v>
      </c>
      <c r="L610" t="str">
        <f t="shared" si="47"/>
        <v>No</v>
      </c>
      <c r="M610" t="str">
        <f t="shared" si="49"/>
        <v>Yes</v>
      </c>
      <c r="N610" t="str">
        <f t="shared" si="48"/>
        <v>No</v>
      </c>
    </row>
    <row r="611" spans="1:14" x14ac:dyDescent="0.3">
      <c r="A611" s="4" t="s">
        <v>1239</v>
      </c>
      <c r="B611" s="4" t="s">
        <v>1240</v>
      </c>
      <c r="C611" s="4" t="s">
        <v>14</v>
      </c>
      <c r="D611" s="5">
        <v>45756</v>
      </c>
      <c r="E611" s="5">
        <v>45763</v>
      </c>
      <c r="F611" s="5">
        <v>45775</v>
      </c>
      <c r="G611" s="4" t="s">
        <v>40</v>
      </c>
      <c r="H611" s="4">
        <v>10</v>
      </c>
      <c r="I611" s="2">
        <v>10</v>
      </c>
      <c r="J611">
        <f t="shared" si="45"/>
        <v>19</v>
      </c>
      <c r="K611">
        <f t="shared" si="46"/>
        <v>12</v>
      </c>
      <c r="L611" t="str">
        <f t="shared" si="47"/>
        <v>No</v>
      </c>
      <c r="M611" t="str">
        <f t="shared" si="49"/>
        <v>Yes</v>
      </c>
      <c r="N611" t="str">
        <f t="shared" si="48"/>
        <v>No</v>
      </c>
    </row>
    <row r="612" spans="1:14" x14ac:dyDescent="0.3">
      <c r="A612" s="2" t="s">
        <v>1241</v>
      </c>
      <c r="B612" s="2" t="s">
        <v>1242</v>
      </c>
      <c r="C612" s="2" t="s">
        <v>21</v>
      </c>
      <c r="D612" s="3">
        <v>45755</v>
      </c>
      <c r="E612" s="3">
        <v>45763</v>
      </c>
      <c r="F612" s="3">
        <v>45762</v>
      </c>
      <c r="G612" s="2" t="s">
        <v>15</v>
      </c>
      <c r="H612" s="2">
        <v>17</v>
      </c>
      <c r="I612" s="2">
        <v>17</v>
      </c>
      <c r="J612">
        <f t="shared" si="45"/>
        <v>7</v>
      </c>
      <c r="K612">
        <f t="shared" si="46"/>
        <v>-1</v>
      </c>
      <c r="L612" t="str">
        <f t="shared" si="47"/>
        <v>Yes</v>
      </c>
      <c r="M612" t="str">
        <f t="shared" si="49"/>
        <v>Yes</v>
      </c>
      <c r="N612" t="str">
        <f t="shared" si="48"/>
        <v>Yes</v>
      </c>
    </row>
    <row r="613" spans="1:14" x14ac:dyDescent="0.3">
      <c r="A613" s="4" t="s">
        <v>1243</v>
      </c>
      <c r="B613" s="4" t="s">
        <v>1244</v>
      </c>
      <c r="C613" s="4" t="s">
        <v>27</v>
      </c>
      <c r="D613" s="5">
        <v>45755</v>
      </c>
      <c r="E613" s="5">
        <v>45762</v>
      </c>
      <c r="F613" s="5">
        <v>45768</v>
      </c>
      <c r="G613" s="4" t="s">
        <v>15</v>
      </c>
      <c r="H613" s="4">
        <v>32</v>
      </c>
      <c r="I613" s="2">
        <v>36</v>
      </c>
      <c r="J613">
        <f t="shared" si="45"/>
        <v>13</v>
      </c>
      <c r="K613">
        <f t="shared" si="46"/>
        <v>6</v>
      </c>
      <c r="L613" t="str">
        <f t="shared" si="47"/>
        <v>No</v>
      </c>
      <c r="M613" t="str">
        <f t="shared" si="49"/>
        <v>No</v>
      </c>
      <c r="N613" t="str">
        <f t="shared" si="48"/>
        <v>No</v>
      </c>
    </row>
    <row r="614" spans="1:14" x14ac:dyDescent="0.3">
      <c r="A614" s="2" t="s">
        <v>1245</v>
      </c>
      <c r="B614" s="2" t="s">
        <v>1246</v>
      </c>
      <c r="C614" s="2" t="s">
        <v>27</v>
      </c>
      <c r="D614" s="3">
        <v>45755</v>
      </c>
      <c r="E614" s="3">
        <v>45760</v>
      </c>
      <c r="F614" s="3">
        <v>45770</v>
      </c>
      <c r="G614" s="2" t="s">
        <v>11</v>
      </c>
      <c r="H614" s="2">
        <v>1</v>
      </c>
      <c r="I614" s="2">
        <v>3</v>
      </c>
      <c r="J614">
        <f t="shared" si="45"/>
        <v>15</v>
      </c>
      <c r="K614">
        <f t="shared" si="46"/>
        <v>10</v>
      </c>
      <c r="L614" t="str">
        <f t="shared" si="47"/>
        <v>No</v>
      </c>
      <c r="M614" t="str">
        <f t="shared" si="49"/>
        <v>No</v>
      </c>
      <c r="N614" t="str">
        <f t="shared" si="48"/>
        <v>No</v>
      </c>
    </row>
    <row r="615" spans="1:14" x14ac:dyDescent="0.3">
      <c r="A615" s="4" t="s">
        <v>1247</v>
      </c>
      <c r="B615" s="4" t="s">
        <v>1248</v>
      </c>
      <c r="C615" s="4" t="s">
        <v>27</v>
      </c>
      <c r="D615" s="5">
        <v>45755</v>
      </c>
      <c r="E615" s="5">
        <v>45759</v>
      </c>
      <c r="F615" s="5">
        <v>45768</v>
      </c>
      <c r="G615" s="4" t="s">
        <v>15</v>
      </c>
      <c r="H615" s="4">
        <v>5</v>
      </c>
      <c r="I615" s="2">
        <v>5</v>
      </c>
      <c r="J615">
        <f t="shared" si="45"/>
        <v>13</v>
      </c>
      <c r="K615">
        <f t="shared" si="46"/>
        <v>9</v>
      </c>
      <c r="L615" t="str">
        <f t="shared" si="47"/>
        <v>No</v>
      </c>
      <c r="M615" t="str">
        <f t="shared" si="49"/>
        <v>Yes</v>
      </c>
      <c r="N615" t="str">
        <f t="shared" si="48"/>
        <v>No</v>
      </c>
    </row>
    <row r="616" spans="1:14" x14ac:dyDescent="0.3">
      <c r="A616" s="2" t="s">
        <v>1249</v>
      </c>
      <c r="B616" s="2" t="s">
        <v>1250</v>
      </c>
      <c r="C616" s="2" t="s">
        <v>59</v>
      </c>
      <c r="D616" s="3">
        <v>45758</v>
      </c>
      <c r="E616" s="3">
        <v>45766</v>
      </c>
      <c r="F616" s="3">
        <v>45763</v>
      </c>
      <c r="G616" s="2" t="s">
        <v>22</v>
      </c>
      <c r="H616" s="2">
        <v>9</v>
      </c>
      <c r="I616" s="2">
        <v>17</v>
      </c>
      <c r="J616">
        <f t="shared" si="45"/>
        <v>5</v>
      </c>
      <c r="K616">
        <f t="shared" si="46"/>
        <v>-3</v>
      </c>
      <c r="L616" t="str">
        <f t="shared" si="47"/>
        <v>Yes</v>
      </c>
      <c r="M616" t="str">
        <f t="shared" si="49"/>
        <v>No</v>
      </c>
      <c r="N616" t="str">
        <f t="shared" si="48"/>
        <v>No</v>
      </c>
    </row>
    <row r="617" spans="1:14" x14ac:dyDescent="0.3">
      <c r="A617" s="4" t="s">
        <v>1251</v>
      </c>
      <c r="B617" s="4" t="s">
        <v>1252</v>
      </c>
      <c r="C617" s="4" t="s">
        <v>59</v>
      </c>
      <c r="D617" s="5">
        <v>45757</v>
      </c>
      <c r="E617" s="5">
        <v>45762</v>
      </c>
      <c r="F617" s="5">
        <v>45765</v>
      </c>
      <c r="G617" s="4" t="s">
        <v>40</v>
      </c>
      <c r="H617" s="4">
        <v>41</v>
      </c>
      <c r="I617" s="2">
        <v>42</v>
      </c>
      <c r="J617">
        <f t="shared" si="45"/>
        <v>8</v>
      </c>
      <c r="K617">
        <f t="shared" si="46"/>
        <v>3</v>
      </c>
      <c r="L617" t="str">
        <f t="shared" si="47"/>
        <v>No</v>
      </c>
      <c r="M617" t="str">
        <f t="shared" si="49"/>
        <v>No</v>
      </c>
      <c r="N617" t="str">
        <f t="shared" si="48"/>
        <v>No</v>
      </c>
    </row>
    <row r="618" spans="1:14" x14ac:dyDescent="0.3">
      <c r="A618" s="2" t="s">
        <v>1253</v>
      </c>
      <c r="B618" s="2" t="s">
        <v>1254</v>
      </c>
      <c r="C618" s="2" t="s">
        <v>59</v>
      </c>
      <c r="D618" s="3">
        <v>45757</v>
      </c>
      <c r="E618" s="3">
        <v>45764</v>
      </c>
      <c r="F618" s="3">
        <v>45763</v>
      </c>
      <c r="G618" s="2" t="s">
        <v>22</v>
      </c>
      <c r="H618" s="2">
        <v>16</v>
      </c>
      <c r="I618" s="2">
        <v>16</v>
      </c>
      <c r="J618">
        <f t="shared" si="45"/>
        <v>6</v>
      </c>
      <c r="K618">
        <f t="shared" si="46"/>
        <v>-1</v>
      </c>
      <c r="L618" t="str">
        <f t="shared" si="47"/>
        <v>Yes</v>
      </c>
      <c r="M618" t="str">
        <f t="shared" si="49"/>
        <v>Yes</v>
      </c>
      <c r="N618" t="str">
        <f t="shared" si="48"/>
        <v>Yes</v>
      </c>
    </row>
    <row r="619" spans="1:14" x14ac:dyDescent="0.3">
      <c r="A619" s="4" t="s">
        <v>1255</v>
      </c>
      <c r="B619" s="4" t="s">
        <v>1256</v>
      </c>
      <c r="C619" s="4" t="s">
        <v>27</v>
      </c>
      <c r="D619" s="5">
        <v>45756</v>
      </c>
      <c r="E619" s="5">
        <v>45761</v>
      </c>
      <c r="F619" s="5">
        <v>45769</v>
      </c>
      <c r="G619" s="4" t="s">
        <v>18</v>
      </c>
      <c r="H619" s="4">
        <v>6</v>
      </c>
      <c r="I619" s="2">
        <v>6</v>
      </c>
      <c r="J619">
        <f t="shared" si="45"/>
        <v>13</v>
      </c>
      <c r="K619">
        <f t="shared" si="46"/>
        <v>8</v>
      </c>
      <c r="L619" t="str">
        <f t="shared" si="47"/>
        <v>No</v>
      </c>
      <c r="M619" t="str">
        <f t="shared" si="49"/>
        <v>Yes</v>
      </c>
      <c r="N619" t="str">
        <f t="shared" si="48"/>
        <v>No</v>
      </c>
    </row>
    <row r="620" spans="1:14" x14ac:dyDescent="0.3">
      <c r="A620" s="2" t="s">
        <v>1257</v>
      </c>
      <c r="B620" s="2" t="s">
        <v>1258</v>
      </c>
      <c r="C620" s="2" t="s">
        <v>27</v>
      </c>
      <c r="D620" s="3">
        <v>45758</v>
      </c>
      <c r="E620" s="3">
        <v>45761</v>
      </c>
      <c r="F620" s="3">
        <v>45772</v>
      </c>
      <c r="G620" s="2" t="s">
        <v>22</v>
      </c>
      <c r="H620" s="2">
        <v>13</v>
      </c>
      <c r="I620" s="2">
        <v>13</v>
      </c>
      <c r="J620">
        <f t="shared" si="45"/>
        <v>14</v>
      </c>
      <c r="K620">
        <f t="shared" si="46"/>
        <v>11</v>
      </c>
      <c r="L620" t="str">
        <f t="shared" si="47"/>
        <v>No</v>
      </c>
      <c r="M620" t="str">
        <f t="shared" si="49"/>
        <v>Yes</v>
      </c>
      <c r="N620" t="str">
        <f t="shared" si="48"/>
        <v>No</v>
      </c>
    </row>
    <row r="621" spans="1:14" x14ac:dyDescent="0.3">
      <c r="A621" s="4" t="s">
        <v>1259</v>
      </c>
      <c r="B621" s="4" t="s">
        <v>1260</v>
      </c>
      <c r="C621" s="4" t="s">
        <v>34</v>
      </c>
      <c r="D621" s="5">
        <v>45759</v>
      </c>
      <c r="E621" s="5">
        <v>45767</v>
      </c>
      <c r="F621" s="5">
        <v>45765</v>
      </c>
      <c r="G621" s="4" t="s">
        <v>22</v>
      </c>
      <c r="H621" s="4">
        <v>14</v>
      </c>
      <c r="I621" s="2">
        <v>14</v>
      </c>
      <c r="J621">
        <f t="shared" si="45"/>
        <v>6</v>
      </c>
      <c r="K621">
        <f t="shared" si="46"/>
        <v>-2</v>
      </c>
      <c r="L621" t="str">
        <f t="shared" si="47"/>
        <v>Yes</v>
      </c>
      <c r="M621" t="str">
        <f t="shared" si="49"/>
        <v>Yes</v>
      </c>
      <c r="N621" t="str">
        <f t="shared" si="48"/>
        <v>Yes</v>
      </c>
    </row>
    <row r="622" spans="1:14" x14ac:dyDescent="0.3">
      <c r="A622" s="2" t="s">
        <v>1261</v>
      </c>
      <c r="B622" s="2" t="s">
        <v>1262</v>
      </c>
      <c r="C622" s="2" t="s">
        <v>34</v>
      </c>
      <c r="D622" s="3">
        <v>45757</v>
      </c>
      <c r="E622" s="3">
        <v>45765</v>
      </c>
      <c r="F622" s="3">
        <v>45765</v>
      </c>
      <c r="G622" s="2" t="s">
        <v>18</v>
      </c>
      <c r="H622" s="2">
        <v>37</v>
      </c>
      <c r="I622" s="2">
        <v>37</v>
      </c>
      <c r="J622">
        <f t="shared" si="45"/>
        <v>8</v>
      </c>
      <c r="K622">
        <f t="shared" si="46"/>
        <v>0</v>
      </c>
      <c r="L622" t="str">
        <f t="shared" si="47"/>
        <v>Yes</v>
      </c>
      <c r="M622" t="str">
        <f t="shared" si="49"/>
        <v>Yes</v>
      </c>
      <c r="N622" t="str">
        <f t="shared" si="48"/>
        <v>Yes</v>
      </c>
    </row>
    <row r="623" spans="1:14" x14ac:dyDescent="0.3">
      <c r="A623" s="4" t="s">
        <v>1263</v>
      </c>
      <c r="B623" s="4" t="s">
        <v>1264</v>
      </c>
      <c r="C623" s="4" t="s">
        <v>10</v>
      </c>
      <c r="D623" s="5">
        <v>45759</v>
      </c>
      <c r="E623" s="5">
        <v>45765</v>
      </c>
      <c r="F623" s="5">
        <v>45765</v>
      </c>
      <c r="G623" s="4" t="s">
        <v>18</v>
      </c>
      <c r="H623" s="4">
        <v>21</v>
      </c>
      <c r="I623" s="2">
        <v>21</v>
      </c>
      <c r="J623">
        <f t="shared" si="45"/>
        <v>6</v>
      </c>
      <c r="K623">
        <f t="shared" si="46"/>
        <v>0</v>
      </c>
      <c r="L623" t="str">
        <f t="shared" si="47"/>
        <v>Yes</v>
      </c>
      <c r="M623" t="str">
        <f t="shared" si="49"/>
        <v>Yes</v>
      </c>
      <c r="N623" t="str">
        <f t="shared" si="48"/>
        <v>Yes</v>
      </c>
    </row>
    <row r="624" spans="1:14" x14ac:dyDescent="0.3">
      <c r="A624" s="2" t="s">
        <v>1265</v>
      </c>
      <c r="B624" s="2" t="s">
        <v>1266</v>
      </c>
      <c r="C624" s="2" t="s">
        <v>14</v>
      </c>
      <c r="D624" s="3">
        <v>45759</v>
      </c>
      <c r="E624" s="3">
        <v>45766</v>
      </c>
      <c r="F624" s="3">
        <v>45774</v>
      </c>
      <c r="G624" s="2" t="s">
        <v>15</v>
      </c>
      <c r="H624" s="2">
        <v>30</v>
      </c>
      <c r="I624" s="2">
        <v>32</v>
      </c>
      <c r="J624">
        <f t="shared" si="45"/>
        <v>15</v>
      </c>
      <c r="K624">
        <f t="shared" si="46"/>
        <v>8</v>
      </c>
      <c r="L624" t="str">
        <f t="shared" si="47"/>
        <v>No</v>
      </c>
      <c r="M624" t="str">
        <f t="shared" si="49"/>
        <v>No</v>
      </c>
      <c r="N624" t="str">
        <f t="shared" si="48"/>
        <v>No</v>
      </c>
    </row>
    <row r="625" spans="1:14" x14ac:dyDescent="0.3">
      <c r="A625" s="4" t="s">
        <v>1267</v>
      </c>
      <c r="B625" s="4" t="s">
        <v>1268</v>
      </c>
      <c r="C625" s="4" t="s">
        <v>21</v>
      </c>
      <c r="D625" s="5">
        <v>45759</v>
      </c>
      <c r="E625" s="5">
        <v>45763</v>
      </c>
      <c r="F625" s="5">
        <v>45764</v>
      </c>
      <c r="G625" s="4" t="s">
        <v>11</v>
      </c>
      <c r="H625" s="4">
        <v>36</v>
      </c>
      <c r="I625" s="2">
        <v>36</v>
      </c>
      <c r="J625">
        <f t="shared" si="45"/>
        <v>5</v>
      </c>
      <c r="K625">
        <f t="shared" si="46"/>
        <v>1</v>
      </c>
      <c r="L625" t="str">
        <f t="shared" si="47"/>
        <v>No</v>
      </c>
      <c r="M625" t="str">
        <f t="shared" si="49"/>
        <v>Yes</v>
      </c>
      <c r="N625" t="str">
        <f t="shared" si="48"/>
        <v>No</v>
      </c>
    </row>
    <row r="626" spans="1:14" x14ac:dyDescent="0.3">
      <c r="A626" s="2" t="s">
        <v>1269</v>
      </c>
      <c r="B626" s="2" t="s">
        <v>1270</v>
      </c>
      <c r="C626" s="2" t="s">
        <v>21</v>
      </c>
      <c r="D626" s="3">
        <v>45758</v>
      </c>
      <c r="E626" s="3">
        <v>45767</v>
      </c>
      <c r="F626" s="3">
        <v>45765</v>
      </c>
      <c r="G626" s="2" t="s">
        <v>18</v>
      </c>
      <c r="H626" s="2">
        <v>49</v>
      </c>
      <c r="I626" s="2">
        <v>49</v>
      </c>
      <c r="J626">
        <f t="shared" si="45"/>
        <v>7</v>
      </c>
      <c r="K626">
        <f t="shared" si="46"/>
        <v>-2</v>
      </c>
      <c r="L626" t="str">
        <f t="shared" si="47"/>
        <v>Yes</v>
      </c>
      <c r="M626" t="str">
        <f t="shared" si="49"/>
        <v>Yes</v>
      </c>
      <c r="N626" t="str">
        <f t="shared" si="48"/>
        <v>Yes</v>
      </c>
    </row>
    <row r="627" spans="1:14" x14ac:dyDescent="0.3">
      <c r="A627" s="4" t="s">
        <v>1271</v>
      </c>
      <c r="B627" s="4" t="s">
        <v>1272</v>
      </c>
      <c r="C627" s="4" t="s">
        <v>27</v>
      </c>
      <c r="D627" s="5">
        <v>45757</v>
      </c>
      <c r="E627" s="5">
        <v>45762</v>
      </c>
      <c r="F627" s="5">
        <v>45771</v>
      </c>
      <c r="G627" s="4" t="s">
        <v>18</v>
      </c>
      <c r="H627" s="4">
        <v>18</v>
      </c>
      <c r="I627" s="2">
        <v>18</v>
      </c>
      <c r="J627">
        <f t="shared" si="45"/>
        <v>14</v>
      </c>
      <c r="K627">
        <f t="shared" si="46"/>
        <v>9</v>
      </c>
      <c r="L627" t="str">
        <f t="shared" si="47"/>
        <v>No</v>
      </c>
      <c r="M627" t="str">
        <f t="shared" si="49"/>
        <v>Yes</v>
      </c>
      <c r="N627" t="str">
        <f t="shared" si="48"/>
        <v>No</v>
      </c>
    </row>
    <row r="628" spans="1:14" x14ac:dyDescent="0.3">
      <c r="A628" s="2" t="s">
        <v>1273</v>
      </c>
      <c r="B628" s="2" t="s">
        <v>1274</v>
      </c>
      <c r="C628" s="2" t="s">
        <v>27</v>
      </c>
      <c r="D628" s="3">
        <v>45759</v>
      </c>
      <c r="E628" s="3">
        <v>45761</v>
      </c>
      <c r="F628" s="3">
        <v>45773</v>
      </c>
      <c r="G628" s="2" t="s">
        <v>40</v>
      </c>
      <c r="H628" s="2">
        <v>10</v>
      </c>
      <c r="I628" s="2">
        <v>10</v>
      </c>
      <c r="J628">
        <f t="shared" si="45"/>
        <v>14</v>
      </c>
      <c r="K628">
        <f t="shared" si="46"/>
        <v>12</v>
      </c>
      <c r="L628" t="str">
        <f t="shared" si="47"/>
        <v>No</v>
      </c>
      <c r="M628" t="str">
        <f t="shared" si="49"/>
        <v>Yes</v>
      </c>
      <c r="N628" t="str">
        <f t="shared" si="48"/>
        <v>No</v>
      </c>
    </row>
    <row r="629" spans="1:14" x14ac:dyDescent="0.3">
      <c r="A629" s="4" t="s">
        <v>1275</v>
      </c>
      <c r="B629" s="4" t="s">
        <v>1276</v>
      </c>
      <c r="C629" s="4" t="s">
        <v>34</v>
      </c>
      <c r="D629" s="5">
        <v>45759</v>
      </c>
      <c r="E629" s="5">
        <v>45766</v>
      </c>
      <c r="F629" s="5">
        <v>45766</v>
      </c>
      <c r="G629" s="4" t="s">
        <v>22</v>
      </c>
      <c r="H629" s="4">
        <v>39</v>
      </c>
      <c r="I629" s="2">
        <v>39</v>
      </c>
      <c r="J629">
        <f t="shared" si="45"/>
        <v>7</v>
      </c>
      <c r="K629">
        <f t="shared" si="46"/>
        <v>0</v>
      </c>
      <c r="L629" t="str">
        <f t="shared" si="47"/>
        <v>Yes</v>
      </c>
      <c r="M629" t="str">
        <f t="shared" si="49"/>
        <v>Yes</v>
      </c>
      <c r="N629" t="str">
        <f t="shared" si="48"/>
        <v>Yes</v>
      </c>
    </row>
    <row r="630" spans="1:14" x14ac:dyDescent="0.3">
      <c r="A630" s="2" t="s">
        <v>1277</v>
      </c>
      <c r="B630" s="2" t="s">
        <v>1278</v>
      </c>
      <c r="C630" s="2" t="s">
        <v>10</v>
      </c>
      <c r="D630" s="3">
        <v>45758</v>
      </c>
      <c r="E630" s="3">
        <v>45761</v>
      </c>
      <c r="F630" s="3">
        <v>45765</v>
      </c>
      <c r="G630" s="2" t="s">
        <v>40</v>
      </c>
      <c r="H630" s="2">
        <v>18</v>
      </c>
      <c r="I630" s="2">
        <v>18</v>
      </c>
      <c r="J630">
        <f t="shared" si="45"/>
        <v>7</v>
      </c>
      <c r="K630">
        <f t="shared" si="46"/>
        <v>4</v>
      </c>
      <c r="L630" t="str">
        <f t="shared" si="47"/>
        <v>No</v>
      </c>
      <c r="M630" t="str">
        <f t="shared" si="49"/>
        <v>Yes</v>
      </c>
      <c r="N630" t="str">
        <f t="shared" si="48"/>
        <v>No</v>
      </c>
    </row>
    <row r="631" spans="1:14" x14ac:dyDescent="0.3">
      <c r="A631" s="4" t="s">
        <v>1279</v>
      </c>
      <c r="B631" s="4" t="s">
        <v>1280</v>
      </c>
      <c r="C631" s="4" t="s">
        <v>10</v>
      </c>
      <c r="D631" s="5">
        <v>45758</v>
      </c>
      <c r="E631" s="5">
        <v>45763</v>
      </c>
      <c r="F631" s="5">
        <v>45763</v>
      </c>
      <c r="G631" s="4" t="s">
        <v>18</v>
      </c>
      <c r="H631" s="4">
        <v>42</v>
      </c>
      <c r="I631" s="2">
        <v>42</v>
      </c>
      <c r="J631">
        <f t="shared" si="45"/>
        <v>5</v>
      </c>
      <c r="K631">
        <f t="shared" si="46"/>
        <v>0</v>
      </c>
      <c r="L631" t="str">
        <f t="shared" si="47"/>
        <v>Yes</v>
      </c>
      <c r="M631" t="str">
        <f t="shared" si="49"/>
        <v>Yes</v>
      </c>
      <c r="N631" t="str">
        <f t="shared" si="48"/>
        <v>Yes</v>
      </c>
    </row>
    <row r="632" spans="1:14" x14ac:dyDescent="0.3">
      <c r="A632" s="2" t="s">
        <v>1281</v>
      </c>
      <c r="B632" s="2" t="s">
        <v>1282</v>
      </c>
      <c r="C632" s="2" t="s">
        <v>14</v>
      </c>
      <c r="D632" s="3">
        <v>45760</v>
      </c>
      <c r="E632" s="3">
        <v>45767</v>
      </c>
      <c r="F632" s="3">
        <v>45775</v>
      </c>
      <c r="G632" s="2" t="s">
        <v>40</v>
      </c>
      <c r="H632" s="2">
        <v>19</v>
      </c>
      <c r="I632" s="2">
        <v>19</v>
      </c>
      <c r="J632">
        <f t="shared" si="45"/>
        <v>15</v>
      </c>
      <c r="K632">
        <f t="shared" si="46"/>
        <v>8</v>
      </c>
      <c r="L632" t="str">
        <f t="shared" si="47"/>
        <v>No</v>
      </c>
      <c r="M632" t="str">
        <f t="shared" si="49"/>
        <v>Yes</v>
      </c>
      <c r="N632" t="str">
        <f t="shared" si="48"/>
        <v>No</v>
      </c>
    </row>
    <row r="633" spans="1:14" x14ac:dyDescent="0.3">
      <c r="A633" s="4" t="s">
        <v>1283</v>
      </c>
      <c r="B633" s="4" t="s">
        <v>1284</v>
      </c>
      <c r="C633" s="4" t="s">
        <v>21</v>
      </c>
      <c r="D633" s="5">
        <v>45760</v>
      </c>
      <c r="E633" s="5">
        <v>45768</v>
      </c>
      <c r="F633" s="5">
        <v>45766</v>
      </c>
      <c r="G633" s="4" t="s">
        <v>11</v>
      </c>
      <c r="H633" s="4">
        <v>42</v>
      </c>
      <c r="I633" s="2">
        <v>44</v>
      </c>
      <c r="J633">
        <f t="shared" si="45"/>
        <v>6</v>
      </c>
      <c r="K633">
        <f t="shared" si="46"/>
        <v>-2</v>
      </c>
      <c r="L633" t="str">
        <f t="shared" si="47"/>
        <v>Yes</v>
      </c>
      <c r="M633" t="str">
        <f t="shared" si="49"/>
        <v>No</v>
      </c>
      <c r="N633" t="str">
        <f t="shared" si="48"/>
        <v>No</v>
      </c>
    </row>
    <row r="634" spans="1:14" x14ac:dyDescent="0.3">
      <c r="A634" s="2" t="s">
        <v>1285</v>
      </c>
      <c r="B634" s="2" t="s">
        <v>1286</v>
      </c>
      <c r="C634" s="2" t="s">
        <v>27</v>
      </c>
      <c r="D634" s="3">
        <v>45759</v>
      </c>
      <c r="E634" s="3">
        <v>45763</v>
      </c>
      <c r="F634" s="3">
        <v>45772</v>
      </c>
      <c r="G634" s="2" t="s">
        <v>40</v>
      </c>
      <c r="H634" s="2">
        <v>21</v>
      </c>
      <c r="I634" s="2">
        <v>21</v>
      </c>
      <c r="J634">
        <f t="shared" si="45"/>
        <v>13</v>
      </c>
      <c r="K634">
        <f t="shared" si="46"/>
        <v>9</v>
      </c>
      <c r="L634" t="str">
        <f t="shared" si="47"/>
        <v>No</v>
      </c>
      <c r="M634" t="str">
        <f t="shared" si="49"/>
        <v>Yes</v>
      </c>
      <c r="N634" t="str">
        <f t="shared" si="48"/>
        <v>No</v>
      </c>
    </row>
    <row r="635" spans="1:14" x14ac:dyDescent="0.3">
      <c r="A635" s="4" t="s">
        <v>1287</v>
      </c>
      <c r="B635" s="4" t="s">
        <v>1288</v>
      </c>
      <c r="C635" s="4" t="s">
        <v>27</v>
      </c>
      <c r="D635" s="5">
        <v>45758</v>
      </c>
      <c r="E635" s="5">
        <v>45766</v>
      </c>
      <c r="F635" s="5">
        <v>45771</v>
      </c>
      <c r="G635" s="4" t="s">
        <v>11</v>
      </c>
      <c r="H635" s="4">
        <v>7</v>
      </c>
      <c r="I635" s="2">
        <v>7</v>
      </c>
      <c r="J635">
        <f t="shared" si="45"/>
        <v>13</v>
      </c>
      <c r="K635">
        <f t="shared" si="46"/>
        <v>5</v>
      </c>
      <c r="L635" t="str">
        <f t="shared" si="47"/>
        <v>No</v>
      </c>
      <c r="M635" t="str">
        <f t="shared" si="49"/>
        <v>Yes</v>
      </c>
      <c r="N635" t="str">
        <f t="shared" si="48"/>
        <v>No</v>
      </c>
    </row>
    <row r="636" spans="1:14" x14ac:dyDescent="0.3">
      <c r="A636" s="2" t="s">
        <v>1289</v>
      </c>
      <c r="B636" s="2" t="s">
        <v>1290</v>
      </c>
      <c r="C636" s="2" t="s">
        <v>27</v>
      </c>
      <c r="D636" s="3">
        <v>45760</v>
      </c>
      <c r="E636" s="3">
        <v>45764</v>
      </c>
      <c r="F636" s="3">
        <v>45772</v>
      </c>
      <c r="G636" s="2" t="s">
        <v>22</v>
      </c>
      <c r="H636" s="2">
        <v>8</v>
      </c>
      <c r="I636" s="2">
        <v>8</v>
      </c>
      <c r="J636">
        <f t="shared" si="45"/>
        <v>12</v>
      </c>
      <c r="K636">
        <f t="shared" si="46"/>
        <v>8</v>
      </c>
      <c r="L636" t="str">
        <f t="shared" si="47"/>
        <v>No</v>
      </c>
      <c r="M636" t="str">
        <f t="shared" si="49"/>
        <v>Yes</v>
      </c>
      <c r="N636" t="str">
        <f t="shared" si="48"/>
        <v>No</v>
      </c>
    </row>
    <row r="637" spans="1:14" x14ac:dyDescent="0.3">
      <c r="A637" s="4" t="s">
        <v>1291</v>
      </c>
      <c r="B637" s="4" t="s">
        <v>1292</v>
      </c>
      <c r="C637" s="4" t="s">
        <v>37</v>
      </c>
      <c r="D637" s="5">
        <v>45759</v>
      </c>
      <c r="E637" s="5">
        <v>45762</v>
      </c>
      <c r="F637" s="5">
        <v>45774</v>
      </c>
      <c r="G637" s="4" t="s">
        <v>22</v>
      </c>
      <c r="H637" s="4">
        <v>39</v>
      </c>
      <c r="I637" s="2">
        <v>39</v>
      </c>
      <c r="J637">
        <f t="shared" si="45"/>
        <v>15</v>
      </c>
      <c r="K637">
        <f t="shared" si="46"/>
        <v>12</v>
      </c>
      <c r="L637" t="str">
        <f t="shared" si="47"/>
        <v>No</v>
      </c>
      <c r="M637" t="str">
        <f t="shared" si="49"/>
        <v>Yes</v>
      </c>
      <c r="N637" t="str">
        <f t="shared" si="48"/>
        <v>No</v>
      </c>
    </row>
    <row r="638" spans="1:14" x14ac:dyDescent="0.3">
      <c r="A638" s="2" t="s">
        <v>1293</v>
      </c>
      <c r="B638" s="2" t="s">
        <v>1294</v>
      </c>
      <c r="C638" s="2" t="s">
        <v>72</v>
      </c>
      <c r="D638" s="3">
        <v>45761</v>
      </c>
      <c r="E638" s="3">
        <v>45762</v>
      </c>
      <c r="F638" s="3">
        <v>45777</v>
      </c>
      <c r="G638" s="2" t="s">
        <v>40</v>
      </c>
      <c r="H638" s="2">
        <v>5</v>
      </c>
      <c r="I638" s="2">
        <v>8</v>
      </c>
      <c r="J638">
        <f t="shared" si="45"/>
        <v>16</v>
      </c>
      <c r="K638">
        <f t="shared" si="46"/>
        <v>15</v>
      </c>
      <c r="L638" t="str">
        <f t="shared" si="47"/>
        <v>No</v>
      </c>
      <c r="M638" t="str">
        <f t="shared" si="49"/>
        <v>No</v>
      </c>
      <c r="N638" t="str">
        <f t="shared" si="48"/>
        <v>No</v>
      </c>
    </row>
    <row r="639" spans="1:14" x14ac:dyDescent="0.3">
      <c r="A639" s="4" t="s">
        <v>1295</v>
      </c>
      <c r="B639" s="4" t="s">
        <v>1296</v>
      </c>
      <c r="C639" s="4" t="s">
        <v>72</v>
      </c>
      <c r="D639" s="5">
        <v>45760</v>
      </c>
      <c r="E639" s="5">
        <v>45762</v>
      </c>
      <c r="F639" s="5">
        <v>45774</v>
      </c>
      <c r="G639" s="4" t="s">
        <v>40</v>
      </c>
      <c r="H639" s="4">
        <v>5</v>
      </c>
      <c r="I639" s="2">
        <v>5</v>
      </c>
      <c r="J639">
        <f t="shared" si="45"/>
        <v>14</v>
      </c>
      <c r="K639">
        <f t="shared" si="46"/>
        <v>12</v>
      </c>
      <c r="L639" t="str">
        <f t="shared" si="47"/>
        <v>No</v>
      </c>
      <c r="M639" t="str">
        <f t="shared" si="49"/>
        <v>Yes</v>
      </c>
      <c r="N639" t="str">
        <f t="shared" si="48"/>
        <v>No</v>
      </c>
    </row>
    <row r="640" spans="1:14" x14ac:dyDescent="0.3">
      <c r="A640" s="2" t="s">
        <v>1297</v>
      </c>
      <c r="B640" s="2" t="s">
        <v>1298</v>
      </c>
      <c r="C640" s="2" t="s">
        <v>59</v>
      </c>
      <c r="D640" s="3">
        <v>45759</v>
      </c>
      <c r="E640" s="3">
        <v>45768</v>
      </c>
      <c r="F640" s="3">
        <v>45763</v>
      </c>
      <c r="G640" s="2" t="s">
        <v>22</v>
      </c>
      <c r="H640" s="2">
        <v>16</v>
      </c>
      <c r="I640" s="2">
        <v>16</v>
      </c>
      <c r="J640">
        <f t="shared" si="45"/>
        <v>4</v>
      </c>
      <c r="K640">
        <f t="shared" si="46"/>
        <v>-5</v>
      </c>
      <c r="L640" t="str">
        <f t="shared" si="47"/>
        <v>Yes</v>
      </c>
      <c r="M640" t="str">
        <f t="shared" si="49"/>
        <v>Yes</v>
      </c>
      <c r="N640" t="str">
        <f t="shared" si="48"/>
        <v>Yes</v>
      </c>
    </row>
    <row r="641" spans="1:14" x14ac:dyDescent="0.3">
      <c r="A641" s="4" t="s">
        <v>1299</v>
      </c>
      <c r="B641" s="4" t="s">
        <v>1300</v>
      </c>
      <c r="C641" s="4" t="s">
        <v>59</v>
      </c>
      <c r="D641" s="5">
        <v>45761</v>
      </c>
      <c r="E641" s="5">
        <v>45766</v>
      </c>
      <c r="F641" s="5">
        <v>45764</v>
      </c>
      <c r="G641" s="4" t="s">
        <v>22</v>
      </c>
      <c r="H641" s="4">
        <v>17</v>
      </c>
      <c r="I641" s="2">
        <v>17</v>
      </c>
      <c r="J641">
        <f t="shared" si="45"/>
        <v>3</v>
      </c>
      <c r="K641">
        <f t="shared" si="46"/>
        <v>-2</v>
      </c>
      <c r="L641" t="str">
        <f t="shared" si="47"/>
        <v>Yes</v>
      </c>
      <c r="M641" t="str">
        <f t="shared" si="49"/>
        <v>Yes</v>
      </c>
      <c r="N641" t="str">
        <f t="shared" si="48"/>
        <v>Yes</v>
      </c>
    </row>
    <row r="642" spans="1:14" x14ac:dyDescent="0.3">
      <c r="A642" s="2" t="s">
        <v>1301</v>
      </c>
      <c r="B642" s="2" t="s">
        <v>1302</v>
      </c>
      <c r="C642" s="2" t="s">
        <v>21</v>
      </c>
      <c r="D642" s="3">
        <v>45760</v>
      </c>
      <c r="E642" s="3">
        <v>45766</v>
      </c>
      <c r="F642" s="3">
        <v>45766</v>
      </c>
      <c r="G642" s="2" t="s">
        <v>22</v>
      </c>
      <c r="H642" s="2">
        <v>24</v>
      </c>
      <c r="I642" s="2">
        <v>24</v>
      </c>
      <c r="J642">
        <f t="shared" si="45"/>
        <v>6</v>
      </c>
      <c r="K642">
        <f t="shared" si="46"/>
        <v>0</v>
      </c>
      <c r="L642" t="str">
        <f t="shared" si="47"/>
        <v>Yes</v>
      </c>
      <c r="M642" t="str">
        <f t="shared" si="49"/>
        <v>Yes</v>
      </c>
      <c r="N642" t="str">
        <f t="shared" si="48"/>
        <v>Yes</v>
      </c>
    </row>
    <row r="643" spans="1:14" x14ac:dyDescent="0.3">
      <c r="A643" s="4" t="s">
        <v>1303</v>
      </c>
      <c r="B643" s="4" t="s">
        <v>1304</v>
      </c>
      <c r="C643" s="4" t="s">
        <v>27</v>
      </c>
      <c r="D643" s="5">
        <v>45761</v>
      </c>
      <c r="E643" s="5">
        <v>45762</v>
      </c>
      <c r="F643" s="5">
        <v>45778</v>
      </c>
      <c r="G643" s="4" t="s">
        <v>15</v>
      </c>
      <c r="H643" s="4">
        <v>5</v>
      </c>
      <c r="I643" s="2">
        <v>5</v>
      </c>
      <c r="J643">
        <f t="shared" ref="J643:J706" si="50">F643-D643</f>
        <v>17</v>
      </c>
      <c r="K643">
        <f t="shared" ref="K643:K706" si="51">F643-E643</f>
        <v>16</v>
      </c>
      <c r="L643" t="str">
        <f t="shared" ref="L643:L706" si="52">IF(K643&lt;=0,"Yes","No")</f>
        <v>No</v>
      </c>
      <c r="M643" t="str">
        <f t="shared" si="49"/>
        <v>Yes</v>
      </c>
      <c r="N643" t="str">
        <f t="shared" ref="N643:N706" si="53">IF(AND(L643="Yes",M643="Yes"),"Yes","No")</f>
        <v>No</v>
      </c>
    </row>
    <row r="644" spans="1:14" x14ac:dyDescent="0.3">
      <c r="A644" s="2" t="s">
        <v>1305</v>
      </c>
      <c r="B644" s="2" t="s">
        <v>1306</v>
      </c>
      <c r="C644" s="2" t="s">
        <v>34</v>
      </c>
      <c r="D644" s="3">
        <v>45761</v>
      </c>
      <c r="E644" s="3">
        <v>45767</v>
      </c>
      <c r="F644" s="3">
        <v>45768</v>
      </c>
      <c r="G644" s="2" t="s">
        <v>18</v>
      </c>
      <c r="H644" s="2">
        <v>29</v>
      </c>
      <c r="I644" s="2">
        <v>29</v>
      </c>
      <c r="J644">
        <f t="shared" si="50"/>
        <v>7</v>
      </c>
      <c r="K644">
        <f t="shared" si="51"/>
        <v>1</v>
      </c>
      <c r="L644" t="str">
        <f t="shared" si="52"/>
        <v>No</v>
      </c>
      <c r="M644" t="str">
        <f t="shared" ref="M644:M707" si="54">IF(H644=I644,"Yes","No")</f>
        <v>Yes</v>
      </c>
      <c r="N644" t="str">
        <f t="shared" si="53"/>
        <v>No</v>
      </c>
    </row>
    <row r="645" spans="1:14" x14ac:dyDescent="0.3">
      <c r="A645" s="4" t="s">
        <v>1307</v>
      </c>
      <c r="B645" s="4" t="s">
        <v>1308</v>
      </c>
      <c r="C645" s="4" t="s">
        <v>10</v>
      </c>
      <c r="D645" s="5">
        <v>45762</v>
      </c>
      <c r="E645" s="5">
        <v>45766</v>
      </c>
      <c r="F645" s="5">
        <v>45768</v>
      </c>
      <c r="G645" s="4" t="s">
        <v>22</v>
      </c>
      <c r="H645" s="4">
        <v>31</v>
      </c>
      <c r="I645" s="2">
        <v>31</v>
      </c>
      <c r="J645">
        <f t="shared" si="50"/>
        <v>6</v>
      </c>
      <c r="K645">
        <f t="shared" si="51"/>
        <v>2</v>
      </c>
      <c r="L645" t="str">
        <f t="shared" si="52"/>
        <v>No</v>
      </c>
      <c r="M645" t="str">
        <f t="shared" si="54"/>
        <v>Yes</v>
      </c>
      <c r="N645" t="str">
        <f t="shared" si="53"/>
        <v>No</v>
      </c>
    </row>
    <row r="646" spans="1:14" x14ac:dyDescent="0.3">
      <c r="A646" s="2" t="s">
        <v>1309</v>
      </c>
      <c r="B646" s="2" t="s">
        <v>1310</v>
      </c>
      <c r="C646" s="2" t="s">
        <v>10</v>
      </c>
      <c r="D646" s="3">
        <v>45762</v>
      </c>
      <c r="E646" s="3">
        <v>45767</v>
      </c>
      <c r="F646" s="3">
        <v>45767</v>
      </c>
      <c r="G646" s="2" t="s">
        <v>22</v>
      </c>
      <c r="H646" s="2">
        <v>8</v>
      </c>
      <c r="I646" s="2">
        <v>8</v>
      </c>
      <c r="J646">
        <f t="shared" si="50"/>
        <v>5</v>
      </c>
      <c r="K646">
        <f t="shared" si="51"/>
        <v>0</v>
      </c>
      <c r="L646" t="str">
        <f t="shared" si="52"/>
        <v>Yes</v>
      </c>
      <c r="M646" t="str">
        <f t="shared" si="54"/>
        <v>Yes</v>
      </c>
      <c r="N646" t="str">
        <f t="shared" si="53"/>
        <v>Yes</v>
      </c>
    </row>
    <row r="647" spans="1:14" x14ac:dyDescent="0.3">
      <c r="A647" s="4" t="s">
        <v>1311</v>
      </c>
      <c r="B647" s="4" t="s">
        <v>1312</v>
      </c>
      <c r="C647" s="4" t="s">
        <v>14</v>
      </c>
      <c r="D647" s="5">
        <v>45762</v>
      </c>
      <c r="E647" s="5">
        <v>45765</v>
      </c>
      <c r="F647" s="5">
        <v>45781</v>
      </c>
      <c r="G647" s="4" t="s">
        <v>22</v>
      </c>
      <c r="H647" s="4">
        <v>34</v>
      </c>
      <c r="I647" s="2">
        <v>34</v>
      </c>
      <c r="J647">
        <f t="shared" si="50"/>
        <v>19</v>
      </c>
      <c r="K647">
        <f t="shared" si="51"/>
        <v>16</v>
      </c>
      <c r="L647" t="str">
        <f t="shared" si="52"/>
        <v>No</v>
      </c>
      <c r="M647" t="str">
        <f t="shared" si="54"/>
        <v>Yes</v>
      </c>
      <c r="N647" t="str">
        <f t="shared" si="53"/>
        <v>No</v>
      </c>
    </row>
    <row r="648" spans="1:14" x14ac:dyDescent="0.3">
      <c r="A648" s="2" t="s">
        <v>1313</v>
      </c>
      <c r="B648" s="2" t="s">
        <v>1314</v>
      </c>
      <c r="C648" s="2" t="s">
        <v>21</v>
      </c>
      <c r="D648" s="3">
        <v>45761</v>
      </c>
      <c r="E648" s="3">
        <v>45766</v>
      </c>
      <c r="F648" s="3">
        <v>45767</v>
      </c>
      <c r="G648" s="2" t="s">
        <v>22</v>
      </c>
      <c r="H648" s="2">
        <v>35</v>
      </c>
      <c r="I648" s="2">
        <v>35</v>
      </c>
      <c r="J648">
        <f t="shared" si="50"/>
        <v>6</v>
      </c>
      <c r="K648">
        <f t="shared" si="51"/>
        <v>1</v>
      </c>
      <c r="L648" t="str">
        <f t="shared" si="52"/>
        <v>No</v>
      </c>
      <c r="M648" t="str">
        <f t="shared" si="54"/>
        <v>Yes</v>
      </c>
      <c r="N648" t="str">
        <f t="shared" si="53"/>
        <v>No</v>
      </c>
    </row>
    <row r="649" spans="1:14" x14ac:dyDescent="0.3">
      <c r="A649" s="4" t="s">
        <v>1315</v>
      </c>
      <c r="B649" s="4" t="s">
        <v>1316</v>
      </c>
      <c r="C649" s="4" t="s">
        <v>27</v>
      </c>
      <c r="D649" s="5">
        <v>45762</v>
      </c>
      <c r="E649" s="5">
        <v>45769</v>
      </c>
      <c r="F649" s="5">
        <v>45777</v>
      </c>
      <c r="G649" s="4" t="s">
        <v>40</v>
      </c>
      <c r="H649" s="4">
        <v>7</v>
      </c>
      <c r="I649" s="2">
        <v>7</v>
      </c>
      <c r="J649">
        <f t="shared" si="50"/>
        <v>15</v>
      </c>
      <c r="K649">
        <f t="shared" si="51"/>
        <v>8</v>
      </c>
      <c r="L649" t="str">
        <f t="shared" si="52"/>
        <v>No</v>
      </c>
      <c r="M649" t="str">
        <f t="shared" si="54"/>
        <v>Yes</v>
      </c>
      <c r="N649" t="str">
        <f t="shared" si="53"/>
        <v>No</v>
      </c>
    </row>
    <row r="650" spans="1:14" x14ac:dyDescent="0.3">
      <c r="A650" s="2" t="s">
        <v>1317</v>
      </c>
      <c r="B650" s="2" t="s">
        <v>1318</v>
      </c>
      <c r="C650" s="2" t="s">
        <v>10</v>
      </c>
      <c r="D650" s="3">
        <v>45761</v>
      </c>
      <c r="E650" s="3">
        <v>45764</v>
      </c>
      <c r="F650" s="3">
        <v>45766</v>
      </c>
      <c r="G650" s="2" t="s">
        <v>18</v>
      </c>
      <c r="H650" s="2">
        <v>26</v>
      </c>
      <c r="I650" s="2">
        <v>26</v>
      </c>
      <c r="J650">
        <f t="shared" si="50"/>
        <v>5</v>
      </c>
      <c r="K650">
        <f t="shared" si="51"/>
        <v>2</v>
      </c>
      <c r="L650" t="str">
        <f t="shared" si="52"/>
        <v>No</v>
      </c>
      <c r="M650" t="str">
        <f t="shared" si="54"/>
        <v>Yes</v>
      </c>
      <c r="N650" t="str">
        <f t="shared" si="53"/>
        <v>No</v>
      </c>
    </row>
    <row r="651" spans="1:14" x14ac:dyDescent="0.3">
      <c r="A651" s="4" t="s">
        <v>1319</v>
      </c>
      <c r="B651" s="4" t="s">
        <v>1320</v>
      </c>
      <c r="C651" s="4" t="s">
        <v>14</v>
      </c>
      <c r="D651" s="5">
        <v>45761</v>
      </c>
      <c r="E651" s="5">
        <v>45768</v>
      </c>
      <c r="F651" s="5">
        <v>45777</v>
      </c>
      <c r="G651" s="4" t="s">
        <v>40</v>
      </c>
      <c r="H651" s="4">
        <v>18</v>
      </c>
      <c r="I651" s="2">
        <v>18</v>
      </c>
      <c r="J651">
        <f t="shared" si="50"/>
        <v>16</v>
      </c>
      <c r="K651">
        <f t="shared" si="51"/>
        <v>9</v>
      </c>
      <c r="L651" t="str">
        <f t="shared" si="52"/>
        <v>No</v>
      </c>
      <c r="M651" t="str">
        <f t="shared" si="54"/>
        <v>Yes</v>
      </c>
      <c r="N651" t="str">
        <f t="shared" si="53"/>
        <v>No</v>
      </c>
    </row>
    <row r="652" spans="1:14" x14ac:dyDescent="0.3">
      <c r="A652" s="2" t="s">
        <v>1321</v>
      </c>
      <c r="B652" s="2" t="s">
        <v>1322</v>
      </c>
      <c r="C652" s="2" t="s">
        <v>21</v>
      </c>
      <c r="D652" s="3">
        <v>45763</v>
      </c>
      <c r="E652" s="3">
        <v>45768</v>
      </c>
      <c r="F652" s="3">
        <v>45768</v>
      </c>
      <c r="G652" s="2" t="s">
        <v>40</v>
      </c>
      <c r="H652" s="2">
        <v>44</v>
      </c>
      <c r="I652" s="2">
        <v>44</v>
      </c>
      <c r="J652">
        <f t="shared" si="50"/>
        <v>5</v>
      </c>
      <c r="K652">
        <f t="shared" si="51"/>
        <v>0</v>
      </c>
      <c r="L652" t="str">
        <f t="shared" si="52"/>
        <v>Yes</v>
      </c>
      <c r="M652" t="str">
        <f t="shared" si="54"/>
        <v>Yes</v>
      </c>
      <c r="N652" t="str">
        <f t="shared" si="53"/>
        <v>Yes</v>
      </c>
    </row>
    <row r="653" spans="1:14" x14ac:dyDescent="0.3">
      <c r="A653" s="4" t="s">
        <v>1323</v>
      </c>
      <c r="B653" s="4" t="s">
        <v>1324</v>
      </c>
      <c r="C653" s="4" t="s">
        <v>37</v>
      </c>
      <c r="D653" s="5">
        <v>45763</v>
      </c>
      <c r="E653" s="5">
        <v>45765</v>
      </c>
      <c r="F653" s="5">
        <v>45776</v>
      </c>
      <c r="G653" s="4" t="s">
        <v>11</v>
      </c>
      <c r="H653" s="4">
        <v>24</v>
      </c>
      <c r="I653" s="2">
        <v>25</v>
      </c>
      <c r="J653">
        <f t="shared" si="50"/>
        <v>13</v>
      </c>
      <c r="K653">
        <f t="shared" si="51"/>
        <v>11</v>
      </c>
      <c r="L653" t="str">
        <f t="shared" si="52"/>
        <v>No</v>
      </c>
      <c r="M653" t="str">
        <f t="shared" si="54"/>
        <v>No</v>
      </c>
      <c r="N653" t="str">
        <f t="shared" si="53"/>
        <v>No</v>
      </c>
    </row>
    <row r="654" spans="1:14" x14ac:dyDescent="0.3">
      <c r="A654" s="2" t="s">
        <v>1325</v>
      </c>
      <c r="B654" s="2" t="s">
        <v>1326</v>
      </c>
      <c r="C654" s="2" t="s">
        <v>72</v>
      </c>
      <c r="D654" s="3">
        <v>45764</v>
      </c>
      <c r="E654" s="3">
        <v>45765</v>
      </c>
      <c r="F654" s="3">
        <v>45778</v>
      </c>
      <c r="G654" s="2" t="s">
        <v>15</v>
      </c>
      <c r="H654" s="2">
        <v>17</v>
      </c>
      <c r="I654" s="2">
        <v>17</v>
      </c>
      <c r="J654">
        <f t="shared" si="50"/>
        <v>14</v>
      </c>
      <c r="K654">
        <f t="shared" si="51"/>
        <v>13</v>
      </c>
      <c r="L654" t="str">
        <f t="shared" si="52"/>
        <v>No</v>
      </c>
      <c r="M654" t="str">
        <f t="shared" si="54"/>
        <v>Yes</v>
      </c>
      <c r="N654" t="str">
        <f t="shared" si="53"/>
        <v>No</v>
      </c>
    </row>
    <row r="655" spans="1:14" x14ac:dyDescent="0.3">
      <c r="A655" s="4" t="s">
        <v>1327</v>
      </c>
      <c r="B655" s="4" t="s">
        <v>1328</v>
      </c>
      <c r="C655" s="4" t="s">
        <v>21</v>
      </c>
      <c r="D655" s="5">
        <v>45763</v>
      </c>
      <c r="E655" s="5">
        <v>45769</v>
      </c>
      <c r="F655" s="5">
        <v>45773</v>
      </c>
      <c r="G655" s="4" t="s">
        <v>22</v>
      </c>
      <c r="H655" s="4">
        <v>49</v>
      </c>
      <c r="I655" s="2">
        <v>49</v>
      </c>
      <c r="J655">
        <f t="shared" si="50"/>
        <v>10</v>
      </c>
      <c r="K655">
        <f t="shared" si="51"/>
        <v>4</v>
      </c>
      <c r="L655" t="str">
        <f t="shared" si="52"/>
        <v>No</v>
      </c>
      <c r="M655" t="str">
        <f t="shared" si="54"/>
        <v>Yes</v>
      </c>
      <c r="N655" t="str">
        <f t="shared" si="53"/>
        <v>No</v>
      </c>
    </row>
    <row r="656" spans="1:14" x14ac:dyDescent="0.3">
      <c r="A656" s="2" t="s">
        <v>1329</v>
      </c>
      <c r="B656" s="2" t="s">
        <v>1330</v>
      </c>
      <c r="C656" s="2" t="s">
        <v>27</v>
      </c>
      <c r="D656" s="3">
        <v>45762</v>
      </c>
      <c r="E656" s="3">
        <v>45766</v>
      </c>
      <c r="F656" s="3">
        <v>45777</v>
      </c>
      <c r="G656" s="2" t="s">
        <v>40</v>
      </c>
      <c r="H656" s="2">
        <v>31</v>
      </c>
      <c r="I656" s="2">
        <v>31</v>
      </c>
      <c r="J656">
        <f t="shared" si="50"/>
        <v>15</v>
      </c>
      <c r="K656">
        <f t="shared" si="51"/>
        <v>11</v>
      </c>
      <c r="L656" t="str">
        <f t="shared" si="52"/>
        <v>No</v>
      </c>
      <c r="M656" t="str">
        <f t="shared" si="54"/>
        <v>Yes</v>
      </c>
      <c r="N656" t="str">
        <f t="shared" si="53"/>
        <v>No</v>
      </c>
    </row>
    <row r="657" spans="1:14" x14ac:dyDescent="0.3">
      <c r="A657" s="4" t="s">
        <v>1331</v>
      </c>
      <c r="B657" s="4" t="s">
        <v>1332</v>
      </c>
      <c r="C657" s="4" t="s">
        <v>27</v>
      </c>
      <c r="D657" s="5">
        <v>45764</v>
      </c>
      <c r="E657" s="5">
        <v>45766</v>
      </c>
      <c r="F657" s="5">
        <v>45778</v>
      </c>
      <c r="G657" s="4" t="s">
        <v>11</v>
      </c>
      <c r="H657" s="4">
        <v>9</v>
      </c>
      <c r="I657" s="2">
        <v>9</v>
      </c>
      <c r="J657">
        <f t="shared" si="50"/>
        <v>14</v>
      </c>
      <c r="K657">
        <f t="shared" si="51"/>
        <v>12</v>
      </c>
      <c r="L657" t="str">
        <f t="shared" si="52"/>
        <v>No</v>
      </c>
      <c r="M657" t="str">
        <f t="shared" si="54"/>
        <v>Yes</v>
      </c>
      <c r="N657" t="str">
        <f t="shared" si="53"/>
        <v>No</v>
      </c>
    </row>
    <row r="658" spans="1:14" x14ac:dyDescent="0.3">
      <c r="A658" s="2" t="s">
        <v>1333</v>
      </c>
      <c r="B658" s="2" t="s">
        <v>1334</v>
      </c>
      <c r="C658" s="2" t="s">
        <v>27</v>
      </c>
      <c r="D658" s="3">
        <v>45763</v>
      </c>
      <c r="E658" s="3">
        <v>45769</v>
      </c>
      <c r="F658" s="3">
        <v>45776</v>
      </c>
      <c r="G658" s="2" t="s">
        <v>11</v>
      </c>
      <c r="H658" s="2">
        <v>28</v>
      </c>
      <c r="I658" s="2">
        <v>28</v>
      </c>
      <c r="J658">
        <f t="shared" si="50"/>
        <v>13</v>
      </c>
      <c r="K658">
        <f t="shared" si="51"/>
        <v>7</v>
      </c>
      <c r="L658" t="str">
        <f t="shared" si="52"/>
        <v>No</v>
      </c>
      <c r="M658" t="str">
        <f t="shared" si="54"/>
        <v>Yes</v>
      </c>
      <c r="N658" t="str">
        <f t="shared" si="53"/>
        <v>No</v>
      </c>
    </row>
    <row r="659" spans="1:14" x14ac:dyDescent="0.3">
      <c r="A659" s="4" t="s">
        <v>1335</v>
      </c>
      <c r="B659" s="4" t="s">
        <v>1336</v>
      </c>
      <c r="C659" s="4" t="s">
        <v>27</v>
      </c>
      <c r="D659" s="5">
        <v>45765</v>
      </c>
      <c r="E659" s="5">
        <v>45771</v>
      </c>
      <c r="F659" s="5">
        <v>45777</v>
      </c>
      <c r="G659" s="4" t="s">
        <v>15</v>
      </c>
      <c r="H659" s="4">
        <v>9</v>
      </c>
      <c r="I659" s="2">
        <v>9</v>
      </c>
      <c r="J659">
        <f t="shared" si="50"/>
        <v>12</v>
      </c>
      <c r="K659">
        <f t="shared" si="51"/>
        <v>6</v>
      </c>
      <c r="L659" t="str">
        <f t="shared" si="52"/>
        <v>No</v>
      </c>
      <c r="M659" t="str">
        <f t="shared" si="54"/>
        <v>Yes</v>
      </c>
      <c r="N659" t="str">
        <f t="shared" si="53"/>
        <v>No</v>
      </c>
    </row>
    <row r="660" spans="1:14" x14ac:dyDescent="0.3">
      <c r="A660" s="2" t="s">
        <v>1337</v>
      </c>
      <c r="B660" s="2" t="s">
        <v>1338</v>
      </c>
      <c r="C660" s="2" t="s">
        <v>34</v>
      </c>
      <c r="D660" s="3">
        <v>45764</v>
      </c>
      <c r="E660" s="3">
        <v>45772</v>
      </c>
      <c r="F660" s="3">
        <v>45773</v>
      </c>
      <c r="G660" s="2" t="s">
        <v>40</v>
      </c>
      <c r="H660" s="2">
        <v>16</v>
      </c>
      <c r="I660" s="2">
        <v>16</v>
      </c>
      <c r="J660">
        <f t="shared" si="50"/>
        <v>9</v>
      </c>
      <c r="K660">
        <f t="shared" si="51"/>
        <v>1</v>
      </c>
      <c r="L660" t="str">
        <f t="shared" si="52"/>
        <v>No</v>
      </c>
      <c r="M660" t="str">
        <f t="shared" si="54"/>
        <v>Yes</v>
      </c>
      <c r="N660" t="str">
        <f t="shared" si="53"/>
        <v>No</v>
      </c>
    </row>
    <row r="661" spans="1:14" x14ac:dyDescent="0.3">
      <c r="A661" s="4" t="s">
        <v>1339</v>
      </c>
      <c r="B661" s="4" t="s">
        <v>1340</v>
      </c>
      <c r="C661" s="4" t="s">
        <v>10</v>
      </c>
      <c r="D661" s="5">
        <v>45766</v>
      </c>
      <c r="E661" s="5">
        <v>45771</v>
      </c>
      <c r="F661" s="5">
        <v>45771</v>
      </c>
      <c r="G661" s="4" t="s">
        <v>11</v>
      </c>
      <c r="H661" s="4">
        <v>18</v>
      </c>
      <c r="I661" s="2">
        <v>18</v>
      </c>
      <c r="J661">
        <f t="shared" si="50"/>
        <v>5</v>
      </c>
      <c r="K661">
        <f t="shared" si="51"/>
        <v>0</v>
      </c>
      <c r="L661" t="str">
        <f t="shared" si="52"/>
        <v>Yes</v>
      </c>
      <c r="M661" t="str">
        <f t="shared" si="54"/>
        <v>Yes</v>
      </c>
      <c r="N661" t="str">
        <f t="shared" si="53"/>
        <v>Yes</v>
      </c>
    </row>
    <row r="662" spans="1:14" x14ac:dyDescent="0.3">
      <c r="A662" s="2" t="s">
        <v>1341</v>
      </c>
      <c r="B662" s="2" t="s">
        <v>1342</v>
      </c>
      <c r="C662" s="2" t="s">
        <v>72</v>
      </c>
      <c r="D662" s="3">
        <v>45764</v>
      </c>
      <c r="E662" s="3">
        <v>45770</v>
      </c>
      <c r="F662" s="3">
        <v>45778</v>
      </c>
      <c r="G662" s="2" t="s">
        <v>40</v>
      </c>
      <c r="H662" s="2">
        <v>13</v>
      </c>
      <c r="I662" s="2">
        <v>13</v>
      </c>
      <c r="J662">
        <f t="shared" si="50"/>
        <v>14</v>
      </c>
      <c r="K662">
        <f t="shared" si="51"/>
        <v>8</v>
      </c>
      <c r="L662" t="str">
        <f t="shared" si="52"/>
        <v>No</v>
      </c>
      <c r="M662" t="str">
        <f t="shared" si="54"/>
        <v>Yes</v>
      </c>
      <c r="N662" t="str">
        <f t="shared" si="53"/>
        <v>No</v>
      </c>
    </row>
    <row r="663" spans="1:14" x14ac:dyDescent="0.3">
      <c r="A663" s="4" t="s">
        <v>1343</v>
      </c>
      <c r="B663" s="4" t="s">
        <v>1344</v>
      </c>
      <c r="C663" s="4" t="s">
        <v>14</v>
      </c>
      <c r="D663" s="5">
        <v>45764</v>
      </c>
      <c r="E663" s="5">
        <v>45768</v>
      </c>
      <c r="F663" s="5">
        <v>45779</v>
      </c>
      <c r="G663" s="4" t="s">
        <v>22</v>
      </c>
      <c r="H663" s="4">
        <v>6</v>
      </c>
      <c r="I663" s="2">
        <v>6</v>
      </c>
      <c r="J663">
        <f t="shared" si="50"/>
        <v>15</v>
      </c>
      <c r="K663">
        <f t="shared" si="51"/>
        <v>11</v>
      </c>
      <c r="L663" t="str">
        <f t="shared" si="52"/>
        <v>No</v>
      </c>
      <c r="M663" t="str">
        <f t="shared" si="54"/>
        <v>Yes</v>
      </c>
      <c r="N663" t="str">
        <f t="shared" si="53"/>
        <v>No</v>
      </c>
    </row>
    <row r="664" spans="1:14" x14ac:dyDescent="0.3">
      <c r="A664" s="2" t="s">
        <v>1345</v>
      </c>
      <c r="B664" s="2" t="s">
        <v>1346</v>
      </c>
      <c r="C664" s="2" t="s">
        <v>27</v>
      </c>
      <c r="D664" s="3">
        <v>45765</v>
      </c>
      <c r="E664" s="3">
        <v>45774</v>
      </c>
      <c r="F664" s="3">
        <v>45778</v>
      </c>
      <c r="G664" s="2" t="s">
        <v>15</v>
      </c>
      <c r="H664" s="2">
        <v>4</v>
      </c>
      <c r="I664" s="2">
        <v>4</v>
      </c>
      <c r="J664">
        <f t="shared" si="50"/>
        <v>13</v>
      </c>
      <c r="K664">
        <f t="shared" si="51"/>
        <v>4</v>
      </c>
      <c r="L664" t="str">
        <f t="shared" si="52"/>
        <v>No</v>
      </c>
      <c r="M664" t="str">
        <f t="shared" si="54"/>
        <v>Yes</v>
      </c>
      <c r="N664" t="str">
        <f t="shared" si="53"/>
        <v>No</v>
      </c>
    </row>
    <row r="665" spans="1:14" x14ac:dyDescent="0.3">
      <c r="A665" s="4" t="s">
        <v>1347</v>
      </c>
      <c r="B665" s="4" t="s">
        <v>1348</v>
      </c>
      <c r="C665" s="4" t="s">
        <v>10</v>
      </c>
      <c r="D665" s="5">
        <v>45767</v>
      </c>
      <c r="E665" s="5">
        <v>45771</v>
      </c>
      <c r="F665" s="5">
        <v>45772</v>
      </c>
      <c r="G665" s="4" t="s">
        <v>18</v>
      </c>
      <c r="H665" s="4">
        <v>14</v>
      </c>
      <c r="I665" s="2">
        <v>14</v>
      </c>
      <c r="J665">
        <f t="shared" si="50"/>
        <v>5</v>
      </c>
      <c r="K665">
        <f t="shared" si="51"/>
        <v>1</v>
      </c>
      <c r="L665" t="str">
        <f t="shared" si="52"/>
        <v>No</v>
      </c>
      <c r="M665" t="str">
        <f t="shared" si="54"/>
        <v>Yes</v>
      </c>
      <c r="N665" t="str">
        <f t="shared" si="53"/>
        <v>No</v>
      </c>
    </row>
    <row r="666" spans="1:14" x14ac:dyDescent="0.3">
      <c r="A666" s="2" t="s">
        <v>1349</v>
      </c>
      <c r="B666" s="2" t="s">
        <v>1350</v>
      </c>
      <c r="C666" s="2" t="s">
        <v>72</v>
      </c>
      <c r="D666" s="3">
        <v>45766</v>
      </c>
      <c r="E666" s="3">
        <v>45768</v>
      </c>
      <c r="F666" s="3">
        <v>45782</v>
      </c>
      <c r="G666" s="2" t="s">
        <v>18</v>
      </c>
      <c r="H666" s="2">
        <v>29</v>
      </c>
      <c r="I666" s="2">
        <v>30</v>
      </c>
      <c r="J666">
        <f t="shared" si="50"/>
        <v>16</v>
      </c>
      <c r="K666">
        <f t="shared" si="51"/>
        <v>14</v>
      </c>
      <c r="L666" t="str">
        <f t="shared" si="52"/>
        <v>No</v>
      </c>
      <c r="M666" t="str">
        <f t="shared" si="54"/>
        <v>No</v>
      </c>
      <c r="N666" t="str">
        <f t="shared" si="53"/>
        <v>No</v>
      </c>
    </row>
    <row r="667" spans="1:14" x14ac:dyDescent="0.3">
      <c r="A667" s="4" t="s">
        <v>1351</v>
      </c>
      <c r="B667" s="4" t="s">
        <v>1352</v>
      </c>
      <c r="C667" s="4" t="s">
        <v>72</v>
      </c>
      <c r="D667" s="5">
        <v>45767</v>
      </c>
      <c r="E667" s="5">
        <v>45770</v>
      </c>
      <c r="F667" s="5">
        <v>45783</v>
      </c>
      <c r="G667" s="4" t="s">
        <v>18</v>
      </c>
      <c r="H667" s="4">
        <v>8</v>
      </c>
      <c r="I667" s="2">
        <v>8</v>
      </c>
      <c r="J667">
        <f t="shared" si="50"/>
        <v>16</v>
      </c>
      <c r="K667">
        <f t="shared" si="51"/>
        <v>13</v>
      </c>
      <c r="L667" t="str">
        <f t="shared" si="52"/>
        <v>No</v>
      </c>
      <c r="M667" t="str">
        <f t="shared" si="54"/>
        <v>Yes</v>
      </c>
      <c r="N667" t="str">
        <f t="shared" si="53"/>
        <v>No</v>
      </c>
    </row>
    <row r="668" spans="1:14" x14ac:dyDescent="0.3">
      <c r="A668" s="2" t="s">
        <v>1353</v>
      </c>
      <c r="B668" s="2" t="s">
        <v>1354</v>
      </c>
      <c r="C668" s="2" t="s">
        <v>21</v>
      </c>
      <c r="D668" s="3">
        <v>45765</v>
      </c>
      <c r="E668" s="3">
        <v>45773</v>
      </c>
      <c r="F668" s="3">
        <v>45773</v>
      </c>
      <c r="G668" s="2" t="s">
        <v>11</v>
      </c>
      <c r="H668" s="2">
        <v>42</v>
      </c>
      <c r="I668" s="2">
        <v>42</v>
      </c>
      <c r="J668">
        <f t="shared" si="50"/>
        <v>8</v>
      </c>
      <c r="K668">
        <f t="shared" si="51"/>
        <v>0</v>
      </c>
      <c r="L668" t="str">
        <f t="shared" si="52"/>
        <v>Yes</v>
      </c>
      <c r="M668" t="str">
        <f t="shared" si="54"/>
        <v>Yes</v>
      </c>
      <c r="N668" t="str">
        <f t="shared" si="53"/>
        <v>Yes</v>
      </c>
    </row>
    <row r="669" spans="1:14" x14ac:dyDescent="0.3">
      <c r="A669" s="4" t="s">
        <v>1355</v>
      </c>
      <c r="B669" s="4" t="s">
        <v>1356</v>
      </c>
      <c r="C669" s="4" t="s">
        <v>21</v>
      </c>
      <c r="D669" s="5">
        <v>45767</v>
      </c>
      <c r="E669" s="5">
        <v>45772</v>
      </c>
      <c r="F669" s="5">
        <v>45774</v>
      </c>
      <c r="G669" s="4" t="s">
        <v>15</v>
      </c>
      <c r="H669" s="4">
        <v>55</v>
      </c>
      <c r="I669" s="2">
        <v>55</v>
      </c>
      <c r="J669">
        <f t="shared" si="50"/>
        <v>7</v>
      </c>
      <c r="K669">
        <f t="shared" si="51"/>
        <v>2</v>
      </c>
      <c r="L669" t="str">
        <f t="shared" si="52"/>
        <v>No</v>
      </c>
      <c r="M669" t="str">
        <f t="shared" si="54"/>
        <v>Yes</v>
      </c>
      <c r="N669" t="str">
        <f t="shared" si="53"/>
        <v>No</v>
      </c>
    </row>
    <row r="670" spans="1:14" x14ac:dyDescent="0.3">
      <c r="A670" s="2" t="s">
        <v>1357</v>
      </c>
      <c r="B670" s="2" t="s">
        <v>1358</v>
      </c>
      <c r="C670" s="2" t="s">
        <v>27</v>
      </c>
      <c r="D670" s="3">
        <v>45765</v>
      </c>
      <c r="E670" s="3">
        <v>45773</v>
      </c>
      <c r="F670" s="3">
        <v>45778</v>
      </c>
      <c r="G670" s="2" t="s">
        <v>40</v>
      </c>
      <c r="H670" s="2">
        <v>5</v>
      </c>
      <c r="I670" s="2">
        <v>5</v>
      </c>
      <c r="J670">
        <f t="shared" si="50"/>
        <v>13</v>
      </c>
      <c r="K670">
        <f t="shared" si="51"/>
        <v>5</v>
      </c>
      <c r="L670" t="str">
        <f t="shared" si="52"/>
        <v>No</v>
      </c>
      <c r="M670" t="str">
        <f t="shared" si="54"/>
        <v>Yes</v>
      </c>
      <c r="N670" t="str">
        <f t="shared" si="53"/>
        <v>No</v>
      </c>
    </row>
    <row r="671" spans="1:14" x14ac:dyDescent="0.3">
      <c r="A671" s="4" t="s">
        <v>1359</v>
      </c>
      <c r="B671" s="4" t="s">
        <v>1360</v>
      </c>
      <c r="C671" s="4" t="s">
        <v>27</v>
      </c>
      <c r="D671" s="5">
        <v>45767</v>
      </c>
      <c r="E671" s="5">
        <v>45770</v>
      </c>
      <c r="F671" s="5">
        <v>45780</v>
      </c>
      <c r="G671" s="4" t="s">
        <v>40</v>
      </c>
      <c r="H671" s="4">
        <v>9</v>
      </c>
      <c r="I671" s="2">
        <v>9</v>
      </c>
      <c r="J671">
        <f t="shared" si="50"/>
        <v>13</v>
      </c>
      <c r="K671">
        <f t="shared" si="51"/>
        <v>10</v>
      </c>
      <c r="L671" t="str">
        <f t="shared" si="52"/>
        <v>No</v>
      </c>
      <c r="M671" t="str">
        <f t="shared" si="54"/>
        <v>Yes</v>
      </c>
      <c r="N671" t="str">
        <f t="shared" si="53"/>
        <v>No</v>
      </c>
    </row>
    <row r="672" spans="1:14" x14ac:dyDescent="0.3">
      <c r="A672" s="2" t="s">
        <v>1361</v>
      </c>
      <c r="B672" s="2" t="s">
        <v>1362</v>
      </c>
      <c r="C672" s="2" t="s">
        <v>14</v>
      </c>
      <c r="D672" s="3">
        <v>45768</v>
      </c>
      <c r="E672" s="3">
        <v>45776</v>
      </c>
      <c r="F672" s="3">
        <v>45782</v>
      </c>
      <c r="G672" s="2" t="s">
        <v>40</v>
      </c>
      <c r="H672" s="2">
        <v>47</v>
      </c>
      <c r="I672" s="2">
        <v>47</v>
      </c>
      <c r="J672">
        <f t="shared" si="50"/>
        <v>14</v>
      </c>
      <c r="K672">
        <f t="shared" si="51"/>
        <v>6</v>
      </c>
      <c r="L672" t="str">
        <f t="shared" si="52"/>
        <v>No</v>
      </c>
      <c r="M672" t="str">
        <f t="shared" si="54"/>
        <v>Yes</v>
      </c>
      <c r="N672" t="str">
        <f t="shared" si="53"/>
        <v>No</v>
      </c>
    </row>
    <row r="673" spans="1:14" x14ac:dyDescent="0.3">
      <c r="A673" s="4" t="s">
        <v>1363</v>
      </c>
      <c r="B673" s="4" t="s">
        <v>1364</v>
      </c>
      <c r="C673" s="4" t="s">
        <v>59</v>
      </c>
      <c r="D673" s="5">
        <v>45766</v>
      </c>
      <c r="E673" s="5">
        <v>45771</v>
      </c>
      <c r="F673" s="5">
        <v>45770</v>
      </c>
      <c r="G673" s="4" t="s">
        <v>22</v>
      </c>
      <c r="H673" s="4">
        <v>9</v>
      </c>
      <c r="I673" s="2">
        <v>9</v>
      </c>
      <c r="J673">
        <f t="shared" si="50"/>
        <v>4</v>
      </c>
      <c r="K673">
        <f t="shared" si="51"/>
        <v>-1</v>
      </c>
      <c r="L673" t="str">
        <f t="shared" si="52"/>
        <v>Yes</v>
      </c>
      <c r="M673" t="str">
        <f t="shared" si="54"/>
        <v>Yes</v>
      </c>
      <c r="N673" t="str">
        <f t="shared" si="53"/>
        <v>Yes</v>
      </c>
    </row>
    <row r="674" spans="1:14" x14ac:dyDescent="0.3">
      <c r="A674" s="2" t="s">
        <v>1365</v>
      </c>
      <c r="B674" s="2" t="s">
        <v>1366</v>
      </c>
      <c r="C674" s="2" t="s">
        <v>21</v>
      </c>
      <c r="D674" s="3">
        <v>45766</v>
      </c>
      <c r="E674" s="3">
        <v>45775</v>
      </c>
      <c r="F674" s="3">
        <v>45771</v>
      </c>
      <c r="G674" s="2" t="s">
        <v>11</v>
      </c>
      <c r="H674" s="2">
        <v>22</v>
      </c>
      <c r="I674" s="2">
        <v>22</v>
      </c>
      <c r="J674">
        <f t="shared" si="50"/>
        <v>5</v>
      </c>
      <c r="K674">
        <f t="shared" si="51"/>
        <v>-4</v>
      </c>
      <c r="L674" t="str">
        <f t="shared" si="52"/>
        <v>Yes</v>
      </c>
      <c r="M674" t="str">
        <f t="shared" si="54"/>
        <v>Yes</v>
      </c>
      <c r="N674" t="str">
        <f t="shared" si="53"/>
        <v>Yes</v>
      </c>
    </row>
    <row r="675" spans="1:14" x14ac:dyDescent="0.3">
      <c r="A675" s="4" t="s">
        <v>1367</v>
      </c>
      <c r="B675" s="4" t="s">
        <v>1368</v>
      </c>
      <c r="C675" s="4" t="s">
        <v>21</v>
      </c>
      <c r="D675" s="5">
        <v>45767</v>
      </c>
      <c r="E675" s="5">
        <v>45773</v>
      </c>
      <c r="F675" s="5">
        <v>45772</v>
      </c>
      <c r="G675" s="4" t="s">
        <v>11</v>
      </c>
      <c r="H675" s="4">
        <v>21</v>
      </c>
      <c r="I675" s="2">
        <v>21</v>
      </c>
      <c r="J675">
        <f t="shared" si="50"/>
        <v>5</v>
      </c>
      <c r="K675">
        <f t="shared" si="51"/>
        <v>-1</v>
      </c>
      <c r="L675" t="str">
        <f t="shared" si="52"/>
        <v>Yes</v>
      </c>
      <c r="M675" t="str">
        <f t="shared" si="54"/>
        <v>Yes</v>
      </c>
      <c r="N675" t="str">
        <f t="shared" si="53"/>
        <v>Yes</v>
      </c>
    </row>
    <row r="676" spans="1:14" x14ac:dyDescent="0.3">
      <c r="A676" s="2" t="s">
        <v>1369</v>
      </c>
      <c r="B676" s="2" t="s">
        <v>1370</v>
      </c>
      <c r="C676" s="2" t="s">
        <v>27</v>
      </c>
      <c r="D676" s="3">
        <v>45767</v>
      </c>
      <c r="E676" s="3">
        <v>45773</v>
      </c>
      <c r="F676" s="3">
        <v>45784</v>
      </c>
      <c r="G676" s="2" t="s">
        <v>18</v>
      </c>
      <c r="H676" s="2">
        <v>21</v>
      </c>
      <c r="I676" s="2">
        <v>21</v>
      </c>
      <c r="J676">
        <f t="shared" si="50"/>
        <v>17</v>
      </c>
      <c r="K676">
        <f t="shared" si="51"/>
        <v>11</v>
      </c>
      <c r="L676" t="str">
        <f t="shared" si="52"/>
        <v>No</v>
      </c>
      <c r="M676" t="str">
        <f t="shared" si="54"/>
        <v>Yes</v>
      </c>
      <c r="N676" t="str">
        <f t="shared" si="53"/>
        <v>No</v>
      </c>
    </row>
    <row r="677" spans="1:14" x14ac:dyDescent="0.3">
      <c r="A677" s="4" t="s">
        <v>1371</v>
      </c>
      <c r="B677" s="4" t="s">
        <v>1372</v>
      </c>
      <c r="C677" s="4" t="s">
        <v>27</v>
      </c>
      <c r="D677" s="5">
        <v>45767</v>
      </c>
      <c r="E677" s="5">
        <v>45774</v>
      </c>
      <c r="F677" s="5">
        <v>45780</v>
      </c>
      <c r="G677" s="4" t="s">
        <v>15</v>
      </c>
      <c r="H677" s="4">
        <v>8</v>
      </c>
      <c r="I677" s="2">
        <v>8</v>
      </c>
      <c r="J677">
        <f t="shared" si="50"/>
        <v>13</v>
      </c>
      <c r="K677">
        <f t="shared" si="51"/>
        <v>6</v>
      </c>
      <c r="L677" t="str">
        <f t="shared" si="52"/>
        <v>No</v>
      </c>
      <c r="M677" t="str">
        <f t="shared" si="54"/>
        <v>Yes</v>
      </c>
      <c r="N677" t="str">
        <f t="shared" si="53"/>
        <v>No</v>
      </c>
    </row>
    <row r="678" spans="1:14" x14ac:dyDescent="0.3">
      <c r="A678" s="2" t="s">
        <v>1373</v>
      </c>
      <c r="B678" s="2" t="s">
        <v>1374</v>
      </c>
      <c r="C678" s="2" t="s">
        <v>72</v>
      </c>
      <c r="D678" s="3">
        <v>45769</v>
      </c>
      <c r="E678" s="3">
        <v>45777</v>
      </c>
      <c r="F678" s="3">
        <v>45787</v>
      </c>
      <c r="G678" s="2" t="s">
        <v>11</v>
      </c>
      <c r="H678" s="2">
        <v>11</v>
      </c>
      <c r="I678" s="2">
        <v>11</v>
      </c>
      <c r="J678">
        <f t="shared" si="50"/>
        <v>18</v>
      </c>
      <c r="K678">
        <f t="shared" si="51"/>
        <v>10</v>
      </c>
      <c r="L678" t="str">
        <f t="shared" si="52"/>
        <v>No</v>
      </c>
      <c r="M678" t="str">
        <f t="shared" si="54"/>
        <v>Yes</v>
      </c>
      <c r="N678" t="str">
        <f t="shared" si="53"/>
        <v>No</v>
      </c>
    </row>
    <row r="679" spans="1:14" x14ac:dyDescent="0.3">
      <c r="A679" s="4" t="s">
        <v>1375</v>
      </c>
      <c r="B679" s="4" t="s">
        <v>1376</v>
      </c>
      <c r="C679" s="4" t="s">
        <v>21</v>
      </c>
      <c r="D679" s="5">
        <v>45768</v>
      </c>
      <c r="E679" s="5">
        <v>45776</v>
      </c>
      <c r="F679" s="5">
        <v>45774</v>
      </c>
      <c r="G679" s="4" t="s">
        <v>18</v>
      </c>
      <c r="H679" s="4">
        <v>53</v>
      </c>
      <c r="I679" s="2">
        <v>53</v>
      </c>
      <c r="J679">
        <f t="shared" si="50"/>
        <v>6</v>
      </c>
      <c r="K679">
        <f t="shared" si="51"/>
        <v>-2</v>
      </c>
      <c r="L679" t="str">
        <f t="shared" si="52"/>
        <v>Yes</v>
      </c>
      <c r="M679" t="str">
        <f t="shared" si="54"/>
        <v>Yes</v>
      </c>
      <c r="N679" t="str">
        <f t="shared" si="53"/>
        <v>Yes</v>
      </c>
    </row>
    <row r="680" spans="1:14" x14ac:dyDescent="0.3">
      <c r="A680" s="2" t="s">
        <v>1377</v>
      </c>
      <c r="B680" s="2" t="s">
        <v>1378</v>
      </c>
      <c r="C680" s="2" t="s">
        <v>21</v>
      </c>
      <c r="D680" s="3">
        <v>45768</v>
      </c>
      <c r="E680" s="3">
        <v>45774</v>
      </c>
      <c r="F680" s="3">
        <v>45774</v>
      </c>
      <c r="G680" s="2" t="s">
        <v>18</v>
      </c>
      <c r="H680" s="2">
        <v>27</v>
      </c>
      <c r="I680" s="2">
        <v>27</v>
      </c>
      <c r="J680">
        <f t="shared" si="50"/>
        <v>6</v>
      </c>
      <c r="K680">
        <f t="shared" si="51"/>
        <v>0</v>
      </c>
      <c r="L680" t="str">
        <f t="shared" si="52"/>
        <v>Yes</v>
      </c>
      <c r="M680" t="str">
        <f t="shared" si="54"/>
        <v>Yes</v>
      </c>
      <c r="N680" t="str">
        <f t="shared" si="53"/>
        <v>Yes</v>
      </c>
    </row>
    <row r="681" spans="1:14" x14ac:dyDescent="0.3">
      <c r="A681" s="4" t="s">
        <v>1379</v>
      </c>
      <c r="B681" s="4" t="s">
        <v>1380</v>
      </c>
      <c r="C681" s="4" t="s">
        <v>27</v>
      </c>
      <c r="D681" s="5">
        <v>45767</v>
      </c>
      <c r="E681" s="5">
        <v>45777</v>
      </c>
      <c r="F681" s="5">
        <v>45780</v>
      </c>
      <c r="G681" s="4" t="s">
        <v>11</v>
      </c>
      <c r="H681" s="4">
        <v>8</v>
      </c>
      <c r="I681" s="2">
        <v>8</v>
      </c>
      <c r="J681">
        <f t="shared" si="50"/>
        <v>13</v>
      </c>
      <c r="K681">
        <f t="shared" si="51"/>
        <v>3</v>
      </c>
      <c r="L681" t="str">
        <f t="shared" si="52"/>
        <v>No</v>
      </c>
      <c r="M681" t="str">
        <f t="shared" si="54"/>
        <v>Yes</v>
      </c>
      <c r="N681" t="str">
        <f t="shared" si="53"/>
        <v>No</v>
      </c>
    </row>
    <row r="682" spans="1:14" x14ac:dyDescent="0.3">
      <c r="A682" s="2" t="s">
        <v>1381</v>
      </c>
      <c r="B682" s="2" t="s">
        <v>1382</v>
      </c>
      <c r="C682" s="2" t="s">
        <v>37</v>
      </c>
      <c r="D682" s="3">
        <v>45768</v>
      </c>
      <c r="E682" s="3">
        <v>45774</v>
      </c>
      <c r="F682" s="3">
        <v>45781</v>
      </c>
      <c r="G682" s="2" t="s">
        <v>11</v>
      </c>
      <c r="H682" s="2">
        <v>39</v>
      </c>
      <c r="I682" s="2">
        <v>39</v>
      </c>
      <c r="J682">
        <f t="shared" si="50"/>
        <v>13</v>
      </c>
      <c r="K682">
        <f t="shared" si="51"/>
        <v>7</v>
      </c>
      <c r="L682" t="str">
        <f t="shared" si="52"/>
        <v>No</v>
      </c>
      <c r="M682" t="str">
        <f t="shared" si="54"/>
        <v>Yes</v>
      </c>
      <c r="N682" t="str">
        <f t="shared" si="53"/>
        <v>No</v>
      </c>
    </row>
    <row r="683" spans="1:14" x14ac:dyDescent="0.3">
      <c r="A683" s="4" t="s">
        <v>1383</v>
      </c>
      <c r="B683" s="4" t="s">
        <v>1384</v>
      </c>
      <c r="C683" s="4" t="s">
        <v>10</v>
      </c>
      <c r="D683" s="5">
        <v>45770</v>
      </c>
      <c r="E683" s="5">
        <v>45773</v>
      </c>
      <c r="F683" s="5">
        <v>45777</v>
      </c>
      <c r="G683" s="4" t="s">
        <v>18</v>
      </c>
      <c r="H683" s="4">
        <v>12</v>
      </c>
      <c r="I683" s="2">
        <v>12</v>
      </c>
      <c r="J683">
        <f t="shared" si="50"/>
        <v>7</v>
      </c>
      <c r="K683">
        <f t="shared" si="51"/>
        <v>4</v>
      </c>
      <c r="L683" t="str">
        <f t="shared" si="52"/>
        <v>No</v>
      </c>
      <c r="M683" t="str">
        <f t="shared" si="54"/>
        <v>Yes</v>
      </c>
      <c r="N683" t="str">
        <f t="shared" si="53"/>
        <v>No</v>
      </c>
    </row>
    <row r="684" spans="1:14" x14ac:dyDescent="0.3">
      <c r="A684" s="2" t="s">
        <v>1385</v>
      </c>
      <c r="B684" s="2" t="s">
        <v>1386</v>
      </c>
      <c r="C684" s="2" t="s">
        <v>14</v>
      </c>
      <c r="D684" s="3">
        <v>45770</v>
      </c>
      <c r="E684" s="3">
        <v>45771</v>
      </c>
      <c r="F684" s="3">
        <v>45785</v>
      </c>
      <c r="G684" s="2" t="s">
        <v>11</v>
      </c>
      <c r="H684" s="2">
        <v>18</v>
      </c>
      <c r="I684" s="2">
        <v>18</v>
      </c>
      <c r="J684">
        <f t="shared" si="50"/>
        <v>15</v>
      </c>
      <c r="K684">
        <f t="shared" si="51"/>
        <v>14</v>
      </c>
      <c r="L684" t="str">
        <f t="shared" si="52"/>
        <v>No</v>
      </c>
      <c r="M684" t="str">
        <f t="shared" si="54"/>
        <v>Yes</v>
      </c>
      <c r="N684" t="str">
        <f t="shared" si="53"/>
        <v>No</v>
      </c>
    </row>
    <row r="685" spans="1:14" x14ac:dyDescent="0.3">
      <c r="A685" s="4" t="s">
        <v>1387</v>
      </c>
      <c r="B685" s="4" t="s">
        <v>1388</v>
      </c>
      <c r="C685" s="4" t="s">
        <v>21</v>
      </c>
      <c r="D685" s="5">
        <v>45769</v>
      </c>
      <c r="E685" s="5">
        <v>45773</v>
      </c>
      <c r="F685" s="5">
        <v>45776</v>
      </c>
      <c r="G685" s="4" t="s">
        <v>18</v>
      </c>
      <c r="H685" s="4">
        <v>26</v>
      </c>
      <c r="I685" s="2">
        <v>32</v>
      </c>
      <c r="J685">
        <f t="shared" si="50"/>
        <v>7</v>
      </c>
      <c r="K685">
        <f t="shared" si="51"/>
        <v>3</v>
      </c>
      <c r="L685" t="str">
        <f t="shared" si="52"/>
        <v>No</v>
      </c>
      <c r="M685" t="str">
        <f t="shared" si="54"/>
        <v>No</v>
      </c>
      <c r="N685" t="str">
        <f t="shared" si="53"/>
        <v>No</v>
      </c>
    </row>
    <row r="686" spans="1:14" x14ac:dyDescent="0.3">
      <c r="A686" s="2" t="s">
        <v>1389</v>
      </c>
      <c r="B686" s="2" t="s">
        <v>1390</v>
      </c>
      <c r="C686" s="2" t="s">
        <v>21</v>
      </c>
      <c r="D686" s="3">
        <v>45769</v>
      </c>
      <c r="E686" s="3">
        <v>45773</v>
      </c>
      <c r="F686" s="3">
        <v>45775</v>
      </c>
      <c r="G686" s="2" t="s">
        <v>40</v>
      </c>
      <c r="H686" s="2">
        <v>38</v>
      </c>
      <c r="I686" s="2">
        <v>38</v>
      </c>
      <c r="J686">
        <f t="shared" si="50"/>
        <v>6</v>
      </c>
      <c r="K686">
        <f t="shared" si="51"/>
        <v>2</v>
      </c>
      <c r="L686" t="str">
        <f t="shared" si="52"/>
        <v>No</v>
      </c>
      <c r="M686" t="str">
        <f t="shared" si="54"/>
        <v>Yes</v>
      </c>
      <c r="N686" t="str">
        <f t="shared" si="53"/>
        <v>No</v>
      </c>
    </row>
    <row r="687" spans="1:14" x14ac:dyDescent="0.3">
      <c r="A687" s="4" t="s">
        <v>1391</v>
      </c>
      <c r="B687" s="4" t="s">
        <v>1392</v>
      </c>
      <c r="C687" s="4" t="s">
        <v>21</v>
      </c>
      <c r="D687" s="5">
        <v>45768</v>
      </c>
      <c r="E687" s="5">
        <v>45776</v>
      </c>
      <c r="F687" s="5">
        <v>45773</v>
      </c>
      <c r="G687" s="4" t="s">
        <v>11</v>
      </c>
      <c r="H687" s="4">
        <v>33</v>
      </c>
      <c r="I687" s="2">
        <v>33</v>
      </c>
      <c r="J687">
        <f t="shared" si="50"/>
        <v>5</v>
      </c>
      <c r="K687">
        <f t="shared" si="51"/>
        <v>-3</v>
      </c>
      <c r="L687" t="str">
        <f t="shared" si="52"/>
        <v>Yes</v>
      </c>
      <c r="M687" t="str">
        <f t="shared" si="54"/>
        <v>Yes</v>
      </c>
      <c r="N687" t="str">
        <f t="shared" si="53"/>
        <v>Yes</v>
      </c>
    </row>
    <row r="688" spans="1:14" x14ac:dyDescent="0.3">
      <c r="A688" s="2" t="s">
        <v>1393</v>
      </c>
      <c r="B688" s="2" t="s">
        <v>1394</v>
      </c>
      <c r="C688" s="2" t="s">
        <v>37</v>
      </c>
      <c r="D688" s="3">
        <v>45769</v>
      </c>
      <c r="E688" s="3">
        <v>45779</v>
      </c>
      <c r="F688" s="3">
        <v>45782</v>
      </c>
      <c r="G688" s="2" t="s">
        <v>18</v>
      </c>
      <c r="H688" s="2">
        <v>24</v>
      </c>
      <c r="I688" s="2">
        <v>24</v>
      </c>
      <c r="J688">
        <f t="shared" si="50"/>
        <v>13</v>
      </c>
      <c r="K688">
        <f t="shared" si="51"/>
        <v>3</v>
      </c>
      <c r="L688" t="str">
        <f t="shared" si="52"/>
        <v>No</v>
      </c>
      <c r="M688" t="str">
        <f t="shared" si="54"/>
        <v>Yes</v>
      </c>
      <c r="N688" t="str">
        <f t="shared" si="53"/>
        <v>No</v>
      </c>
    </row>
    <row r="689" spans="1:14" x14ac:dyDescent="0.3">
      <c r="A689" s="4" t="s">
        <v>1395</v>
      </c>
      <c r="B689" s="4" t="s">
        <v>1396</v>
      </c>
      <c r="C689" s="4" t="s">
        <v>10</v>
      </c>
      <c r="D689" s="5">
        <v>45770</v>
      </c>
      <c r="E689" s="5">
        <v>45777</v>
      </c>
      <c r="F689" s="5">
        <v>45775</v>
      </c>
      <c r="G689" s="4" t="s">
        <v>11</v>
      </c>
      <c r="H689" s="4">
        <v>23</v>
      </c>
      <c r="I689" s="2">
        <v>23</v>
      </c>
      <c r="J689">
        <f t="shared" si="50"/>
        <v>5</v>
      </c>
      <c r="K689">
        <f t="shared" si="51"/>
        <v>-2</v>
      </c>
      <c r="L689" t="str">
        <f t="shared" si="52"/>
        <v>Yes</v>
      </c>
      <c r="M689" t="str">
        <f t="shared" si="54"/>
        <v>Yes</v>
      </c>
      <c r="N689" t="str">
        <f t="shared" si="53"/>
        <v>Yes</v>
      </c>
    </row>
    <row r="690" spans="1:14" x14ac:dyDescent="0.3">
      <c r="A690" s="2" t="s">
        <v>1397</v>
      </c>
      <c r="B690" s="2" t="s">
        <v>1398</v>
      </c>
      <c r="C690" s="2" t="s">
        <v>59</v>
      </c>
      <c r="D690" s="3">
        <v>45771</v>
      </c>
      <c r="E690" s="3">
        <v>45776</v>
      </c>
      <c r="F690" s="3">
        <v>45775</v>
      </c>
      <c r="G690" s="2" t="s">
        <v>18</v>
      </c>
      <c r="H690" s="2">
        <v>11</v>
      </c>
      <c r="I690" s="2">
        <v>11</v>
      </c>
      <c r="J690">
        <f t="shared" si="50"/>
        <v>4</v>
      </c>
      <c r="K690">
        <f t="shared" si="51"/>
        <v>-1</v>
      </c>
      <c r="L690" t="str">
        <f t="shared" si="52"/>
        <v>Yes</v>
      </c>
      <c r="M690" t="str">
        <f t="shared" si="54"/>
        <v>Yes</v>
      </c>
      <c r="N690" t="str">
        <f t="shared" si="53"/>
        <v>Yes</v>
      </c>
    </row>
    <row r="691" spans="1:14" x14ac:dyDescent="0.3">
      <c r="A691" s="4" t="s">
        <v>1399</v>
      </c>
      <c r="B691" s="4" t="s">
        <v>1400</v>
      </c>
      <c r="C691" s="4" t="s">
        <v>21</v>
      </c>
      <c r="D691" s="5">
        <v>45769</v>
      </c>
      <c r="E691" s="5">
        <v>45776</v>
      </c>
      <c r="F691" s="5">
        <v>45779</v>
      </c>
      <c r="G691" s="4" t="s">
        <v>15</v>
      </c>
      <c r="H691" s="4">
        <v>46</v>
      </c>
      <c r="I691" s="2">
        <v>46</v>
      </c>
      <c r="J691">
        <f t="shared" si="50"/>
        <v>10</v>
      </c>
      <c r="K691">
        <f t="shared" si="51"/>
        <v>3</v>
      </c>
      <c r="L691" t="str">
        <f t="shared" si="52"/>
        <v>No</v>
      </c>
      <c r="M691" t="str">
        <f t="shared" si="54"/>
        <v>Yes</v>
      </c>
      <c r="N691" t="str">
        <f t="shared" si="53"/>
        <v>No</v>
      </c>
    </row>
    <row r="692" spans="1:14" x14ac:dyDescent="0.3">
      <c r="A692" s="2" t="s">
        <v>1401</v>
      </c>
      <c r="B692" s="2" t="s">
        <v>1402</v>
      </c>
      <c r="C692" s="2" t="s">
        <v>27</v>
      </c>
      <c r="D692" s="3">
        <v>45770</v>
      </c>
      <c r="E692" s="3">
        <v>45775</v>
      </c>
      <c r="F692" s="3">
        <v>45787</v>
      </c>
      <c r="G692" s="2" t="s">
        <v>11</v>
      </c>
      <c r="H692" s="2">
        <v>6</v>
      </c>
      <c r="I692" s="2">
        <v>6</v>
      </c>
      <c r="J692">
        <f t="shared" si="50"/>
        <v>17</v>
      </c>
      <c r="K692">
        <f t="shared" si="51"/>
        <v>12</v>
      </c>
      <c r="L692" t="str">
        <f t="shared" si="52"/>
        <v>No</v>
      </c>
      <c r="M692" t="str">
        <f t="shared" si="54"/>
        <v>Yes</v>
      </c>
      <c r="N692" t="str">
        <f t="shared" si="53"/>
        <v>No</v>
      </c>
    </row>
    <row r="693" spans="1:14" x14ac:dyDescent="0.3">
      <c r="A693" s="4" t="s">
        <v>1403</v>
      </c>
      <c r="B693" s="4" t="s">
        <v>1404</v>
      </c>
      <c r="C693" s="4" t="s">
        <v>27</v>
      </c>
      <c r="D693" s="5">
        <v>45771</v>
      </c>
      <c r="E693" s="5">
        <v>45778</v>
      </c>
      <c r="F693" s="5">
        <v>45788</v>
      </c>
      <c r="G693" s="4" t="s">
        <v>40</v>
      </c>
      <c r="H693" s="4">
        <v>1</v>
      </c>
      <c r="I693" s="2">
        <v>3</v>
      </c>
      <c r="J693">
        <f t="shared" si="50"/>
        <v>17</v>
      </c>
      <c r="K693">
        <f t="shared" si="51"/>
        <v>10</v>
      </c>
      <c r="L693" t="str">
        <f t="shared" si="52"/>
        <v>No</v>
      </c>
      <c r="M693" t="str">
        <f t="shared" si="54"/>
        <v>No</v>
      </c>
      <c r="N693" t="str">
        <f t="shared" si="53"/>
        <v>No</v>
      </c>
    </row>
    <row r="694" spans="1:14" x14ac:dyDescent="0.3">
      <c r="A694" s="2" t="s">
        <v>1405</v>
      </c>
      <c r="B694" s="2" t="s">
        <v>1406</v>
      </c>
      <c r="C694" s="2" t="s">
        <v>34</v>
      </c>
      <c r="D694" s="3">
        <v>45770</v>
      </c>
      <c r="E694" s="3">
        <v>45779</v>
      </c>
      <c r="F694" s="3">
        <v>45776</v>
      </c>
      <c r="G694" s="2" t="s">
        <v>22</v>
      </c>
      <c r="H694" s="2">
        <v>32</v>
      </c>
      <c r="I694" s="2">
        <v>32</v>
      </c>
      <c r="J694">
        <f t="shared" si="50"/>
        <v>6</v>
      </c>
      <c r="K694">
        <f t="shared" si="51"/>
        <v>-3</v>
      </c>
      <c r="L694" t="str">
        <f t="shared" si="52"/>
        <v>Yes</v>
      </c>
      <c r="M694" t="str">
        <f t="shared" si="54"/>
        <v>Yes</v>
      </c>
      <c r="N694" t="str">
        <f t="shared" si="53"/>
        <v>Yes</v>
      </c>
    </row>
    <row r="695" spans="1:14" x14ac:dyDescent="0.3">
      <c r="A695" s="4" t="s">
        <v>1407</v>
      </c>
      <c r="B695" s="4" t="s">
        <v>1408</v>
      </c>
      <c r="C695" s="4" t="s">
        <v>37</v>
      </c>
      <c r="D695" s="5">
        <v>45772</v>
      </c>
      <c r="E695" s="5">
        <v>45776</v>
      </c>
      <c r="F695" s="5">
        <v>45787</v>
      </c>
      <c r="G695" s="4" t="s">
        <v>22</v>
      </c>
      <c r="H695" s="4">
        <v>11</v>
      </c>
      <c r="I695" s="2">
        <v>11</v>
      </c>
      <c r="J695">
        <f t="shared" si="50"/>
        <v>15</v>
      </c>
      <c r="K695">
        <f t="shared" si="51"/>
        <v>11</v>
      </c>
      <c r="L695" t="str">
        <f t="shared" si="52"/>
        <v>No</v>
      </c>
      <c r="M695" t="str">
        <f t="shared" si="54"/>
        <v>Yes</v>
      </c>
      <c r="N695" t="str">
        <f t="shared" si="53"/>
        <v>No</v>
      </c>
    </row>
    <row r="696" spans="1:14" x14ac:dyDescent="0.3">
      <c r="A696" s="2" t="s">
        <v>1409</v>
      </c>
      <c r="B696" s="2" t="s">
        <v>1410</v>
      </c>
      <c r="C696" s="2" t="s">
        <v>34</v>
      </c>
      <c r="D696" s="3">
        <v>45772</v>
      </c>
      <c r="E696" s="3">
        <v>45779</v>
      </c>
      <c r="F696" s="3">
        <v>45783</v>
      </c>
      <c r="G696" s="2" t="s">
        <v>40</v>
      </c>
      <c r="H696" s="2">
        <v>34</v>
      </c>
      <c r="I696" s="2">
        <v>34</v>
      </c>
      <c r="J696">
        <f t="shared" si="50"/>
        <v>11</v>
      </c>
      <c r="K696">
        <f t="shared" si="51"/>
        <v>4</v>
      </c>
      <c r="L696" t="str">
        <f t="shared" si="52"/>
        <v>No</v>
      </c>
      <c r="M696" t="str">
        <f t="shared" si="54"/>
        <v>Yes</v>
      </c>
      <c r="N696" t="str">
        <f t="shared" si="53"/>
        <v>No</v>
      </c>
    </row>
    <row r="697" spans="1:14" x14ac:dyDescent="0.3">
      <c r="A697" s="4" t="s">
        <v>1411</v>
      </c>
      <c r="B697" s="4" t="s">
        <v>1412</v>
      </c>
      <c r="C697" s="4" t="s">
        <v>10</v>
      </c>
      <c r="D697" s="5">
        <v>45770</v>
      </c>
      <c r="E697" s="5">
        <v>45777</v>
      </c>
      <c r="F697" s="5">
        <v>45774</v>
      </c>
      <c r="G697" s="4" t="s">
        <v>18</v>
      </c>
      <c r="H697" s="4">
        <v>5</v>
      </c>
      <c r="I697" s="2">
        <v>5</v>
      </c>
      <c r="J697">
        <f t="shared" si="50"/>
        <v>4</v>
      </c>
      <c r="K697">
        <f t="shared" si="51"/>
        <v>-3</v>
      </c>
      <c r="L697" t="str">
        <f t="shared" si="52"/>
        <v>Yes</v>
      </c>
      <c r="M697" t="str">
        <f t="shared" si="54"/>
        <v>Yes</v>
      </c>
      <c r="N697" t="str">
        <f t="shared" si="53"/>
        <v>Yes</v>
      </c>
    </row>
    <row r="698" spans="1:14" x14ac:dyDescent="0.3">
      <c r="A698" s="2" t="s">
        <v>1413</v>
      </c>
      <c r="B698" s="2" t="s">
        <v>1414</v>
      </c>
      <c r="C698" s="2" t="s">
        <v>72</v>
      </c>
      <c r="D698" s="3">
        <v>45770</v>
      </c>
      <c r="E698" s="3">
        <v>45773</v>
      </c>
      <c r="F698" s="3">
        <v>45785</v>
      </c>
      <c r="G698" s="2" t="s">
        <v>40</v>
      </c>
      <c r="H698" s="2">
        <v>11</v>
      </c>
      <c r="I698" s="2">
        <v>11</v>
      </c>
      <c r="J698">
        <f t="shared" si="50"/>
        <v>15</v>
      </c>
      <c r="K698">
        <f t="shared" si="51"/>
        <v>12</v>
      </c>
      <c r="L698" t="str">
        <f t="shared" si="52"/>
        <v>No</v>
      </c>
      <c r="M698" t="str">
        <f t="shared" si="54"/>
        <v>Yes</v>
      </c>
      <c r="N698" t="str">
        <f t="shared" si="53"/>
        <v>No</v>
      </c>
    </row>
    <row r="699" spans="1:14" x14ac:dyDescent="0.3">
      <c r="A699" s="4" t="s">
        <v>1415</v>
      </c>
      <c r="B699" s="4" t="s">
        <v>1416</v>
      </c>
      <c r="C699" s="4" t="s">
        <v>59</v>
      </c>
      <c r="D699" s="5">
        <v>45771</v>
      </c>
      <c r="E699" s="5">
        <v>45774</v>
      </c>
      <c r="F699" s="5">
        <v>45779</v>
      </c>
      <c r="G699" s="4" t="s">
        <v>11</v>
      </c>
      <c r="H699" s="4">
        <v>34</v>
      </c>
      <c r="I699" s="2">
        <v>34</v>
      </c>
      <c r="J699">
        <f t="shared" si="50"/>
        <v>8</v>
      </c>
      <c r="K699">
        <f t="shared" si="51"/>
        <v>5</v>
      </c>
      <c r="L699" t="str">
        <f t="shared" si="52"/>
        <v>No</v>
      </c>
      <c r="M699" t="str">
        <f t="shared" si="54"/>
        <v>Yes</v>
      </c>
      <c r="N699" t="str">
        <f t="shared" si="53"/>
        <v>No</v>
      </c>
    </row>
    <row r="700" spans="1:14" x14ac:dyDescent="0.3">
      <c r="A700" s="2" t="s">
        <v>1417</v>
      </c>
      <c r="B700" s="2" t="s">
        <v>1418</v>
      </c>
      <c r="C700" s="2" t="s">
        <v>59</v>
      </c>
      <c r="D700" s="3">
        <v>45771</v>
      </c>
      <c r="E700" s="3">
        <v>45774</v>
      </c>
      <c r="F700" s="3">
        <v>45776</v>
      </c>
      <c r="G700" s="2" t="s">
        <v>11</v>
      </c>
      <c r="H700" s="2">
        <v>18</v>
      </c>
      <c r="I700" s="2">
        <v>18</v>
      </c>
      <c r="J700">
        <f t="shared" si="50"/>
        <v>5</v>
      </c>
      <c r="K700">
        <f t="shared" si="51"/>
        <v>2</v>
      </c>
      <c r="L700" t="str">
        <f t="shared" si="52"/>
        <v>No</v>
      </c>
      <c r="M700" t="str">
        <f t="shared" si="54"/>
        <v>Yes</v>
      </c>
      <c r="N700" t="str">
        <f t="shared" si="53"/>
        <v>No</v>
      </c>
    </row>
    <row r="701" spans="1:14" x14ac:dyDescent="0.3">
      <c r="A701" s="4" t="s">
        <v>1419</v>
      </c>
      <c r="B701" s="4" t="s">
        <v>1420</v>
      </c>
      <c r="C701" s="4" t="s">
        <v>21</v>
      </c>
      <c r="D701" s="5">
        <v>45772</v>
      </c>
      <c r="E701" s="5">
        <v>45777</v>
      </c>
      <c r="F701" s="5">
        <v>45780</v>
      </c>
      <c r="G701" s="4" t="s">
        <v>15</v>
      </c>
      <c r="H701" s="4">
        <v>39</v>
      </c>
      <c r="I701" s="2">
        <v>39</v>
      </c>
      <c r="J701">
        <f t="shared" si="50"/>
        <v>8</v>
      </c>
      <c r="K701">
        <f t="shared" si="51"/>
        <v>3</v>
      </c>
      <c r="L701" t="str">
        <f t="shared" si="52"/>
        <v>No</v>
      </c>
      <c r="M701" t="str">
        <f t="shared" si="54"/>
        <v>Yes</v>
      </c>
      <c r="N701" t="str">
        <f t="shared" si="53"/>
        <v>No</v>
      </c>
    </row>
    <row r="702" spans="1:14" x14ac:dyDescent="0.3">
      <c r="A702" s="2" t="s">
        <v>1421</v>
      </c>
      <c r="B702" s="2" t="s">
        <v>1422</v>
      </c>
      <c r="C702" s="2" t="s">
        <v>27</v>
      </c>
      <c r="D702" s="3">
        <v>45770</v>
      </c>
      <c r="E702" s="3">
        <v>45773</v>
      </c>
      <c r="F702" s="3">
        <v>45783</v>
      </c>
      <c r="G702" s="2" t="s">
        <v>40</v>
      </c>
      <c r="H702" s="2">
        <v>9</v>
      </c>
      <c r="I702" s="2">
        <v>9</v>
      </c>
      <c r="J702">
        <f t="shared" si="50"/>
        <v>13</v>
      </c>
      <c r="K702">
        <f t="shared" si="51"/>
        <v>10</v>
      </c>
      <c r="L702" t="str">
        <f t="shared" si="52"/>
        <v>No</v>
      </c>
      <c r="M702" t="str">
        <f t="shared" si="54"/>
        <v>Yes</v>
      </c>
      <c r="N702" t="str">
        <f t="shared" si="53"/>
        <v>No</v>
      </c>
    </row>
    <row r="703" spans="1:14" x14ac:dyDescent="0.3">
      <c r="A703" s="4" t="s">
        <v>1423</v>
      </c>
      <c r="B703" s="4" t="s">
        <v>1424</v>
      </c>
      <c r="C703" s="4" t="s">
        <v>27</v>
      </c>
      <c r="D703" s="5">
        <v>45772</v>
      </c>
      <c r="E703" s="5">
        <v>45780</v>
      </c>
      <c r="F703" s="5">
        <v>45786</v>
      </c>
      <c r="G703" s="4" t="s">
        <v>11</v>
      </c>
      <c r="H703" s="4">
        <v>2</v>
      </c>
      <c r="I703" s="2">
        <v>2</v>
      </c>
      <c r="J703">
        <f t="shared" si="50"/>
        <v>14</v>
      </c>
      <c r="K703">
        <f t="shared" si="51"/>
        <v>6</v>
      </c>
      <c r="L703" t="str">
        <f t="shared" si="52"/>
        <v>No</v>
      </c>
      <c r="M703" t="str">
        <f t="shared" si="54"/>
        <v>Yes</v>
      </c>
      <c r="N703" t="str">
        <f t="shared" si="53"/>
        <v>No</v>
      </c>
    </row>
    <row r="704" spans="1:14" x14ac:dyDescent="0.3">
      <c r="A704" s="2" t="s">
        <v>1425</v>
      </c>
      <c r="B704" s="2" t="s">
        <v>1426</v>
      </c>
      <c r="C704" s="2" t="s">
        <v>37</v>
      </c>
      <c r="D704" s="3">
        <v>45771</v>
      </c>
      <c r="E704" s="3">
        <v>45777</v>
      </c>
      <c r="F704" s="3">
        <v>45784</v>
      </c>
      <c r="G704" s="2" t="s">
        <v>40</v>
      </c>
      <c r="H704" s="2">
        <v>16</v>
      </c>
      <c r="I704" s="2">
        <v>16</v>
      </c>
      <c r="J704">
        <f t="shared" si="50"/>
        <v>13</v>
      </c>
      <c r="K704">
        <f t="shared" si="51"/>
        <v>7</v>
      </c>
      <c r="L704" t="str">
        <f t="shared" si="52"/>
        <v>No</v>
      </c>
      <c r="M704" t="str">
        <f t="shared" si="54"/>
        <v>Yes</v>
      </c>
      <c r="N704" t="str">
        <f t="shared" si="53"/>
        <v>No</v>
      </c>
    </row>
    <row r="705" spans="1:14" x14ac:dyDescent="0.3">
      <c r="A705" s="4" t="s">
        <v>1427</v>
      </c>
      <c r="B705" s="4" t="s">
        <v>1428</v>
      </c>
      <c r="C705" s="4" t="s">
        <v>34</v>
      </c>
      <c r="D705" s="5">
        <v>45772</v>
      </c>
      <c r="E705" s="5">
        <v>45774</v>
      </c>
      <c r="F705" s="5">
        <v>45781</v>
      </c>
      <c r="G705" s="4" t="s">
        <v>40</v>
      </c>
      <c r="H705" s="4">
        <v>37</v>
      </c>
      <c r="I705" s="2">
        <v>37</v>
      </c>
      <c r="J705">
        <f t="shared" si="50"/>
        <v>9</v>
      </c>
      <c r="K705">
        <f t="shared" si="51"/>
        <v>7</v>
      </c>
      <c r="L705" t="str">
        <f t="shared" si="52"/>
        <v>No</v>
      </c>
      <c r="M705" t="str">
        <f t="shared" si="54"/>
        <v>Yes</v>
      </c>
      <c r="N705" t="str">
        <f t="shared" si="53"/>
        <v>No</v>
      </c>
    </row>
    <row r="706" spans="1:14" x14ac:dyDescent="0.3">
      <c r="A706" s="2" t="s">
        <v>1429</v>
      </c>
      <c r="B706" s="2" t="s">
        <v>1430</v>
      </c>
      <c r="C706" s="2" t="s">
        <v>10</v>
      </c>
      <c r="D706" s="3">
        <v>45772</v>
      </c>
      <c r="E706" s="3">
        <v>45780</v>
      </c>
      <c r="F706" s="3">
        <v>45776</v>
      </c>
      <c r="G706" s="2" t="s">
        <v>22</v>
      </c>
      <c r="H706" s="2">
        <v>23</v>
      </c>
      <c r="I706" s="2">
        <v>24</v>
      </c>
      <c r="J706">
        <f t="shared" si="50"/>
        <v>4</v>
      </c>
      <c r="K706">
        <f t="shared" si="51"/>
        <v>-4</v>
      </c>
      <c r="L706" t="str">
        <f t="shared" si="52"/>
        <v>Yes</v>
      </c>
      <c r="M706" t="str">
        <f t="shared" si="54"/>
        <v>No</v>
      </c>
      <c r="N706" t="str">
        <f t="shared" si="53"/>
        <v>No</v>
      </c>
    </row>
    <row r="707" spans="1:14" x14ac:dyDescent="0.3">
      <c r="A707" s="4" t="s">
        <v>1431</v>
      </c>
      <c r="B707" s="4" t="s">
        <v>1432</v>
      </c>
      <c r="C707" s="4" t="s">
        <v>14</v>
      </c>
      <c r="D707" s="5">
        <v>45771</v>
      </c>
      <c r="E707" s="5">
        <v>45774</v>
      </c>
      <c r="F707" s="5">
        <v>45790</v>
      </c>
      <c r="G707" s="4" t="s">
        <v>18</v>
      </c>
      <c r="H707" s="4">
        <v>11</v>
      </c>
      <c r="I707" s="2">
        <v>11</v>
      </c>
      <c r="J707">
        <f t="shared" ref="J707:J770" si="55">F707-D707</f>
        <v>19</v>
      </c>
      <c r="K707">
        <f t="shared" ref="K707:K770" si="56">F707-E707</f>
        <v>16</v>
      </c>
      <c r="L707" t="str">
        <f t="shared" ref="L707:L770" si="57">IF(K707&lt;=0,"Yes","No")</f>
        <v>No</v>
      </c>
      <c r="M707" t="str">
        <f t="shared" si="54"/>
        <v>Yes</v>
      </c>
      <c r="N707" t="str">
        <f t="shared" ref="N707:N770" si="58">IF(AND(L707="Yes",M707="Yes"),"Yes","No")</f>
        <v>No</v>
      </c>
    </row>
    <row r="708" spans="1:14" x14ac:dyDescent="0.3">
      <c r="A708" s="2" t="s">
        <v>1433</v>
      </c>
      <c r="B708" s="2" t="s">
        <v>1434</v>
      </c>
      <c r="C708" s="2" t="s">
        <v>59</v>
      </c>
      <c r="D708" s="3">
        <v>45771</v>
      </c>
      <c r="E708" s="3">
        <v>45774</v>
      </c>
      <c r="F708" s="3">
        <v>45775</v>
      </c>
      <c r="G708" s="2" t="s">
        <v>18</v>
      </c>
      <c r="H708" s="2">
        <v>34</v>
      </c>
      <c r="I708" s="2">
        <v>34</v>
      </c>
      <c r="J708">
        <f t="shared" si="55"/>
        <v>4</v>
      </c>
      <c r="K708">
        <f t="shared" si="56"/>
        <v>1</v>
      </c>
      <c r="L708" t="str">
        <f t="shared" si="57"/>
        <v>No</v>
      </c>
      <c r="M708" t="str">
        <f t="shared" ref="M708:M771" si="59">IF(H708=I708,"Yes","No")</f>
        <v>Yes</v>
      </c>
      <c r="N708" t="str">
        <f t="shared" si="58"/>
        <v>No</v>
      </c>
    </row>
    <row r="709" spans="1:14" x14ac:dyDescent="0.3">
      <c r="A709" s="4" t="s">
        <v>1435</v>
      </c>
      <c r="B709" s="4" t="s">
        <v>1436</v>
      </c>
      <c r="C709" s="4" t="s">
        <v>21</v>
      </c>
      <c r="D709" s="5">
        <v>45771</v>
      </c>
      <c r="E709" s="5">
        <v>45780</v>
      </c>
      <c r="F709" s="5">
        <v>45776</v>
      </c>
      <c r="G709" s="4" t="s">
        <v>15</v>
      </c>
      <c r="H709" s="4">
        <v>31</v>
      </c>
      <c r="I709" s="2">
        <v>31</v>
      </c>
      <c r="J709">
        <f t="shared" si="55"/>
        <v>5</v>
      </c>
      <c r="K709">
        <f t="shared" si="56"/>
        <v>-4</v>
      </c>
      <c r="L709" t="str">
        <f t="shared" si="57"/>
        <v>Yes</v>
      </c>
      <c r="M709" t="str">
        <f t="shared" si="59"/>
        <v>Yes</v>
      </c>
      <c r="N709" t="str">
        <f t="shared" si="58"/>
        <v>Yes</v>
      </c>
    </row>
    <row r="710" spans="1:14" x14ac:dyDescent="0.3">
      <c r="A710" s="2" t="s">
        <v>1437</v>
      </c>
      <c r="B710" s="2" t="s">
        <v>1438</v>
      </c>
      <c r="C710" s="2" t="s">
        <v>21</v>
      </c>
      <c r="D710" s="3">
        <v>45773</v>
      </c>
      <c r="E710" s="3">
        <v>45777</v>
      </c>
      <c r="F710" s="3">
        <v>45779</v>
      </c>
      <c r="G710" s="2" t="s">
        <v>11</v>
      </c>
      <c r="H710" s="2">
        <v>34</v>
      </c>
      <c r="I710" s="2">
        <v>37</v>
      </c>
      <c r="J710">
        <f t="shared" si="55"/>
        <v>6</v>
      </c>
      <c r="K710">
        <f t="shared" si="56"/>
        <v>2</v>
      </c>
      <c r="L710" t="str">
        <f t="shared" si="57"/>
        <v>No</v>
      </c>
      <c r="M710" t="str">
        <f t="shared" si="59"/>
        <v>No</v>
      </c>
      <c r="N710" t="str">
        <f t="shared" si="58"/>
        <v>No</v>
      </c>
    </row>
    <row r="711" spans="1:14" x14ac:dyDescent="0.3">
      <c r="A711" s="4" t="s">
        <v>1439</v>
      </c>
      <c r="B711" s="4" t="s">
        <v>1440</v>
      </c>
      <c r="C711" s="4" t="s">
        <v>27</v>
      </c>
      <c r="D711" s="5">
        <v>45773</v>
      </c>
      <c r="E711" s="5">
        <v>45775</v>
      </c>
      <c r="F711" s="5">
        <v>45790</v>
      </c>
      <c r="G711" s="4" t="s">
        <v>22</v>
      </c>
      <c r="H711" s="4">
        <v>10</v>
      </c>
      <c r="I711" s="2">
        <v>10</v>
      </c>
      <c r="J711">
        <f t="shared" si="55"/>
        <v>17</v>
      </c>
      <c r="K711">
        <f t="shared" si="56"/>
        <v>15</v>
      </c>
      <c r="L711" t="str">
        <f t="shared" si="57"/>
        <v>No</v>
      </c>
      <c r="M711" t="str">
        <f t="shared" si="59"/>
        <v>Yes</v>
      </c>
      <c r="N711" t="str">
        <f t="shared" si="58"/>
        <v>No</v>
      </c>
    </row>
    <row r="712" spans="1:14" x14ac:dyDescent="0.3">
      <c r="A712" s="2" t="s">
        <v>1441</v>
      </c>
      <c r="B712" s="2" t="s">
        <v>1442</v>
      </c>
      <c r="C712" s="2" t="s">
        <v>34</v>
      </c>
      <c r="D712" s="3">
        <v>45772</v>
      </c>
      <c r="E712" s="3">
        <v>45775</v>
      </c>
      <c r="F712" s="3">
        <v>45780</v>
      </c>
      <c r="G712" s="2" t="s">
        <v>18</v>
      </c>
      <c r="H712" s="2">
        <v>56</v>
      </c>
      <c r="I712" s="2">
        <v>56</v>
      </c>
      <c r="J712">
        <f t="shared" si="55"/>
        <v>8</v>
      </c>
      <c r="K712">
        <f t="shared" si="56"/>
        <v>5</v>
      </c>
      <c r="L712" t="str">
        <f t="shared" si="57"/>
        <v>No</v>
      </c>
      <c r="M712" t="str">
        <f t="shared" si="59"/>
        <v>Yes</v>
      </c>
      <c r="N712" t="str">
        <f t="shared" si="58"/>
        <v>No</v>
      </c>
    </row>
    <row r="713" spans="1:14" x14ac:dyDescent="0.3">
      <c r="A713" s="4" t="s">
        <v>1443</v>
      </c>
      <c r="B713" s="4" t="s">
        <v>1444</v>
      </c>
      <c r="C713" s="4" t="s">
        <v>59</v>
      </c>
      <c r="D713" s="5">
        <v>45772</v>
      </c>
      <c r="E713" s="5">
        <v>45778</v>
      </c>
      <c r="F713" s="5">
        <v>45780</v>
      </c>
      <c r="G713" s="4" t="s">
        <v>22</v>
      </c>
      <c r="H713" s="4">
        <v>12</v>
      </c>
      <c r="I713" s="2">
        <v>12</v>
      </c>
      <c r="J713">
        <f t="shared" si="55"/>
        <v>8</v>
      </c>
      <c r="K713">
        <f t="shared" si="56"/>
        <v>2</v>
      </c>
      <c r="L713" t="str">
        <f t="shared" si="57"/>
        <v>No</v>
      </c>
      <c r="M713" t="str">
        <f t="shared" si="59"/>
        <v>Yes</v>
      </c>
      <c r="N713" t="str">
        <f t="shared" si="58"/>
        <v>No</v>
      </c>
    </row>
    <row r="714" spans="1:14" x14ac:dyDescent="0.3">
      <c r="A714" s="2" t="s">
        <v>1445</v>
      </c>
      <c r="B714" s="2" t="s">
        <v>1446</v>
      </c>
      <c r="C714" s="2" t="s">
        <v>14</v>
      </c>
      <c r="D714" s="3">
        <v>45772</v>
      </c>
      <c r="E714" s="3">
        <v>45780</v>
      </c>
      <c r="F714" s="3">
        <v>45786</v>
      </c>
      <c r="G714" s="2" t="s">
        <v>40</v>
      </c>
      <c r="H714" s="2">
        <v>23</v>
      </c>
      <c r="I714" s="2">
        <v>23</v>
      </c>
      <c r="J714">
        <f t="shared" si="55"/>
        <v>14</v>
      </c>
      <c r="K714">
        <f t="shared" si="56"/>
        <v>6</v>
      </c>
      <c r="L714" t="str">
        <f t="shared" si="57"/>
        <v>No</v>
      </c>
      <c r="M714" t="str">
        <f t="shared" si="59"/>
        <v>Yes</v>
      </c>
      <c r="N714" t="str">
        <f t="shared" si="58"/>
        <v>No</v>
      </c>
    </row>
    <row r="715" spans="1:14" x14ac:dyDescent="0.3">
      <c r="A715" s="4" t="s">
        <v>1447</v>
      </c>
      <c r="B715" s="4" t="s">
        <v>1448</v>
      </c>
      <c r="C715" s="4" t="s">
        <v>21</v>
      </c>
      <c r="D715" s="5">
        <v>45774</v>
      </c>
      <c r="E715" s="5">
        <v>45775</v>
      </c>
      <c r="F715" s="5">
        <v>45780</v>
      </c>
      <c r="G715" s="4" t="s">
        <v>40</v>
      </c>
      <c r="H715" s="4">
        <v>57</v>
      </c>
      <c r="I715" s="2">
        <v>57</v>
      </c>
      <c r="J715">
        <f t="shared" si="55"/>
        <v>6</v>
      </c>
      <c r="K715">
        <f t="shared" si="56"/>
        <v>5</v>
      </c>
      <c r="L715" t="str">
        <f t="shared" si="57"/>
        <v>No</v>
      </c>
      <c r="M715" t="str">
        <f t="shared" si="59"/>
        <v>Yes</v>
      </c>
      <c r="N715" t="str">
        <f t="shared" si="58"/>
        <v>No</v>
      </c>
    </row>
    <row r="716" spans="1:14" x14ac:dyDescent="0.3">
      <c r="A716" s="2" t="s">
        <v>1449</v>
      </c>
      <c r="B716" s="2" t="s">
        <v>1450</v>
      </c>
      <c r="C716" s="2" t="s">
        <v>34</v>
      </c>
      <c r="D716" s="3">
        <v>45773</v>
      </c>
      <c r="E716" s="3">
        <v>45778</v>
      </c>
      <c r="F716" s="3">
        <v>45782</v>
      </c>
      <c r="G716" s="2" t="s">
        <v>18</v>
      </c>
      <c r="H716" s="2">
        <v>7</v>
      </c>
      <c r="I716" s="2">
        <v>10</v>
      </c>
      <c r="J716">
        <f t="shared" si="55"/>
        <v>9</v>
      </c>
      <c r="K716">
        <f t="shared" si="56"/>
        <v>4</v>
      </c>
      <c r="L716" t="str">
        <f t="shared" si="57"/>
        <v>No</v>
      </c>
      <c r="M716" t="str">
        <f t="shared" si="59"/>
        <v>No</v>
      </c>
      <c r="N716" t="str">
        <f t="shared" si="58"/>
        <v>No</v>
      </c>
    </row>
    <row r="717" spans="1:14" x14ac:dyDescent="0.3">
      <c r="A717" s="4" t="s">
        <v>1451</v>
      </c>
      <c r="B717" s="4" t="s">
        <v>1452</v>
      </c>
      <c r="C717" s="4" t="s">
        <v>34</v>
      </c>
      <c r="D717" s="5">
        <v>45773</v>
      </c>
      <c r="E717" s="5">
        <v>45780</v>
      </c>
      <c r="F717" s="5">
        <v>45780</v>
      </c>
      <c r="G717" s="4" t="s">
        <v>18</v>
      </c>
      <c r="H717" s="4">
        <v>13</v>
      </c>
      <c r="I717" s="2">
        <v>19</v>
      </c>
      <c r="J717">
        <f t="shared" si="55"/>
        <v>7</v>
      </c>
      <c r="K717">
        <f t="shared" si="56"/>
        <v>0</v>
      </c>
      <c r="L717" t="str">
        <f t="shared" si="57"/>
        <v>Yes</v>
      </c>
      <c r="M717" t="str">
        <f t="shared" si="59"/>
        <v>No</v>
      </c>
      <c r="N717" t="str">
        <f t="shared" si="58"/>
        <v>No</v>
      </c>
    </row>
    <row r="718" spans="1:14" x14ac:dyDescent="0.3">
      <c r="A718" s="2" t="s">
        <v>1453</v>
      </c>
      <c r="B718" s="2" t="s">
        <v>1454</v>
      </c>
      <c r="C718" s="2" t="s">
        <v>14</v>
      </c>
      <c r="D718" s="3">
        <v>45775</v>
      </c>
      <c r="E718" s="3">
        <v>45777</v>
      </c>
      <c r="F718" s="3">
        <v>45792</v>
      </c>
      <c r="G718" s="2" t="s">
        <v>40</v>
      </c>
      <c r="H718" s="2">
        <v>15</v>
      </c>
      <c r="I718" s="2">
        <v>15</v>
      </c>
      <c r="J718">
        <f t="shared" si="55"/>
        <v>17</v>
      </c>
      <c r="K718">
        <f t="shared" si="56"/>
        <v>15</v>
      </c>
      <c r="L718" t="str">
        <f t="shared" si="57"/>
        <v>No</v>
      </c>
      <c r="M718" t="str">
        <f t="shared" si="59"/>
        <v>Yes</v>
      </c>
      <c r="N718" t="str">
        <f t="shared" si="58"/>
        <v>No</v>
      </c>
    </row>
    <row r="719" spans="1:14" x14ac:dyDescent="0.3">
      <c r="A719" s="4" t="s">
        <v>1455</v>
      </c>
      <c r="B719" s="4" t="s">
        <v>1456</v>
      </c>
      <c r="C719" s="4" t="s">
        <v>21</v>
      </c>
      <c r="D719" s="5">
        <v>45773</v>
      </c>
      <c r="E719" s="5">
        <v>45783</v>
      </c>
      <c r="F719" s="5">
        <v>45779</v>
      </c>
      <c r="G719" s="4" t="s">
        <v>15</v>
      </c>
      <c r="H719" s="4">
        <v>30</v>
      </c>
      <c r="I719" s="2">
        <v>30</v>
      </c>
      <c r="J719">
        <f t="shared" si="55"/>
        <v>6</v>
      </c>
      <c r="K719">
        <f t="shared" si="56"/>
        <v>-4</v>
      </c>
      <c r="L719" t="str">
        <f t="shared" si="57"/>
        <v>Yes</v>
      </c>
      <c r="M719" t="str">
        <f t="shared" si="59"/>
        <v>Yes</v>
      </c>
      <c r="N719" t="str">
        <f t="shared" si="58"/>
        <v>Yes</v>
      </c>
    </row>
    <row r="720" spans="1:14" x14ac:dyDescent="0.3">
      <c r="A720" s="2" t="s">
        <v>1457</v>
      </c>
      <c r="B720" s="2" t="s">
        <v>1458</v>
      </c>
      <c r="C720" s="2" t="s">
        <v>21</v>
      </c>
      <c r="D720" s="3">
        <v>45775</v>
      </c>
      <c r="E720" s="3">
        <v>45777</v>
      </c>
      <c r="F720" s="3">
        <v>45782</v>
      </c>
      <c r="G720" s="2" t="s">
        <v>18</v>
      </c>
      <c r="H720" s="2">
        <v>23</v>
      </c>
      <c r="I720" s="2">
        <v>23</v>
      </c>
      <c r="J720">
        <f t="shared" si="55"/>
        <v>7</v>
      </c>
      <c r="K720">
        <f t="shared" si="56"/>
        <v>5</v>
      </c>
      <c r="L720" t="str">
        <f t="shared" si="57"/>
        <v>No</v>
      </c>
      <c r="M720" t="str">
        <f t="shared" si="59"/>
        <v>Yes</v>
      </c>
      <c r="N720" t="str">
        <f t="shared" si="58"/>
        <v>No</v>
      </c>
    </row>
    <row r="721" spans="1:14" x14ac:dyDescent="0.3">
      <c r="A721" s="4" t="s">
        <v>1459</v>
      </c>
      <c r="B721" s="4" t="s">
        <v>1460</v>
      </c>
      <c r="C721" s="4" t="s">
        <v>27</v>
      </c>
      <c r="D721" s="5">
        <v>45773</v>
      </c>
      <c r="E721" s="5">
        <v>45776</v>
      </c>
      <c r="F721" s="5">
        <v>45786</v>
      </c>
      <c r="G721" s="4" t="s">
        <v>15</v>
      </c>
      <c r="H721" s="4">
        <v>22</v>
      </c>
      <c r="I721" s="2">
        <v>22</v>
      </c>
      <c r="J721">
        <f t="shared" si="55"/>
        <v>13</v>
      </c>
      <c r="K721">
        <f t="shared" si="56"/>
        <v>10</v>
      </c>
      <c r="L721" t="str">
        <f t="shared" si="57"/>
        <v>No</v>
      </c>
      <c r="M721" t="str">
        <f t="shared" si="59"/>
        <v>Yes</v>
      </c>
      <c r="N721" t="str">
        <f t="shared" si="58"/>
        <v>No</v>
      </c>
    </row>
    <row r="722" spans="1:14" x14ac:dyDescent="0.3">
      <c r="A722" s="2" t="s">
        <v>1461</v>
      </c>
      <c r="B722" s="2" t="s">
        <v>1462</v>
      </c>
      <c r="C722" s="2" t="s">
        <v>27</v>
      </c>
      <c r="D722" s="3">
        <v>45774</v>
      </c>
      <c r="E722" s="3">
        <v>45783</v>
      </c>
      <c r="F722" s="3">
        <v>45787</v>
      </c>
      <c r="G722" s="2" t="s">
        <v>15</v>
      </c>
      <c r="H722" s="2">
        <v>1</v>
      </c>
      <c r="I722" s="2">
        <v>3</v>
      </c>
      <c r="J722">
        <f t="shared" si="55"/>
        <v>13</v>
      </c>
      <c r="K722">
        <f t="shared" si="56"/>
        <v>4</v>
      </c>
      <c r="L722" t="str">
        <f t="shared" si="57"/>
        <v>No</v>
      </c>
      <c r="M722" t="str">
        <f t="shared" si="59"/>
        <v>No</v>
      </c>
      <c r="N722" t="str">
        <f t="shared" si="58"/>
        <v>No</v>
      </c>
    </row>
    <row r="723" spans="1:14" x14ac:dyDescent="0.3">
      <c r="A723" s="4" t="s">
        <v>1463</v>
      </c>
      <c r="B723" s="4" t="s">
        <v>1464</v>
      </c>
      <c r="C723" s="4" t="s">
        <v>37</v>
      </c>
      <c r="D723" s="5">
        <v>45776</v>
      </c>
      <c r="E723" s="5">
        <v>45780</v>
      </c>
      <c r="F723" s="5">
        <v>45789</v>
      </c>
      <c r="G723" s="4" t="s">
        <v>15</v>
      </c>
      <c r="H723" s="4">
        <v>24</v>
      </c>
      <c r="I723" s="2">
        <v>24</v>
      </c>
      <c r="J723">
        <f t="shared" si="55"/>
        <v>13</v>
      </c>
      <c r="K723">
        <f t="shared" si="56"/>
        <v>9</v>
      </c>
      <c r="L723" t="str">
        <f t="shared" si="57"/>
        <v>No</v>
      </c>
      <c r="M723" t="str">
        <f t="shared" si="59"/>
        <v>Yes</v>
      </c>
      <c r="N723" t="str">
        <f t="shared" si="58"/>
        <v>No</v>
      </c>
    </row>
    <row r="724" spans="1:14" x14ac:dyDescent="0.3">
      <c r="A724" s="2" t="s">
        <v>1465</v>
      </c>
      <c r="B724" s="2" t="s">
        <v>1466</v>
      </c>
      <c r="C724" s="2" t="s">
        <v>34</v>
      </c>
      <c r="D724" s="3">
        <v>45774</v>
      </c>
      <c r="E724" s="3">
        <v>45778</v>
      </c>
      <c r="F724" s="3">
        <v>45780</v>
      </c>
      <c r="G724" s="2" t="s">
        <v>15</v>
      </c>
      <c r="H724" s="2">
        <v>25</v>
      </c>
      <c r="I724" s="2">
        <v>25</v>
      </c>
      <c r="J724">
        <f t="shared" si="55"/>
        <v>6</v>
      </c>
      <c r="K724">
        <f t="shared" si="56"/>
        <v>2</v>
      </c>
      <c r="L724" t="str">
        <f t="shared" si="57"/>
        <v>No</v>
      </c>
      <c r="M724" t="str">
        <f t="shared" si="59"/>
        <v>Yes</v>
      </c>
      <c r="N724" t="str">
        <f t="shared" si="58"/>
        <v>No</v>
      </c>
    </row>
    <row r="725" spans="1:14" x14ac:dyDescent="0.3">
      <c r="A725" s="4" t="s">
        <v>1467</v>
      </c>
      <c r="B725" s="4" t="s">
        <v>1468</v>
      </c>
      <c r="C725" s="4" t="s">
        <v>37</v>
      </c>
      <c r="D725" s="5">
        <v>45776</v>
      </c>
      <c r="E725" s="5">
        <v>45783</v>
      </c>
      <c r="F725" s="5">
        <v>45789</v>
      </c>
      <c r="G725" s="4" t="s">
        <v>15</v>
      </c>
      <c r="H725" s="4">
        <v>27</v>
      </c>
      <c r="I725" s="2">
        <v>27</v>
      </c>
      <c r="J725">
        <f t="shared" si="55"/>
        <v>13</v>
      </c>
      <c r="K725">
        <f t="shared" si="56"/>
        <v>6</v>
      </c>
      <c r="L725" t="str">
        <f t="shared" si="57"/>
        <v>No</v>
      </c>
      <c r="M725" t="str">
        <f t="shared" si="59"/>
        <v>Yes</v>
      </c>
      <c r="N725" t="str">
        <f t="shared" si="58"/>
        <v>No</v>
      </c>
    </row>
    <row r="726" spans="1:14" x14ac:dyDescent="0.3">
      <c r="A726" s="2" t="s">
        <v>1469</v>
      </c>
      <c r="B726" s="2" t="s">
        <v>1470</v>
      </c>
      <c r="C726" s="2" t="s">
        <v>10</v>
      </c>
      <c r="D726" s="3">
        <v>45776</v>
      </c>
      <c r="E726" s="3">
        <v>45781</v>
      </c>
      <c r="F726" s="3">
        <v>45785</v>
      </c>
      <c r="G726" s="2" t="s">
        <v>15</v>
      </c>
      <c r="H726" s="2">
        <v>26</v>
      </c>
      <c r="I726" s="2">
        <v>30</v>
      </c>
      <c r="J726">
        <f t="shared" si="55"/>
        <v>9</v>
      </c>
      <c r="K726">
        <f t="shared" si="56"/>
        <v>4</v>
      </c>
      <c r="L726" t="str">
        <f t="shared" si="57"/>
        <v>No</v>
      </c>
      <c r="M726" t="str">
        <f t="shared" si="59"/>
        <v>No</v>
      </c>
      <c r="N726" t="str">
        <f t="shared" si="58"/>
        <v>No</v>
      </c>
    </row>
    <row r="727" spans="1:14" x14ac:dyDescent="0.3">
      <c r="A727" s="4" t="s">
        <v>1471</v>
      </c>
      <c r="B727" s="4" t="s">
        <v>1472</v>
      </c>
      <c r="C727" s="4" t="s">
        <v>59</v>
      </c>
      <c r="D727" s="5">
        <v>45774</v>
      </c>
      <c r="E727" s="5">
        <v>45780</v>
      </c>
      <c r="F727" s="5">
        <v>45777</v>
      </c>
      <c r="G727" s="4" t="s">
        <v>40</v>
      </c>
      <c r="H727" s="4">
        <v>14</v>
      </c>
      <c r="I727" s="2">
        <v>14</v>
      </c>
      <c r="J727">
        <f t="shared" si="55"/>
        <v>3</v>
      </c>
      <c r="K727">
        <f t="shared" si="56"/>
        <v>-3</v>
      </c>
      <c r="L727" t="str">
        <f t="shared" si="57"/>
        <v>Yes</v>
      </c>
      <c r="M727" t="str">
        <f t="shared" si="59"/>
        <v>Yes</v>
      </c>
      <c r="N727" t="str">
        <f t="shared" si="58"/>
        <v>Yes</v>
      </c>
    </row>
    <row r="728" spans="1:14" x14ac:dyDescent="0.3">
      <c r="A728" s="2" t="s">
        <v>1473</v>
      </c>
      <c r="B728" s="2" t="s">
        <v>1474</v>
      </c>
      <c r="C728" s="2" t="s">
        <v>14</v>
      </c>
      <c r="D728" s="3">
        <v>45774</v>
      </c>
      <c r="E728" s="3">
        <v>45779</v>
      </c>
      <c r="F728" s="3">
        <v>45789</v>
      </c>
      <c r="G728" s="2" t="s">
        <v>18</v>
      </c>
      <c r="H728" s="2">
        <v>29</v>
      </c>
      <c r="I728" s="2">
        <v>29</v>
      </c>
      <c r="J728">
        <f t="shared" si="55"/>
        <v>15</v>
      </c>
      <c r="K728">
        <f t="shared" si="56"/>
        <v>10</v>
      </c>
      <c r="L728" t="str">
        <f t="shared" si="57"/>
        <v>No</v>
      </c>
      <c r="M728" t="str">
        <f t="shared" si="59"/>
        <v>Yes</v>
      </c>
      <c r="N728" t="str">
        <f t="shared" si="58"/>
        <v>No</v>
      </c>
    </row>
    <row r="729" spans="1:14" x14ac:dyDescent="0.3">
      <c r="A729" s="4" t="s">
        <v>1475</v>
      </c>
      <c r="B729" s="4" t="s">
        <v>1476</v>
      </c>
      <c r="C729" s="4" t="s">
        <v>27</v>
      </c>
      <c r="D729" s="5">
        <v>45776</v>
      </c>
      <c r="E729" s="5">
        <v>45778</v>
      </c>
      <c r="F729" s="5">
        <v>45791</v>
      </c>
      <c r="G729" s="4" t="s">
        <v>40</v>
      </c>
      <c r="H729" s="4">
        <v>6</v>
      </c>
      <c r="I729" s="2">
        <v>6</v>
      </c>
      <c r="J729">
        <f t="shared" si="55"/>
        <v>15</v>
      </c>
      <c r="K729">
        <f t="shared" si="56"/>
        <v>13</v>
      </c>
      <c r="L729" t="str">
        <f t="shared" si="57"/>
        <v>No</v>
      </c>
      <c r="M729" t="str">
        <f t="shared" si="59"/>
        <v>Yes</v>
      </c>
      <c r="N729" t="str">
        <f t="shared" si="58"/>
        <v>No</v>
      </c>
    </row>
    <row r="730" spans="1:14" x14ac:dyDescent="0.3">
      <c r="A730" s="2" t="s">
        <v>1477</v>
      </c>
      <c r="B730" s="2" t="s">
        <v>1478</v>
      </c>
      <c r="C730" s="2" t="s">
        <v>21</v>
      </c>
      <c r="D730" s="3">
        <v>45776</v>
      </c>
      <c r="E730" s="3">
        <v>45783</v>
      </c>
      <c r="F730" s="3">
        <v>45784</v>
      </c>
      <c r="G730" s="2" t="s">
        <v>15</v>
      </c>
      <c r="H730" s="2">
        <v>21</v>
      </c>
      <c r="I730" s="2">
        <v>21</v>
      </c>
      <c r="J730">
        <f t="shared" si="55"/>
        <v>8</v>
      </c>
      <c r="K730">
        <f t="shared" si="56"/>
        <v>1</v>
      </c>
      <c r="L730" t="str">
        <f t="shared" si="57"/>
        <v>No</v>
      </c>
      <c r="M730" t="str">
        <f t="shared" si="59"/>
        <v>Yes</v>
      </c>
      <c r="N730" t="str">
        <f t="shared" si="58"/>
        <v>No</v>
      </c>
    </row>
    <row r="731" spans="1:14" x14ac:dyDescent="0.3">
      <c r="A731" s="4" t="s">
        <v>1479</v>
      </c>
      <c r="B731" s="4" t="s">
        <v>1480</v>
      </c>
      <c r="C731" s="4" t="s">
        <v>21</v>
      </c>
      <c r="D731" s="5">
        <v>45777</v>
      </c>
      <c r="E731" s="5">
        <v>45782</v>
      </c>
      <c r="F731" s="5">
        <v>45787</v>
      </c>
      <c r="G731" s="4" t="s">
        <v>15</v>
      </c>
      <c r="H731" s="4">
        <v>13</v>
      </c>
      <c r="I731" s="2">
        <v>13</v>
      </c>
      <c r="J731">
        <f t="shared" si="55"/>
        <v>10</v>
      </c>
      <c r="K731">
        <f t="shared" si="56"/>
        <v>5</v>
      </c>
      <c r="L731" t="str">
        <f t="shared" si="57"/>
        <v>No</v>
      </c>
      <c r="M731" t="str">
        <f t="shared" si="59"/>
        <v>Yes</v>
      </c>
      <c r="N731" t="str">
        <f t="shared" si="58"/>
        <v>No</v>
      </c>
    </row>
    <row r="732" spans="1:14" x14ac:dyDescent="0.3">
      <c r="A732" s="2" t="s">
        <v>1481</v>
      </c>
      <c r="B732" s="2" t="s">
        <v>1482</v>
      </c>
      <c r="C732" s="2" t="s">
        <v>27</v>
      </c>
      <c r="D732" s="3">
        <v>45775</v>
      </c>
      <c r="E732" s="3">
        <v>45782</v>
      </c>
      <c r="F732" s="3">
        <v>45788</v>
      </c>
      <c r="G732" s="2" t="s">
        <v>11</v>
      </c>
      <c r="H732" s="2">
        <v>14</v>
      </c>
      <c r="I732" s="2">
        <v>14</v>
      </c>
      <c r="J732">
        <f t="shared" si="55"/>
        <v>13</v>
      </c>
      <c r="K732">
        <f t="shared" si="56"/>
        <v>6</v>
      </c>
      <c r="L732" t="str">
        <f t="shared" si="57"/>
        <v>No</v>
      </c>
      <c r="M732" t="str">
        <f t="shared" si="59"/>
        <v>Yes</v>
      </c>
      <c r="N732" t="str">
        <f t="shared" si="58"/>
        <v>No</v>
      </c>
    </row>
    <row r="733" spans="1:14" x14ac:dyDescent="0.3">
      <c r="A733" s="4" t="s">
        <v>1483</v>
      </c>
      <c r="B733" s="4" t="s">
        <v>1484</v>
      </c>
      <c r="C733" s="4" t="s">
        <v>37</v>
      </c>
      <c r="D733" s="5">
        <v>45776</v>
      </c>
      <c r="E733" s="5">
        <v>45783</v>
      </c>
      <c r="F733" s="5">
        <v>45789</v>
      </c>
      <c r="G733" s="4" t="s">
        <v>40</v>
      </c>
      <c r="H733" s="4">
        <v>44</v>
      </c>
      <c r="I733" s="2">
        <v>44</v>
      </c>
      <c r="J733">
        <f t="shared" si="55"/>
        <v>13</v>
      </c>
      <c r="K733">
        <f t="shared" si="56"/>
        <v>6</v>
      </c>
      <c r="L733" t="str">
        <f t="shared" si="57"/>
        <v>No</v>
      </c>
      <c r="M733" t="str">
        <f t="shared" si="59"/>
        <v>Yes</v>
      </c>
      <c r="N733" t="str">
        <f t="shared" si="58"/>
        <v>No</v>
      </c>
    </row>
    <row r="734" spans="1:14" x14ac:dyDescent="0.3">
      <c r="A734" s="2" t="s">
        <v>1485</v>
      </c>
      <c r="B734" s="2" t="s">
        <v>1486</v>
      </c>
      <c r="C734" s="2" t="s">
        <v>37</v>
      </c>
      <c r="D734" s="3">
        <v>45776</v>
      </c>
      <c r="E734" s="3">
        <v>45783</v>
      </c>
      <c r="F734" s="3">
        <v>45789</v>
      </c>
      <c r="G734" s="2" t="s">
        <v>18</v>
      </c>
      <c r="H734" s="2">
        <v>43</v>
      </c>
      <c r="I734" s="2">
        <v>43</v>
      </c>
      <c r="J734">
        <f t="shared" si="55"/>
        <v>13</v>
      </c>
      <c r="K734">
        <f t="shared" si="56"/>
        <v>6</v>
      </c>
      <c r="L734" t="str">
        <f t="shared" si="57"/>
        <v>No</v>
      </c>
      <c r="M734" t="str">
        <f t="shared" si="59"/>
        <v>Yes</v>
      </c>
      <c r="N734" t="str">
        <f t="shared" si="58"/>
        <v>No</v>
      </c>
    </row>
    <row r="735" spans="1:14" x14ac:dyDescent="0.3">
      <c r="A735" s="4" t="s">
        <v>1487</v>
      </c>
      <c r="B735" s="4" t="s">
        <v>1488</v>
      </c>
      <c r="C735" s="4" t="s">
        <v>10</v>
      </c>
      <c r="D735" s="5">
        <v>45778</v>
      </c>
      <c r="E735" s="5">
        <v>45786</v>
      </c>
      <c r="F735" s="5">
        <v>45782</v>
      </c>
      <c r="G735" s="4" t="s">
        <v>11</v>
      </c>
      <c r="H735" s="4">
        <v>7</v>
      </c>
      <c r="I735" s="2">
        <v>7</v>
      </c>
      <c r="J735">
        <f t="shared" si="55"/>
        <v>4</v>
      </c>
      <c r="K735">
        <f t="shared" si="56"/>
        <v>-4</v>
      </c>
      <c r="L735" t="str">
        <f t="shared" si="57"/>
        <v>Yes</v>
      </c>
      <c r="M735" t="str">
        <f t="shared" si="59"/>
        <v>Yes</v>
      </c>
      <c r="N735" t="str">
        <f t="shared" si="58"/>
        <v>Yes</v>
      </c>
    </row>
    <row r="736" spans="1:14" x14ac:dyDescent="0.3">
      <c r="A736" s="2" t="s">
        <v>1489</v>
      </c>
      <c r="B736" s="2" t="s">
        <v>1490</v>
      </c>
      <c r="C736" s="2" t="s">
        <v>72</v>
      </c>
      <c r="D736" s="3">
        <v>45776</v>
      </c>
      <c r="E736" s="3">
        <v>45782</v>
      </c>
      <c r="F736" s="3">
        <v>45790</v>
      </c>
      <c r="G736" s="2" t="s">
        <v>18</v>
      </c>
      <c r="H736" s="2">
        <v>19</v>
      </c>
      <c r="I736" s="2">
        <v>19</v>
      </c>
      <c r="J736">
        <f t="shared" si="55"/>
        <v>14</v>
      </c>
      <c r="K736">
        <f t="shared" si="56"/>
        <v>8</v>
      </c>
      <c r="L736" t="str">
        <f t="shared" si="57"/>
        <v>No</v>
      </c>
      <c r="M736" t="str">
        <f t="shared" si="59"/>
        <v>Yes</v>
      </c>
      <c r="N736" t="str">
        <f t="shared" si="58"/>
        <v>No</v>
      </c>
    </row>
    <row r="737" spans="1:14" x14ac:dyDescent="0.3">
      <c r="A737" s="4" t="s">
        <v>1491</v>
      </c>
      <c r="B737" s="4" t="s">
        <v>1492</v>
      </c>
      <c r="C737" s="4" t="s">
        <v>10</v>
      </c>
      <c r="D737" s="5">
        <v>45778</v>
      </c>
      <c r="E737" s="5">
        <v>45785</v>
      </c>
      <c r="F737" s="5">
        <v>45787</v>
      </c>
      <c r="G737" s="4" t="s">
        <v>40</v>
      </c>
      <c r="H737" s="4">
        <v>18</v>
      </c>
      <c r="I737" s="2">
        <v>18</v>
      </c>
      <c r="J737">
        <f t="shared" si="55"/>
        <v>9</v>
      </c>
      <c r="K737">
        <f t="shared" si="56"/>
        <v>2</v>
      </c>
      <c r="L737" t="str">
        <f t="shared" si="57"/>
        <v>No</v>
      </c>
      <c r="M737" t="str">
        <f t="shared" si="59"/>
        <v>Yes</v>
      </c>
      <c r="N737" t="str">
        <f t="shared" si="58"/>
        <v>No</v>
      </c>
    </row>
    <row r="738" spans="1:14" x14ac:dyDescent="0.3">
      <c r="A738" s="2" t="s">
        <v>1493</v>
      </c>
      <c r="B738" s="2" t="s">
        <v>1494</v>
      </c>
      <c r="C738" s="2" t="s">
        <v>21</v>
      </c>
      <c r="D738" s="3">
        <v>45778</v>
      </c>
      <c r="E738" s="3">
        <v>45780</v>
      </c>
      <c r="F738" s="3">
        <v>45784</v>
      </c>
      <c r="G738" s="2" t="s">
        <v>15</v>
      </c>
      <c r="H738" s="2">
        <v>47</v>
      </c>
      <c r="I738" s="2">
        <v>47</v>
      </c>
      <c r="J738">
        <f t="shared" si="55"/>
        <v>6</v>
      </c>
      <c r="K738">
        <f t="shared" si="56"/>
        <v>4</v>
      </c>
      <c r="L738" t="str">
        <f t="shared" si="57"/>
        <v>No</v>
      </c>
      <c r="M738" t="str">
        <f t="shared" si="59"/>
        <v>Yes</v>
      </c>
      <c r="N738" t="str">
        <f t="shared" si="58"/>
        <v>No</v>
      </c>
    </row>
    <row r="739" spans="1:14" x14ac:dyDescent="0.3">
      <c r="A739" s="4" t="s">
        <v>1495</v>
      </c>
      <c r="B739" s="4" t="s">
        <v>1496</v>
      </c>
      <c r="C739" s="4" t="s">
        <v>21</v>
      </c>
      <c r="D739" s="5">
        <v>45778</v>
      </c>
      <c r="E739" s="5">
        <v>45785</v>
      </c>
      <c r="F739" s="5">
        <v>45784</v>
      </c>
      <c r="G739" s="4" t="s">
        <v>22</v>
      </c>
      <c r="H739" s="4">
        <v>20</v>
      </c>
      <c r="I739" s="2">
        <v>20</v>
      </c>
      <c r="J739">
        <f t="shared" si="55"/>
        <v>6</v>
      </c>
      <c r="K739">
        <f t="shared" si="56"/>
        <v>-1</v>
      </c>
      <c r="L739" t="str">
        <f t="shared" si="57"/>
        <v>Yes</v>
      </c>
      <c r="M739" t="str">
        <f t="shared" si="59"/>
        <v>Yes</v>
      </c>
      <c r="N739" t="str">
        <f t="shared" si="58"/>
        <v>Yes</v>
      </c>
    </row>
    <row r="740" spans="1:14" x14ac:dyDescent="0.3">
      <c r="A740" s="2" t="s">
        <v>1497</v>
      </c>
      <c r="B740" s="2" t="s">
        <v>1498</v>
      </c>
      <c r="C740" s="2" t="s">
        <v>27</v>
      </c>
      <c r="D740" s="3">
        <v>45776</v>
      </c>
      <c r="E740" s="3">
        <v>45780</v>
      </c>
      <c r="F740" s="3">
        <v>45793</v>
      </c>
      <c r="G740" s="2" t="s">
        <v>15</v>
      </c>
      <c r="H740" s="2">
        <v>33</v>
      </c>
      <c r="I740" s="2">
        <v>33</v>
      </c>
      <c r="J740">
        <f t="shared" si="55"/>
        <v>17</v>
      </c>
      <c r="K740">
        <f t="shared" si="56"/>
        <v>13</v>
      </c>
      <c r="L740" t="str">
        <f t="shared" si="57"/>
        <v>No</v>
      </c>
      <c r="M740" t="str">
        <f t="shared" si="59"/>
        <v>Yes</v>
      </c>
      <c r="N740" t="str">
        <f t="shared" si="58"/>
        <v>No</v>
      </c>
    </row>
    <row r="741" spans="1:14" x14ac:dyDescent="0.3">
      <c r="A741" s="4" t="s">
        <v>1499</v>
      </c>
      <c r="B741" s="4" t="s">
        <v>1500</v>
      </c>
      <c r="C741" s="4" t="s">
        <v>10</v>
      </c>
      <c r="D741" s="5">
        <v>45777</v>
      </c>
      <c r="E741" s="5">
        <v>45780</v>
      </c>
      <c r="F741" s="5">
        <v>45786</v>
      </c>
      <c r="G741" s="4" t="s">
        <v>18</v>
      </c>
      <c r="H741" s="4">
        <v>10</v>
      </c>
      <c r="I741" s="2">
        <v>10</v>
      </c>
      <c r="J741">
        <f t="shared" si="55"/>
        <v>9</v>
      </c>
      <c r="K741">
        <f t="shared" si="56"/>
        <v>6</v>
      </c>
      <c r="L741" t="str">
        <f t="shared" si="57"/>
        <v>No</v>
      </c>
      <c r="M741" t="str">
        <f t="shared" si="59"/>
        <v>Yes</v>
      </c>
      <c r="N741" t="str">
        <f t="shared" si="58"/>
        <v>No</v>
      </c>
    </row>
    <row r="742" spans="1:14" x14ac:dyDescent="0.3">
      <c r="A742" s="2" t="s">
        <v>1501</v>
      </c>
      <c r="B742" s="2" t="s">
        <v>1502</v>
      </c>
      <c r="C742" s="2" t="s">
        <v>10</v>
      </c>
      <c r="D742" s="3">
        <v>45778</v>
      </c>
      <c r="E742" s="3">
        <v>45786</v>
      </c>
      <c r="F742" s="3">
        <v>45783</v>
      </c>
      <c r="G742" s="2" t="s">
        <v>15</v>
      </c>
      <c r="H742" s="2">
        <v>25</v>
      </c>
      <c r="I742" s="2">
        <v>25</v>
      </c>
      <c r="J742">
        <f t="shared" si="55"/>
        <v>5</v>
      </c>
      <c r="K742">
        <f t="shared" si="56"/>
        <v>-3</v>
      </c>
      <c r="L742" t="str">
        <f t="shared" si="57"/>
        <v>Yes</v>
      </c>
      <c r="M742" t="str">
        <f t="shared" si="59"/>
        <v>Yes</v>
      </c>
      <c r="N742" t="str">
        <f t="shared" si="58"/>
        <v>Yes</v>
      </c>
    </row>
    <row r="743" spans="1:14" x14ac:dyDescent="0.3">
      <c r="A743" s="4" t="s">
        <v>1503</v>
      </c>
      <c r="B743" s="4" t="s">
        <v>1504</v>
      </c>
      <c r="C743" s="4" t="s">
        <v>72</v>
      </c>
      <c r="D743" s="5">
        <v>45777</v>
      </c>
      <c r="E743" s="5">
        <v>45784</v>
      </c>
      <c r="F743" s="5">
        <v>45795</v>
      </c>
      <c r="G743" s="4" t="s">
        <v>15</v>
      </c>
      <c r="H743" s="4">
        <v>11</v>
      </c>
      <c r="I743" s="2">
        <v>11</v>
      </c>
      <c r="J743">
        <f t="shared" si="55"/>
        <v>18</v>
      </c>
      <c r="K743">
        <f t="shared" si="56"/>
        <v>11</v>
      </c>
      <c r="L743" t="str">
        <f t="shared" si="57"/>
        <v>No</v>
      </c>
      <c r="M743" t="str">
        <f t="shared" si="59"/>
        <v>Yes</v>
      </c>
      <c r="N743" t="str">
        <f t="shared" si="58"/>
        <v>No</v>
      </c>
    </row>
    <row r="744" spans="1:14" x14ac:dyDescent="0.3">
      <c r="A744" s="2" t="s">
        <v>1505</v>
      </c>
      <c r="B744" s="2" t="s">
        <v>1506</v>
      </c>
      <c r="C744" s="2" t="s">
        <v>14</v>
      </c>
      <c r="D744" s="3">
        <v>45777</v>
      </c>
      <c r="E744" s="3">
        <v>45780</v>
      </c>
      <c r="F744" s="3">
        <v>45796</v>
      </c>
      <c r="G744" s="2" t="s">
        <v>11</v>
      </c>
      <c r="H744" s="2">
        <v>19</v>
      </c>
      <c r="I744" s="2">
        <v>19</v>
      </c>
      <c r="J744">
        <f t="shared" si="55"/>
        <v>19</v>
      </c>
      <c r="K744">
        <f t="shared" si="56"/>
        <v>16</v>
      </c>
      <c r="L744" t="str">
        <f t="shared" si="57"/>
        <v>No</v>
      </c>
      <c r="M744" t="str">
        <f t="shared" si="59"/>
        <v>Yes</v>
      </c>
      <c r="N744" t="str">
        <f t="shared" si="58"/>
        <v>No</v>
      </c>
    </row>
    <row r="745" spans="1:14" x14ac:dyDescent="0.3">
      <c r="A745" s="4" t="s">
        <v>1507</v>
      </c>
      <c r="B745" s="4" t="s">
        <v>1508</v>
      </c>
      <c r="C745" s="4" t="s">
        <v>59</v>
      </c>
      <c r="D745" s="5">
        <v>45779</v>
      </c>
      <c r="E745" s="5">
        <v>45786</v>
      </c>
      <c r="F745" s="5">
        <v>45784</v>
      </c>
      <c r="G745" s="4" t="s">
        <v>22</v>
      </c>
      <c r="H745" s="4">
        <v>49</v>
      </c>
      <c r="I745" s="2">
        <v>49</v>
      </c>
      <c r="J745">
        <f t="shared" si="55"/>
        <v>5</v>
      </c>
      <c r="K745">
        <f t="shared" si="56"/>
        <v>-2</v>
      </c>
      <c r="L745" t="str">
        <f t="shared" si="57"/>
        <v>Yes</v>
      </c>
      <c r="M745" t="str">
        <f t="shared" si="59"/>
        <v>Yes</v>
      </c>
      <c r="N745" t="str">
        <f t="shared" si="58"/>
        <v>Yes</v>
      </c>
    </row>
    <row r="746" spans="1:14" x14ac:dyDescent="0.3">
      <c r="A746" s="2" t="s">
        <v>1509</v>
      </c>
      <c r="B746" s="2" t="s">
        <v>1510</v>
      </c>
      <c r="C746" s="2" t="s">
        <v>21</v>
      </c>
      <c r="D746" s="3">
        <v>45777</v>
      </c>
      <c r="E746" s="3">
        <v>45787</v>
      </c>
      <c r="F746" s="3">
        <v>45787</v>
      </c>
      <c r="G746" s="2" t="s">
        <v>15</v>
      </c>
      <c r="H746" s="2">
        <v>49</v>
      </c>
      <c r="I746" s="2">
        <v>49</v>
      </c>
      <c r="J746">
        <f t="shared" si="55"/>
        <v>10</v>
      </c>
      <c r="K746">
        <f t="shared" si="56"/>
        <v>0</v>
      </c>
      <c r="L746" t="str">
        <f t="shared" si="57"/>
        <v>Yes</v>
      </c>
      <c r="M746" t="str">
        <f t="shared" si="59"/>
        <v>Yes</v>
      </c>
      <c r="N746" t="str">
        <f t="shared" si="58"/>
        <v>Yes</v>
      </c>
    </row>
    <row r="747" spans="1:14" x14ac:dyDescent="0.3">
      <c r="A747" s="4" t="s">
        <v>1511</v>
      </c>
      <c r="B747" s="4" t="s">
        <v>1512</v>
      </c>
      <c r="C747" s="4" t="s">
        <v>27</v>
      </c>
      <c r="D747" s="5">
        <v>45779</v>
      </c>
      <c r="E747" s="5">
        <v>45784</v>
      </c>
      <c r="F747" s="5">
        <v>45796</v>
      </c>
      <c r="G747" s="4" t="s">
        <v>15</v>
      </c>
      <c r="H747" s="4">
        <v>8</v>
      </c>
      <c r="I747" s="2">
        <v>8</v>
      </c>
      <c r="J747">
        <f t="shared" si="55"/>
        <v>17</v>
      </c>
      <c r="K747">
        <f t="shared" si="56"/>
        <v>12</v>
      </c>
      <c r="L747" t="str">
        <f t="shared" si="57"/>
        <v>No</v>
      </c>
      <c r="M747" t="str">
        <f t="shared" si="59"/>
        <v>Yes</v>
      </c>
      <c r="N747" t="str">
        <f t="shared" si="58"/>
        <v>No</v>
      </c>
    </row>
    <row r="748" spans="1:14" x14ac:dyDescent="0.3">
      <c r="A748" s="2" t="s">
        <v>1513</v>
      </c>
      <c r="B748" s="2" t="s">
        <v>1514</v>
      </c>
      <c r="C748" s="2" t="s">
        <v>27</v>
      </c>
      <c r="D748" s="3">
        <v>45779</v>
      </c>
      <c r="E748" s="3">
        <v>45786</v>
      </c>
      <c r="F748" s="3">
        <v>45796</v>
      </c>
      <c r="G748" s="2" t="s">
        <v>11</v>
      </c>
      <c r="H748" s="2">
        <v>10</v>
      </c>
      <c r="I748" s="2">
        <v>10</v>
      </c>
      <c r="J748">
        <f t="shared" si="55"/>
        <v>17</v>
      </c>
      <c r="K748">
        <f t="shared" si="56"/>
        <v>10</v>
      </c>
      <c r="L748" t="str">
        <f t="shared" si="57"/>
        <v>No</v>
      </c>
      <c r="M748" t="str">
        <f t="shared" si="59"/>
        <v>Yes</v>
      </c>
      <c r="N748" t="str">
        <f t="shared" si="58"/>
        <v>No</v>
      </c>
    </row>
    <row r="749" spans="1:14" x14ac:dyDescent="0.3">
      <c r="A749" s="4" t="s">
        <v>1515</v>
      </c>
      <c r="B749" s="4" t="s">
        <v>1516</v>
      </c>
      <c r="C749" s="4" t="s">
        <v>34</v>
      </c>
      <c r="D749" s="5">
        <v>45778</v>
      </c>
      <c r="E749" s="5">
        <v>45786</v>
      </c>
      <c r="F749" s="5">
        <v>45785</v>
      </c>
      <c r="G749" s="4" t="s">
        <v>15</v>
      </c>
      <c r="H749" s="4">
        <v>31</v>
      </c>
      <c r="I749" s="2">
        <v>31</v>
      </c>
      <c r="J749">
        <f t="shared" si="55"/>
        <v>7</v>
      </c>
      <c r="K749">
        <f t="shared" si="56"/>
        <v>-1</v>
      </c>
      <c r="L749" t="str">
        <f t="shared" si="57"/>
        <v>Yes</v>
      </c>
      <c r="M749" t="str">
        <f t="shared" si="59"/>
        <v>Yes</v>
      </c>
      <c r="N749" t="str">
        <f t="shared" si="58"/>
        <v>Yes</v>
      </c>
    </row>
    <row r="750" spans="1:14" x14ac:dyDescent="0.3">
      <c r="A750" s="2" t="s">
        <v>1517</v>
      </c>
      <c r="B750" s="2" t="s">
        <v>1518</v>
      </c>
      <c r="C750" s="2" t="s">
        <v>37</v>
      </c>
      <c r="D750" s="3">
        <v>45779</v>
      </c>
      <c r="E750" s="3">
        <v>45788</v>
      </c>
      <c r="F750" s="3">
        <v>45792</v>
      </c>
      <c r="G750" s="2" t="s">
        <v>22</v>
      </c>
      <c r="H750" s="2">
        <v>22</v>
      </c>
      <c r="I750" s="2">
        <v>22</v>
      </c>
      <c r="J750">
        <f t="shared" si="55"/>
        <v>13</v>
      </c>
      <c r="K750">
        <f t="shared" si="56"/>
        <v>4</v>
      </c>
      <c r="L750" t="str">
        <f t="shared" si="57"/>
        <v>No</v>
      </c>
      <c r="M750" t="str">
        <f t="shared" si="59"/>
        <v>Yes</v>
      </c>
      <c r="N750" t="str">
        <f t="shared" si="58"/>
        <v>No</v>
      </c>
    </row>
    <row r="751" spans="1:14" x14ac:dyDescent="0.3">
      <c r="A751" s="4" t="s">
        <v>1519</v>
      </c>
      <c r="B751" s="4" t="s">
        <v>1520</v>
      </c>
      <c r="C751" s="4" t="s">
        <v>10</v>
      </c>
      <c r="D751" s="5">
        <v>45780</v>
      </c>
      <c r="E751" s="5">
        <v>45784</v>
      </c>
      <c r="F751" s="5">
        <v>45787</v>
      </c>
      <c r="G751" s="4" t="s">
        <v>15</v>
      </c>
      <c r="H751" s="4">
        <v>19</v>
      </c>
      <c r="I751" s="2">
        <v>21</v>
      </c>
      <c r="J751">
        <f t="shared" si="55"/>
        <v>7</v>
      </c>
      <c r="K751">
        <f t="shared" si="56"/>
        <v>3</v>
      </c>
      <c r="L751" t="str">
        <f t="shared" si="57"/>
        <v>No</v>
      </c>
      <c r="M751" t="str">
        <f t="shared" si="59"/>
        <v>No</v>
      </c>
      <c r="N751" t="str">
        <f t="shared" si="58"/>
        <v>No</v>
      </c>
    </row>
    <row r="752" spans="1:14" x14ac:dyDescent="0.3">
      <c r="A752" s="2" t="s">
        <v>1521</v>
      </c>
      <c r="B752" s="2" t="s">
        <v>1522</v>
      </c>
      <c r="C752" s="2" t="s">
        <v>72</v>
      </c>
      <c r="D752" s="3">
        <v>45778</v>
      </c>
      <c r="E752" s="3">
        <v>45781</v>
      </c>
      <c r="F752" s="3">
        <v>45791</v>
      </c>
      <c r="G752" s="2" t="s">
        <v>11</v>
      </c>
      <c r="H752" s="2">
        <v>26</v>
      </c>
      <c r="I752" s="2">
        <v>26</v>
      </c>
      <c r="J752">
        <f t="shared" si="55"/>
        <v>13</v>
      </c>
      <c r="K752">
        <f t="shared" si="56"/>
        <v>10</v>
      </c>
      <c r="L752" t="str">
        <f t="shared" si="57"/>
        <v>No</v>
      </c>
      <c r="M752" t="str">
        <f t="shared" si="59"/>
        <v>Yes</v>
      </c>
      <c r="N752" t="str">
        <f t="shared" si="58"/>
        <v>No</v>
      </c>
    </row>
    <row r="753" spans="1:14" x14ac:dyDescent="0.3">
      <c r="A753" s="4" t="s">
        <v>1523</v>
      </c>
      <c r="B753" s="4" t="s">
        <v>1524</v>
      </c>
      <c r="C753" s="4" t="s">
        <v>14</v>
      </c>
      <c r="D753" s="5">
        <v>45779</v>
      </c>
      <c r="E753" s="5">
        <v>45782</v>
      </c>
      <c r="F753" s="5">
        <v>45794</v>
      </c>
      <c r="G753" s="4" t="s">
        <v>18</v>
      </c>
      <c r="H753" s="4">
        <v>32</v>
      </c>
      <c r="I753" s="2">
        <v>34</v>
      </c>
      <c r="J753">
        <f t="shared" si="55"/>
        <v>15</v>
      </c>
      <c r="K753">
        <f t="shared" si="56"/>
        <v>12</v>
      </c>
      <c r="L753" t="str">
        <f t="shared" si="57"/>
        <v>No</v>
      </c>
      <c r="M753" t="str">
        <f t="shared" si="59"/>
        <v>No</v>
      </c>
      <c r="N753" t="str">
        <f t="shared" si="58"/>
        <v>No</v>
      </c>
    </row>
    <row r="754" spans="1:14" x14ac:dyDescent="0.3">
      <c r="A754" s="2" t="s">
        <v>1525</v>
      </c>
      <c r="B754" s="2" t="s">
        <v>1526</v>
      </c>
      <c r="C754" s="2" t="s">
        <v>21</v>
      </c>
      <c r="D754" s="3">
        <v>45780</v>
      </c>
      <c r="E754" s="3">
        <v>45785</v>
      </c>
      <c r="F754" s="3">
        <v>45786</v>
      </c>
      <c r="G754" s="2" t="s">
        <v>15</v>
      </c>
      <c r="H754" s="2">
        <v>37</v>
      </c>
      <c r="I754" s="2">
        <v>37</v>
      </c>
      <c r="J754">
        <f t="shared" si="55"/>
        <v>6</v>
      </c>
      <c r="K754">
        <f t="shared" si="56"/>
        <v>1</v>
      </c>
      <c r="L754" t="str">
        <f t="shared" si="57"/>
        <v>No</v>
      </c>
      <c r="M754" t="str">
        <f t="shared" si="59"/>
        <v>Yes</v>
      </c>
      <c r="N754" t="str">
        <f t="shared" si="58"/>
        <v>No</v>
      </c>
    </row>
    <row r="755" spans="1:14" x14ac:dyDescent="0.3">
      <c r="A755" s="4" t="s">
        <v>1527</v>
      </c>
      <c r="B755" s="4" t="s">
        <v>1528</v>
      </c>
      <c r="C755" s="4" t="s">
        <v>27</v>
      </c>
      <c r="D755" s="5">
        <v>45779</v>
      </c>
      <c r="E755" s="5">
        <v>45781</v>
      </c>
      <c r="F755" s="5">
        <v>45796</v>
      </c>
      <c r="G755" s="4" t="s">
        <v>15</v>
      </c>
      <c r="H755" s="4">
        <v>7</v>
      </c>
      <c r="I755" s="2">
        <v>7</v>
      </c>
      <c r="J755">
        <f t="shared" si="55"/>
        <v>17</v>
      </c>
      <c r="K755">
        <f t="shared" si="56"/>
        <v>15</v>
      </c>
      <c r="L755" t="str">
        <f t="shared" si="57"/>
        <v>No</v>
      </c>
      <c r="M755" t="str">
        <f t="shared" si="59"/>
        <v>Yes</v>
      </c>
      <c r="N755" t="str">
        <f t="shared" si="58"/>
        <v>No</v>
      </c>
    </row>
    <row r="756" spans="1:14" x14ac:dyDescent="0.3">
      <c r="A756" s="2" t="s">
        <v>1529</v>
      </c>
      <c r="B756" s="2" t="s">
        <v>1530</v>
      </c>
      <c r="C756" s="2" t="s">
        <v>37</v>
      </c>
      <c r="D756" s="3">
        <v>45779</v>
      </c>
      <c r="E756" s="3">
        <v>45786</v>
      </c>
      <c r="F756" s="3">
        <v>45791</v>
      </c>
      <c r="G756" s="2" t="s">
        <v>15</v>
      </c>
      <c r="H756" s="2">
        <v>39</v>
      </c>
      <c r="I756" s="2">
        <v>39</v>
      </c>
      <c r="J756">
        <f t="shared" si="55"/>
        <v>12</v>
      </c>
      <c r="K756">
        <f t="shared" si="56"/>
        <v>5</v>
      </c>
      <c r="L756" t="str">
        <f t="shared" si="57"/>
        <v>No</v>
      </c>
      <c r="M756" t="str">
        <f t="shared" si="59"/>
        <v>Yes</v>
      </c>
      <c r="N756" t="str">
        <f t="shared" si="58"/>
        <v>No</v>
      </c>
    </row>
    <row r="757" spans="1:14" x14ac:dyDescent="0.3">
      <c r="A757" s="4" t="s">
        <v>1531</v>
      </c>
      <c r="B757" s="4" t="s">
        <v>1532</v>
      </c>
      <c r="C757" s="4" t="s">
        <v>37</v>
      </c>
      <c r="D757" s="5">
        <v>45781</v>
      </c>
      <c r="E757" s="5">
        <v>45788</v>
      </c>
      <c r="F757" s="5">
        <v>45793</v>
      </c>
      <c r="G757" s="4" t="s">
        <v>22</v>
      </c>
      <c r="H757" s="4">
        <v>45</v>
      </c>
      <c r="I757" s="2">
        <v>53</v>
      </c>
      <c r="J757">
        <f t="shared" si="55"/>
        <v>12</v>
      </c>
      <c r="K757">
        <f t="shared" si="56"/>
        <v>5</v>
      </c>
      <c r="L757" t="str">
        <f t="shared" si="57"/>
        <v>No</v>
      </c>
      <c r="M757" t="str">
        <f t="shared" si="59"/>
        <v>No</v>
      </c>
      <c r="N757" t="str">
        <f t="shared" si="58"/>
        <v>No</v>
      </c>
    </row>
    <row r="758" spans="1:14" x14ac:dyDescent="0.3">
      <c r="A758" s="2" t="s">
        <v>1533</v>
      </c>
      <c r="B758" s="2" t="s">
        <v>1534</v>
      </c>
      <c r="C758" s="2" t="s">
        <v>10</v>
      </c>
      <c r="D758" s="3">
        <v>45781</v>
      </c>
      <c r="E758" s="3">
        <v>45788</v>
      </c>
      <c r="F758" s="3">
        <v>45788</v>
      </c>
      <c r="G758" s="2" t="s">
        <v>22</v>
      </c>
      <c r="H758" s="2">
        <v>12</v>
      </c>
      <c r="I758" s="2">
        <v>17</v>
      </c>
      <c r="J758">
        <f t="shared" si="55"/>
        <v>7</v>
      </c>
      <c r="K758">
        <f t="shared" si="56"/>
        <v>0</v>
      </c>
      <c r="L758" t="str">
        <f t="shared" si="57"/>
        <v>Yes</v>
      </c>
      <c r="M758" t="str">
        <f t="shared" si="59"/>
        <v>No</v>
      </c>
      <c r="N758" t="str">
        <f t="shared" si="58"/>
        <v>No</v>
      </c>
    </row>
    <row r="759" spans="1:14" x14ac:dyDescent="0.3">
      <c r="A759" s="4" t="s">
        <v>1535</v>
      </c>
      <c r="B759" s="4" t="s">
        <v>1536</v>
      </c>
      <c r="C759" s="4" t="s">
        <v>21</v>
      </c>
      <c r="D759" s="5">
        <v>45781</v>
      </c>
      <c r="E759" s="5">
        <v>45785</v>
      </c>
      <c r="F759" s="5">
        <v>45787</v>
      </c>
      <c r="G759" s="4" t="s">
        <v>15</v>
      </c>
      <c r="H759" s="4">
        <v>31</v>
      </c>
      <c r="I759" s="2">
        <v>31</v>
      </c>
      <c r="J759">
        <f t="shared" si="55"/>
        <v>6</v>
      </c>
      <c r="K759">
        <f t="shared" si="56"/>
        <v>2</v>
      </c>
      <c r="L759" t="str">
        <f t="shared" si="57"/>
        <v>No</v>
      </c>
      <c r="M759" t="str">
        <f t="shared" si="59"/>
        <v>Yes</v>
      </c>
      <c r="N759" t="str">
        <f t="shared" si="58"/>
        <v>No</v>
      </c>
    </row>
    <row r="760" spans="1:14" x14ac:dyDescent="0.3">
      <c r="A760" s="2" t="s">
        <v>1537</v>
      </c>
      <c r="B760" s="2" t="s">
        <v>1538</v>
      </c>
      <c r="C760" s="2" t="s">
        <v>27</v>
      </c>
      <c r="D760" s="3">
        <v>45780</v>
      </c>
      <c r="E760" s="3">
        <v>45789</v>
      </c>
      <c r="F760" s="3">
        <v>45794</v>
      </c>
      <c r="G760" s="2" t="s">
        <v>15</v>
      </c>
      <c r="H760" s="2">
        <v>11</v>
      </c>
      <c r="I760" s="2">
        <v>11</v>
      </c>
      <c r="J760">
        <f t="shared" si="55"/>
        <v>14</v>
      </c>
      <c r="K760">
        <f t="shared" si="56"/>
        <v>5</v>
      </c>
      <c r="L760" t="str">
        <f t="shared" si="57"/>
        <v>No</v>
      </c>
      <c r="M760" t="str">
        <f t="shared" si="59"/>
        <v>Yes</v>
      </c>
      <c r="N760" t="str">
        <f t="shared" si="58"/>
        <v>No</v>
      </c>
    </row>
    <row r="761" spans="1:14" x14ac:dyDescent="0.3">
      <c r="A761" s="4" t="s">
        <v>1539</v>
      </c>
      <c r="B761" s="4" t="s">
        <v>1540</v>
      </c>
      <c r="C761" s="4" t="s">
        <v>34</v>
      </c>
      <c r="D761" s="5">
        <v>45780</v>
      </c>
      <c r="E761" s="5">
        <v>45788</v>
      </c>
      <c r="F761" s="5">
        <v>45788</v>
      </c>
      <c r="G761" s="4" t="s">
        <v>15</v>
      </c>
      <c r="H761" s="4">
        <v>28</v>
      </c>
      <c r="I761" s="2">
        <v>28</v>
      </c>
      <c r="J761">
        <f t="shared" si="55"/>
        <v>8</v>
      </c>
      <c r="K761">
        <f t="shared" si="56"/>
        <v>0</v>
      </c>
      <c r="L761" t="str">
        <f t="shared" si="57"/>
        <v>Yes</v>
      </c>
      <c r="M761" t="str">
        <f t="shared" si="59"/>
        <v>Yes</v>
      </c>
      <c r="N761" t="str">
        <f t="shared" si="58"/>
        <v>Yes</v>
      </c>
    </row>
    <row r="762" spans="1:14" x14ac:dyDescent="0.3">
      <c r="A762" s="2" t="s">
        <v>1541</v>
      </c>
      <c r="B762" s="2" t="s">
        <v>1542</v>
      </c>
      <c r="C762" s="2" t="s">
        <v>37</v>
      </c>
      <c r="D762" s="3">
        <v>45780</v>
      </c>
      <c r="E762" s="3">
        <v>45783</v>
      </c>
      <c r="F762" s="3">
        <v>45793</v>
      </c>
      <c r="G762" s="2" t="s">
        <v>15</v>
      </c>
      <c r="H762" s="2">
        <v>24</v>
      </c>
      <c r="I762" s="2">
        <v>24</v>
      </c>
      <c r="J762">
        <f t="shared" si="55"/>
        <v>13</v>
      </c>
      <c r="K762">
        <f t="shared" si="56"/>
        <v>10</v>
      </c>
      <c r="L762" t="str">
        <f t="shared" si="57"/>
        <v>No</v>
      </c>
      <c r="M762" t="str">
        <f t="shared" si="59"/>
        <v>Yes</v>
      </c>
      <c r="N762" t="str">
        <f t="shared" si="58"/>
        <v>No</v>
      </c>
    </row>
    <row r="763" spans="1:14" x14ac:dyDescent="0.3">
      <c r="A763" s="4" t="s">
        <v>1543</v>
      </c>
      <c r="B763" s="4" t="s">
        <v>1544</v>
      </c>
      <c r="C763" s="4" t="s">
        <v>10</v>
      </c>
      <c r="D763" s="5">
        <v>45780</v>
      </c>
      <c r="E763" s="5">
        <v>45787</v>
      </c>
      <c r="F763" s="5">
        <v>45789</v>
      </c>
      <c r="G763" s="4" t="s">
        <v>40</v>
      </c>
      <c r="H763" s="4">
        <v>13</v>
      </c>
      <c r="I763" s="2">
        <v>13</v>
      </c>
      <c r="J763">
        <f t="shared" si="55"/>
        <v>9</v>
      </c>
      <c r="K763">
        <f t="shared" si="56"/>
        <v>2</v>
      </c>
      <c r="L763" t="str">
        <f t="shared" si="57"/>
        <v>No</v>
      </c>
      <c r="M763" t="str">
        <f t="shared" si="59"/>
        <v>Yes</v>
      </c>
      <c r="N763" t="str">
        <f t="shared" si="58"/>
        <v>No</v>
      </c>
    </row>
    <row r="764" spans="1:14" x14ac:dyDescent="0.3">
      <c r="A764" s="2" t="s">
        <v>1545</v>
      </c>
      <c r="B764" s="2" t="s">
        <v>1546</v>
      </c>
      <c r="C764" s="2" t="s">
        <v>59</v>
      </c>
      <c r="D764" s="3">
        <v>45781</v>
      </c>
      <c r="E764" s="3">
        <v>45789</v>
      </c>
      <c r="F764" s="3">
        <v>45787</v>
      </c>
      <c r="G764" s="2" t="s">
        <v>22</v>
      </c>
      <c r="H764" s="2">
        <v>11</v>
      </c>
      <c r="I764" s="2">
        <v>11</v>
      </c>
      <c r="J764">
        <f t="shared" si="55"/>
        <v>6</v>
      </c>
      <c r="K764">
        <f t="shared" si="56"/>
        <v>-2</v>
      </c>
      <c r="L764" t="str">
        <f t="shared" si="57"/>
        <v>Yes</v>
      </c>
      <c r="M764" t="str">
        <f t="shared" si="59"/>
        <v>Yes</v>
      </c>
      <c r="N764" t="str">
        <f t="shared" si="58"/>
        <v>Yes</v>
      </c>
    </row>
    <row r="765" spans="1:14" x14ac:dyDescent="0.3">
      <c r="A765" s="4" t="s">
        <v>1547</v>
      </c>
      <c r="B765" s="4" t="s">
        <v>1548</v>
      </c>
      <c r="C765" s="4" t="s">
        <v>14</v>
      </c>
      <c r="D765" s="5">
        <v>45781</v>
      </c>
      <c r="E765" s="5">
        <v>45785</v>
      </c>
      <c r="F765" s="5">
        <v>45798</v>
      </c>
      <c r="G765" s="4" t="s">
        <v>18</v>
      </c>
      <c r="H765" s="4">
        <v>45</v>
      </c>
      <c r="I765" s="2">
        <v>45</v>
      </c>
      <c r="J765">
        <f t="shared" si="55"/>
        <v>17</v>
      </c>
      <c r="K765">
        <f t="shared" si="56"/>
        <v>13</v>
      </c>
      <c r="L765" t="str">
        <f t="shared" si="57"/>
        <v>No</v>
      </c>
      <c r="M765" t="str">
        <f t="shared" si="59"/>
        <v>Yes</v>
      </c>
      <c r="N765" t="str">
        <f t="shared" si="58"/>
        <v>No</v>
      </c>
    </row>
    <row r="766" spans="1:14" x14ac:dyDescent="0.3">
      <c r="A766" s="2" t="s">
        <v>1549</v>
      </c>
      <c r="B766" s="2" t="s">
        <v>1550</v>
      </c>
      <c r="C766" s="2" t="s">
        <v>21</v>
      </c>
      <c r="D766" s="3">
        <v>45782</v>
      </c>
      <c r="E766" s="3">
        <v>45785</v>
      </c>
      <c r="F766" s="3">
        <v>45789</v>
      </c>
      <c r="G766" s="2" t="s">
        <v>40</v>
      </c>
      <c r="H766" s="2">
        <v>29</v>
      </c>
      <c r="I766" s="2">
        <v>29</v>
      </c>
      <c r="J766">
        <f t="shared" si="55"/>
        <v>7</v>
      </c>
      <c r="K766">
        <f t="shared" si="56"/>
        <v>4</v>
      </c>
      <c r="L766" t="str">
        <f t="shared" si="57"/>
        <v>No</v>
      </c>
      <c r="M766" t="str">
        <f t="shared" si="59"/>
        <v>Yes</v>
      </c>
      <c r="N766" t="str">
        <f t="shared" si="58"/>
        <v>No</v>
      </c>
    </row>
    <row r="767" spans="1:14" x14ac:dyDescent="0.3">
      <c r="A767" s="4" t="s">
        <v>1551</v>
      </c>
      <c r="B767" s="4" t="s">
        <v>1552</v>
      </c>
      <c r="C767" s="4" t="s">
        <v>21</v>
      </c>
      <c r="D767" s="5">
        <v>45782</v>
      </c>
      <c r="E767" s="5">
        <v>45785</v>
      </c>
      <c r="F767" s="5">
        <v>45790</v>
      </c>
      <c r="G767" s="4" t="s">
        <v>11</v>
      </c>
      <c r="H767" s="4">
        <v>24</v>
      </c>
      <c r="I767" s="2">
        <v>24</v>
      </c>
      <c r="J767">
        <f t="shared" si="55"/>
        <v>8</v>
      </c>
      <c r="K767">
        <f t="shared" si="56"/>
        <v>5</v>
      </c>
      <c r="L767" t="str">
        <f t="shared" si="57"/>
        <v>No</v>
      </c>
      <c r="M767" t="str">
        <f t="shared" si="59"/>
        <v>Yes</v>
      </c>
      <c r="N767" t="str">
        <f t="shared" si="58"/>
        <v>No</v>
      </c>
    </row>
    <row r="768" spans="1:14" x14ac:dyDescent="0.3">
      <c r="A768" s="2" t="s">
        <v>1553</v>
      </c>
      <c r="B768" s="2" t="s">
        <v>1554</v>
      </c>
      <c r="C768" s="2" t="s">
        <v>27</v>
      </c>
      <c r="D768" s="3">
        <v>45780</v>
      </c>
      <c r="E768" s="3">
        <v>45784</v>
      </c>
      <c r="F768" s="3">
        <v>45794</v>
      </c>
      <c r="G768" s="2" t="s">
        <v>11</v>
      </c>
      <c r="H768" s="2">
        <v>5</v>
      </c>
      <c r="I768" s="2">
        <v>12</v>
      </c>
      <c r="J768">
        <f t="shared" si="55"/>
        <v>14</v>
      </c>
      <c r="K768">
        <f t="shared" si="56"/>
        <v>10</v>
      </c>
      <c r="L768" t="str">
        <f t="shared" si="57"/>
        <v>No</v>
      </c>
      <c r="M768" t="str">
        <f t="shared" si="59"/>
        <v>No</v>
      </c>
      <c r="N768" t="str">
        <f t="shared" si="58"/>
        <v>No</v>
      </c>
    </row>
    <row r="769" spans="1:14" x14ac:dyDescent="0.3">
      <c r="A769" s="4" t="s">
        <v>1555</v>
      </c>
      <c r="B769" s="4" t="s">
        <v>1556</v>
      </c>
      <c r="C769" s="4" t="s">
        <v>34</v>
      </c>
      <c r="D769" s="5">
        <v>45781</v>
      </c>
      <c r="E769" s="5">
        <v>45784</v>
      </c>
      <c r="F769" s="5">
        <v>45787</v>
      </c>
      <c r="G769" s="4" t="s">
        <v>18</v>
      </c>
      <c r="H769" s="4">
        <v>20</v>
      </c>
      <c r="I769" s="2">
        <v>20</v>
      </c>
      <c r="J769">
        <f t="shared" si="55"/>
        <v>6</v>
      </c>
      <c r="K769">
        <f t="shared" si="56"/>
        <v>3</v>
      </c>
      <c r="L769" t="str">
        <f t="shared" si="57"/>
        <v>No</v>
      </c>
      <c r="M769" t="str">
        <f t="shared" si="59"/>
        <v>Yes</v>
      </c>
      <c r="N769" t="str">
        <f t="shared" si="58"/>
        <v>No</v>
      </c>
    </row>
    <row r="770" spans="1:14" x14ac:dyDescent="0.3">
      <c r="A770" s="2" t="s">
        <v>1557</v>
      </c>
      <c r="B770" s="2" t="s">
        <v>1558</v>
      </c>
      <c r="C770" s="2" t="s">
        <v>72</v>
      </c>
      <c r="D770" s="3">
        <v>45781</v>
      </c>
      <c r="E770" s="3">
        <v>45788</v>
      </c>
      <c r="F770" s="3">
        <v>45795</v>
      </c>
      <c r="G770" s="2" t="s">
        <v>40</v>
      </c>
      <c r="H770" s="2">
        <v>8</v>
      </c>
      <c r="I770" s="2">
        <v>9</v>
      </c>
      <c r="J770">
        <f t="shared" si="55"/>
        <v>14</v>
      </c>
      <c r="K770">
        <f t="shared" si="56"/>
        <v>7</v>
      </c>
      <c r="L770" t="str">
        <f t="shared" si="57"/>
        <v>No</v>
      </c>
      <c r="M770" t="str">
        <f t="shared" si="59"/>
        <v>No</v>
      </c>
      <c r="N770" t="str">
        <f t="shared" si="58"/>
        <v>No</v>
      </c>
    </row>
    <row r="771" spans="1:14" x14ac:dyDescent="0.3">
      <c r="A771" s="4" t="s">
        <v>1559</v>
      </c>
      <c r="B771" s="4" t="s">
        <v>1560</v>
      </c>
      <c r="C771" s="4" t="s">
        <v>10</v>
      </c>
      <c r="D771" s="5">
        <v>45783</v>
      </c>
      <c r="E771" s="5">
        <v>45786</v>
      </c>
      <c r="F771" s="5">
        <v>45787</v>
      </c>
      <c r="G771" s="4" t="s">
        <v>22</v>
      </c>
      <c r="H771" s="4">
        <v>32</v>
      </c>
      <c r="I771" s="2">
        <v>32</v>
      </c>
      <c r="J771">
        <f t="shared" ref="J771:J834" si="60">F771-D771</f>
        <v>4</v>
      </c>
      <c r="K771">
        <f t="shared" ref="K771:K834" si="61">F771-E771</f>
        <v>1</v>
      </c>
      <c r="L771" t="str">
        <f t="shared" ref="L771:L834" si="62">IF(K771&lt;=0,"Yes","No")</f>
        <v>No</v>
      </c>
      <c r="M771" t="str">
        <f t="shared" si="59"/>
        <v>Yes</v>
      </c>
      <c r="N771" t="str">
        <f t="shared" ref="N771:N834" si="63">IF(AND(L771="Yes",M771="Yes"),"Yes","No")</f>
        <v>No</v>
      </c>
    </row>
    <row r="772" spans="1:14" x14ac:dyDescent="0.3">
      <c r="A772" s="2" t="s">
        <v>1561</v>
      </c>
      <c r="B772" s="2" t="s">
        <v>1562</v>
      </c>
      <c r="C772" s="2" t="s">
        <v>14</v>
      </c>
      <c r="D772" s="3">
        <v>45782</v>
      </c>
      <c r="E772" s="3">
        <v>45791</v>
      </c>
      <c r="F772" s="3">
        <v>45801</v>
      </c>
      <c r="G772" s="2" t="s">
        <v>11</v>
      </c>
      <c r="H772" s="2">
        <v>22</v>
      </c>
      <c r="I772" s="2">
        <v>22</v>
      </c>
      <c r="J772">
        <f t="shared" si="60"/>
        <v>19</v>
      </c>
      <c r="K772">
        <f t="shared" si="61"/>
        <v>10</v>
      </c>
      <c r="L772" t="str">
        <f t="shared" si="62"/>
        <v>No</v>
      </c>
      <c r="M772" t="str">
        <f t="shared" ref="M772:M835" si="64">IF(H772=I772,"Yes","No")</f>
        <v>Yes</v>
      </c>
      <c r="N772" t="str">
        <f t="shared" si="63"/>
        <v>No</v>
      </c>
    </row>
    <row r="773" spans="1:14" x14ac:dyDescent="0.3">
      <c r="A773" s="4" t="s">
        <v>1563</v>
      </c>
      <c r="B773" s="4" t="s">
        <v>1564</v>
      </c>
      <c r="C773" s="4" t="s">
        <v>21</v>
      </c>
      <c r="D773" s="5">
        <v>45782</v>
      </c>
      <c r="E773" s="5">
        <v>45790</v>
      </c>
      <c r="F773" s="5">
        <v>45788</v>
      </c>
      <c r="G773" s="4" t="s">
        <v>22</v>
      </c>
      <c r="H773" s="4">
        <v>38</v>
      </c>
      <c r="I773" s="2">
        <v>39</v>
      </c>
      <c r="J773">
        <f t="shared" si="60"/>
        <v>6</v>
      </c>
      <c r="K773">
        <f t="shared" si="61"/>
        <v>-2</v>
      </c>
      <c r="L773" t="str">
        <f t="shared" si="62"/>
        <v>Yes</v>
      </c>
      <c r="M773" t="str">
        <f t="shared" si="64"/>
        <v>No</v>
      </c>
      <c r="N773" t="str">
        <f t="shared" si="63"/>
        <v>No</v>
      </c>
    </row>
    <row r="774" spans="1:14" x14ac:dyDescent="0.3">
      <c r="A774" s="2" t="s">
        <v>1565</v>
      </c>
      <c r="B774" s="2" t="s">
        <v>1566</v>
      </c>
      <c r="C774" s="2" t="s">
        <v>21</v>
      </c>
      <c r="D774" s="3">
        <v>45782</v>
      </c>
      <c r="E774" s="3">
        <v>45784</v>
      </c>
      <c r="F774" s="3">
        <v>45789</v>
      </c>
      <c r="G774" s="2" t="s">
        <v>11</v>
      </c>
      <c r="H774" s="2">
        <v>27</v>
      </c>
      <c r="I774" s="2">
        <v>27</v>
      </c>
      <c r="J774">
        <f t="shared" si="60"/>
        <v>7</v>
      </c>
      <c r="K774">
        <f t="shared" si="61"/>
        <v>5</v>
      </c>
      <c r="L774" t="str">
        <f t="shared" si="62"/>
        <v>No</v>
      </c>
      <c r="M774" t="str">
        <f t="shared" si="64"/>
        <v>Yes</v>
      </c>
      <c r="N774" t="str">
        <f t="shared" si="63"/>
        <v>No</v>
      </c>
    </row>
    <row r="775" spans="1:14" x14ac:dyDescent="0.3">
      <c r="A775" s="4" t="s">
        <v>1567</v>
      </c>
      <c r="B775" s="4" t="s">
        <v>1568</v>
      </c>
      <c r="C775" s="4" t="s">
        <v>27</v>
      </c>
      <c r="D775" s="5">
        <v>45783</v>
      </c>
      <c r="E775" s="5">
        <v>45787</v>
      </c>
      <c r="F775" s="5">
        <v>45798</v>
      </c>
      <c r="G775" s="4" t="s">
        <v>15</v>
      </c>
      <c r="H775" s="4">
        <v>28</v>
      </c>
      <c r="I775" s="2">
        <v>28</v>
      </c>
      <c r="J775">
        <f t="shared" si="60"/>
        <v>15</v>
      </c>
      <c r="K775">
        <f t="shared" si="61"/>
        <v>11</v>
      </c>
      <c r="L775" t="str">
        <f t="shared" si="62"/>
        <v>No</v>
      </c>
      <c r="M775" t="str">
        <f t="shared" si="64"/>
        <v>Yes</v>
      </c>
      <c r="N775" t="str">
        <f t="shared" si="63"/>
        <v>No</v>
      </c>
    </row>
    <row r="776" spans="1:14" x14ac:dyDescent="0.3">
      <c r="A776" s="2" t="s">
        <v>1569</v>
      </c>
      <c r="B776" s="2" t="s">
        <v>1570</v>
      </c>
      <c r="C776" s="2" t="s">
        <v>27</v>
      </c>
      <c r="D776" s="3">
        <v>45782</v>
      </c>
      <c r="E776" s="3">
        <v>45791</v>
      </c>
      <c r="F776" s="3">
        <v>45796</v>
      </c>
      <c r="G776" s="2" t="s">
        <v>15</v>
      </c>
      <c r="H776" s="2">
        <v>12</v>
      </c>
      <c r="I776" s="2">
        <v>12</v>
      </c>
      <c r="J776">
        <f t="shared" si="60"/>
        <v>14</v>
      </c>
      <c r="K776">
        <f t="shared" si="61"/>
        <v>5</v>
      </c>
      <c r="L776" t="str">
        <f t="shared" si="62"/>
        <v>No</v>
      </c>
      <c r="M776" t="str">
        <f t="shared" si="64"/>
        <v>Yes</v>
      </c>
      <c r="N776" t="str">
        <f t="shared" si="63"/>
        <v>No</v>
      </c>
    </row>
    <row r="777" spans="1:14" x14ac:dyDescent="0.3">
      <c r="A777" s="4" t="s">
        <v>1571</v>
      </c>
      <c r="B777" s="4" t="s">
        <v>1572</v>
      </c>
      <c r="C777" s="4" t="s">
        <v>34</v>
      </c>
      <c r="D777" s="5">
        <v>45782</v>
      </c>
      <c r="E777" s="5">
        <v>45785</v>
      </c>
      <c r="F777" s="5">
        <v>45789</v>
      </c>
      <c r="G777" s="4" t="s">
        <v>15</v>
      </c>
      <c r="H777" s="4">
        <v>9</v>
      </c>
      <c r="I777" s="2">
        <v>9</v>
      </c>
      <c r="J777">
        <f t="shared" si="60"/>
        <v>7</v>
      </c>
      <c r="K777">
        <f t="shared" si="61"/>
        <v>4</v>
      </c>
      <c r="L777" t="str">
        <f t="shared" si="62"/>
        <v>No</v>
      </c>
      <c r="M777" t="str">
        <f t="shared" si="64"/>
        <v>Yes</v>
      </c>
      <c r="N777" t="str">
        <f t="shared" si="63"/>
        <v>No</v>
      </c>
    </row>
    <row r="778" spans="1:14" x14ac:dyDescent="0.3">
      <c r="A778" s="2" t="s">
        <v>1573</v>
      </c>
      <c r="B778" s="2" t="s">
        <v>1574</v>
      </c>
      <c r="C778" s="2" t="s">
        <v>72</v>
      </c>
      <c r="D778" s="3">
        <v>45783</v>
      </c>
      <c r="E778" s="3">
        <v>45785</v>
      </c>
      <c r="F778" s="3">
        <v>45799</v>
      </c>
      <c r="G778" s="2" t="s">
        <v>11</v>
      </c>
      <c r="H778" s="2">
        <v>19</v>
      </c>
      <c r="I778" s="2">
        <v>19</v>
      </c>
      <c r="J778">
        <f t="shared" si="60"/>
        <v>16</v>
      </c>
      <c r="K778">
        <f t="shared" si="61"/>
        <v>14</v>
      </c>
      <c r="L778" t="str">
        <f t="shared" si="62"/>
        <v>No</v>
      </c>
      <c r="M778" t="str">
        <f t="shared" si="64"/>
        <v>Yes</v>
      </c>
      <c r="N778" t="str">
        <f t="shared" si="63"/>
        <v>No</v>
      </c>
    </row>
    <row r="779" spans="1:14" x14ac:dyDescent="0.3">
      <c r="A779" s="4" t="s">
        <v>1575</v>
      </c>
      <c r="B779" s="4" t="s">
        <v>1576</v>
      </c>
      <c r="C779" s="4" t="s">
        <v>14</v>
      </c>
      <c r="D779" s="5">
        <v>45782</v>
      </c>
      <c r="E779" s="5">
        <v>45788</v>
      </c>
      <c r="F779" s="5">
        <v>45796</v>
      </c>
      <c r="G779" s="4" t="s">
        <v>11</v>
      </c>
      <c r="H779" s="4">
        <v>11</v>
      </c>
      <c r="I779" s="2">
        <v>11</v>
      </c>
      <c r="J779">
        <f t="shared" si="60"/>
        <v>14</v>
      </c>
      <c r="K779">
        <f t="shared" si="61"/>
        <v>8</v>
      </c>
      <c r="L779" t="str">
        <f t="shared" si="62"/>
        <v>No</v>
      </c>
      <c r="M779" t="str">
        <f t="shared" si="64"/>
        <v>Yes</v>
      </c>
      <c r="N779" t="str">
        <f t="shared" si="63"/>
        <v>No</v>
      </c>
    </row>
    <row r="780" spans="1:14" x14ac:dyDescent="0.3">
      <c r="A780" s="2" t="s">
        <v>1577</v>
      </c>
      <c r="B780" s="2" t="s">
        <v>1578</v>
      </c>
      <c r="C780" s="2" t="s">
        <v>14</v>
      </c>
      <c r="D780" s="3">
        <v>45784</v>
      </c>
      <c r="E780" s="3">
        <v>45785</v>
      </c>
      <c r="F780" s="3">
        <v>45799</v>
      </c>
      <c r="G780" s="2" t="s">
        <v>22</v>
      </c>
      <c r="H780" s="2">
        <v>11</v>
      </c>
      <c r="I780" s="2">
        <v>11</v>
      </c>
      <c r="J780">
        <f t="shared" si="60"/>
        <v>15</v>
      </c>
      <c r="K780">
        <f t="shared" si="61"/>
        <v>14</v>
      </c>
      <c r="L780" t="str">
        <f t="shared" si="62"/>
        <v>No</v>
      </c>
      <c r="M780" t="str">
        <f t="shared" si="64"/>
        <v>Yes</v>
      </c>
      <c r="N780" t="str">
        <f t="shared" si="63"/>
        <v>No</v>
      </c>
    </row>
    <row r="781" spans="1:14" x14ac:dyDescent="0.3">
      <c r="A781" s="4" t="s">
        <v>1579</v>
      </c>
      <c r="B781" s="4" t="s">
        <v>1580</v>
      </c>
      <c r="C781" s="4" t="s">
        <v>21</v>
      </c>
      <c r="D781" s="5">
        <v>45783</v>
      </c>
      <c r="E781" s="5">
        <v>45789</v>
      </c>
      <c r="F781" s="5">
        <v>45790</v>
      </c>
      <c r="G781" s="4" t="s">
        <v>40</v>
      </c>
      <c r="H781" s="4">
        <v>53</v>
      </c>
      <c r="I781" s="2">
        <v>53</v>
      </c>
      <c r="J781">
        <f t="shared" si="60"/>
        <v>7</v>
      </c>
      <c r="K781">
        <f t="shared" si="61"/>
        <v>1</v>
      </c>
      <c r="L781" t="str">
        <f t="shared" si="62"/>
        <v>No</v>
      </c>
      <c r="M781" t="str">
        <f t="shared" si="64"/>
        <v>Yes</v>
      </c>
      <c r="N781" t="str">
        <f t="shared" si="63"/>
        <v>No</v>
      </c>
    </row>
    <row r="782" spans="1:14" x14ac:dyDescent="0.3">
      <c r="A782" s="2" t="s">
        <v>1581</v>
      </c>
      <c r="B782" s="2" t="s">
        <v>1582</v>
      </c>
      <c r="C782" s="2" t="s">
        <v>21</v>
      </c>
      <c r="D782" s="3">
        <v>45783</v>
      </c>
      <c r="E782" s="3">
        <v>45787</v>
      </c>
      <c r="F782" s="3">
        <v>45788</v>
      </c>
      <c r="G782" s="2" t="s">
        <v>40</v>
      </c>
      <c r="H782" s="2">
        <v>18</v>
      </c>
      <c r="I782" s="2">
        <v>24</v>
      </c>
      <c r="J782">
        <f t="shared" si="60"/>
        <v>5</v>
      </c>
      <c r="K782">
        <f t="shared" si="61"/>
        <v>1</v>
      </c>
      <c r="L782" t="str">
        <f t="shared" si="62"/>
        <v>No</v>
      </c>
      <c r="M782" t="str">
        <f t="shared" si="64"/>
        <v>No</v>
      </c>
      <c r="N782" t="str">
        <f t="shared" si="63"/>
        <v>No</v>
      </c>
    </row>
    <row r="783" spans="1:14" x14ac:dyDescent="0.3">
      <c r="A783" s="4" t="s">
        <v>1583</v>
      </c>
      <c r="B783" s="4" t="s">
        <v>1584</v>
      </c>
      <c r="C783" s="4" t="s">
        <v>27</v>
      </c>
      <c r="D783" s="5">
        <v>45782</v>
      </c>
      <c r="E783" s="5">
        <v>45786</v>
      </c>
      <c r="F783" s="5">
        <v>45795</v>
      </c>
      <c r="G783" s="4" t="s">
        <v>11</v>
      </c>
      <c r="H783" s="4">
        <v>24</v>
      </c>
      <c r="I783" s="2">
        <v>24</v>
      </c>
      <c r="J783">
        <f t="shared" si="60"/>
        <v>13</v>
      </c>
      <c r="K783">
        <f t="shared" si="61"/>
        <v>9</v>
      </c>
      <c r="L783" t="str">
        <f t="shared" si="62"/>
        <v>No</v>
      </c>
      <c r="M783" t="str">
        <f t="shared" si="64"/>
        <v>Yes</v>
      </c>
      <c r="N783" t="str">
        <f t="shared" si="63"/>
        <v>No</v>
      </c>
    </row>
    <row r="784" spans="1:14" x14ac:dyDescent="0.3">
      <c r="A784" s="2" t="s">
        <v>1585</v>
      </c>
      <c r="B784" s="2" t="s">
        <v>1586</v>
      </c>
      <c r="C784" s="2" t="s">
        <v>27</v>
      </c>
      <c r="D784" s="3">
        <v>45784</v>
      </c>
      <c r="E784" s="3">
        <v>45792</v>
      </c>
      <c r="F784" s="3">
        <v>45796</v>
      </c>
      <c r="G784" s="2" t="s">
        <v>22</v>
      </c>
      <c r="H784" s="2">
        <v>1</v>
      </c>
      <c r="I784" s="2">
        <v>6</v>
      </c>
      <c r="J784">
        <f t="shared" si="60"/>
        <v>12</v>
      </c>
      <c r="K784">
        <f t="shared" si="61"/>
        <v>4</v>
      </c>
      <c r="L784" t="str">
        <f t="shared" si="62"/>
        <v>No</v>
      </c>
      <c r="M784" t="str">
        <f t="shared" si="64"/>
        <v>No</v>
      </c>
      <c r="N784" t="str">
        <f t="shared" si="63"/>
        <v>No</v>
      </c>
    </row>
    <row r="785" spans="1:14" x14ac:dyDescent="0.3">
      <c r="A785" s="4" t="s">
        <v>1587</v>
      </c>
      <c r="B785" s="4" t="s">
        <v>1588</v>
      </c>
      <c r="C785" s="4" t="s">
        <v>37</v>
      </c>
      <c r="D785" s="5">
        <v>45785</v>
      </c>
      <c r="E785" s="5">
        <v>45791</v>
      </c>
      <c r="F785" s="5">
        <v>45798</v>
      </c>
      <c r="G785" s="4" t="s">
        <v>40</v>
      </c>
      <c r="H785" s="4">
        <v>35</v>
      </c>
      <c r="I785" s="2">
        <v>35</v>
      </c>
      <c r="J785">
        <f t="shared" si="60"/>
        <v>13</v>
      </c>
      <c r="K785">
        <f t="shared" si="61"/>
        <v>7</v>
      </c>
      <c r="L785" t="str">
        <f t="shared" si="62"/>
        <v>No</v>
      </c>
      <c r="M785" t="str">
        <f t="shared" si="64"/>
        <v>Yes</v>
      </c>
      <c r="N785" t="str">
        <f t="shared" si="63"/>
        <v>No</v>
      </c>
    </row>
    <row r="786" spans="1:14" x14ac:dyDescent="0.3">
      <c r="A786" s="2" t="s">
        <v>1589</v>
      </c>
      <c r="B786" s="2" t="s">
        <v>1590</v>
      </c>
      <c r="C786" s="2" t="s">
        <v>34</v>
      </c>
      <c r="D786" s="3">
        <v>45784</v>
      </c>
      <c r="E786" s="3">
        <v>45791</v>
      </c>
      <c r="F786" s="3">
        <v>45791</v>
      </c>
      <c r="G786" s="2" t="s">
        <v>11</v>
      </c>
      <c r="H786" s="2">
        <v>45</v>
      </c>
      <c r="I786" s="2">
        <v>45</v>
      </c>
      <c r="J786">
        <f t="shared" si="60"/>
        <v>7</v>
      </c>
      <c r="K786">
        <f t="shared" si="61"/>
        <v>0</v>
      </c>
      <c r="L786" t="str">
        <f t="shared" si="62"/>
        <v>Yes</v>
      </c>
      <c r="M786" t="str">
        <f t="shared" si="64"/>
        <v>Yes</v>
      </c>
      <c r="N786" t="str">
        <f t="shared" si="63"/>
        <v>Yes</v>
      </c>
    </row>
    <row r="787" spans="1:14" x14ac:dyDescent="0.3">
      <c r="A787" s="4" t="s">
        <v>1591</v>
      </c>
      <c r="B787" s="4" t="s">
        <v>1592</v>
      </c>
      <c r="C787" s="4" t="s">
        <v>14</v>
      </c>
      <c r="D787" s="5">
        <v>45785</v>
      </c>
      <c r="E787" s="5">
        <v>45792</v>
      </c>
      <c r="F787" s="5">
        <v>45801</v>
      </c>
      <c r="G787" s="4" t="s">
        <v>18</v>
      </c>
      <c r="H787" s="4">
        <v>17</v>
      </c>
      <c r="I787" s="2">
        <v>17</v>
      </c>
      <c r="J787">
        <f t="shared" si="60"/>
        <v>16</v>
      </c>
      <c r="K787">
        <f t="shared" si="61"/>
        <v>9</v>
      </c>
      <c r="L787" t="str">
        <f t="shared" si="62"/>
        <v>No</v>
      </c>
      <c r="M787" t="str">
        <f t="shared" si="64"/>
        <v>Yes</v>
      </c>
      <c r="N787" t="str">
        <f t="shared" si="63"/>
        <v>No</v>
      </c>
    </row>
    <row r="788" spans="1:14" x14ac:dyDescent="0.3">
      <c r="A788" s="2" t="s">
        <v>1593</v>
      </c>
      <c r="B788" s="2" t="s">
        <v>1594</v>
      </c>
      <c r="C788" s="2" t="s">
        <v>21</v>
      </c>
      <c r="D788" s="3">
        <v>45785</v>
      </c>
      <c r="E788" s="3">
        <v>45786</v>
      </c>
      <c r="F788" s="3">
        <v>45791</v>
      </c>
      <c r="G788" s="2" t="s">
        <v>11</v>
      </c>
      <c r="H788" s="2">
        <v>44</v>
      </c>
      <c r="I788" s="2">
        <v>44</v>
      </c>
      <c r="J788">
        <f t="shared" si="60"/>
        <v>6</v>
      </c>
      <c r="K788">
        <f t="shared" si="61"/>
        <v>5</v>
      </c>
      <c r="L788" t="str">
        <f t="shared" si="62"/>
        <v>No</v>
      </c>
      <c r="M788" t="str">
        <f t="shared" si="64"/>
        <v>Yes</v>
      </c>
      <c r="N788" t="str">
        <f t="shared" si="63"/>
        <v>No</v>
      </c>
    </row>
    <row r="789" spans="1:14" x14ac:dyDescent="0.3">
      <c r="A789" s="4" t="s">
        <v>1595</v>
      </c>
      <c r="B789" s="4" t="s">
        <v>1596</v>
      </c>
      <c r="C789" s="4" t="s">
        <v>21</v>
      </c>
      <c r="D789" s="5">
        <v>45785</v>
      </c>
      <c r="E789" s="5">
        <v>45793</v>
      </c>
      <c r="F789" s="5">
        <v>45791</v>
      </c>
      <c r="G789" s="4" t="s">
        <v>11</v>
      </c>
      <c r="H789" s="4">
        <v>22</v>
      </c>
      <c r="I789" s="2">
        <v>22</v>
      </c>
      <c r="J789">
        <f t="shared" si="60"/>
        <v>6</v>
      </c>
      <c r="K789">
        <f t="shared" si="61"/>
        <v>-2</v>
      </c>
      <c r="L789" t="str">
        <f t="shared" si="62"/>
        <v>Yes</v>
      </c>
      <c r="M789" t="str">
        <f t="shared" si="64"/>
        <v>Yes</v>
      </c>
      <c r="N789" t="str">
        <f t="shared" si="63"/>
        <v>Yes</v>
      </c>
    </row>
    <row r="790" spans="1:14" x14ac:dyDescent="0.3">
      <c r="A790" s="2" t="s">
        <v>1597</v>
      </c>
      <c r="B790" s="2" t="s">
        <v>1598</v>
      </c>
      <c r="C790" s="2" t="s">
        <v>27</v>
      </c>
      <c r="D790" s="3">
        <v>45784</v>
      </c>
      <c r="E790" s="3">
        <v>45790</v>
      </c>
      <c r="F790" s="3">
        <v>45799</v>
      </c>
      <c r="G790" s="2" t="s">
        <v>11</v>
      </c>
      <c r="H790" s="2">
        <v>30</v>
      </c>
      <c r="I790" s="2">
        <v>30</v>
      </c>
      <c r="J790">
        <f t="shared" si="60"/>
        <v>15</v>
      </c>
      <c r="K790">
        <f t="shared" si="61"/>
        <v>9</v>
      </c>
      <c r="L790" t="str">
        <f t="shared" si="62"/>
        <v>No</v>
      </c>
      <c r="M790" t="str">
        <f t="shared" si="64"/>
        <v>Yes</v>
      </c>
      <c r="N790" t="str">
        <f t="shared" si="63"/>
        <v>No</v>
      </c>
    </row>
    <row r="791" spans="1:14" x14ac:dyDescent="0.3">
      <c r="A791" s="4" t="s">
        <v>1599</v>
      </c>
      <c r="B791" s="4" t="s">
        <v>1600</v>
      </c>
      <c r="C791" s="4" t="s">
        <v>10</v>
      </c>
      <c r="D791" s="5">
        <v>45785</v>
      </c>
      <c r="E791" s="5">
        <v>45794</v>
      </c>
      <c r="F791" s="5">
        <v>45791</v>
      </c>
      <c r="G791" s="4" t="s">
        <v>18</v>
      </c>
      <c r="H791" s="4">
        <v>12</v>
      </c>
      <c r="I791" s="2">
        <v>16</v>
      </c>
      <c r="J791">
        <f t="shared" si="60"/>
        <v>6</v>
      </c>
      <c r="K791">
        <f t="shared" si="61"/>
        <v>-3</v>
      </c>
      <c r="L791" t="str">
        <f t="shared" si="62"/>
        <v>Yes</v>
      </c>
      <c r="M791" t="str">
        <f t="shared" si="64"/>
        <v>No</v>
      </c>
      <c r="N791" t="str">
        <f t="shared" si="63"/>
        <v>No</v>
      </c>
    </row>
    <row r="792" spans="1:14" x14ac:dyDescent="0.3">
      <c r="A792" s="2" t="s">
        <v>1601</v>
      </c>
      <c r="B792" s="2" t="s">
        <v>1602</v>
      </c>
      <c r="C792" s="2" t="s">
        <v>10</v>
      </c>
      <c r="D792" s="3">
        <v>45786</v>
      </c>
      <c r="E792" s="3">
        <v>45791</v>
      </c>
      <c r="F792" s="3">
        <v>45795</v>
      </c>
      <c r="G792" s="2" t="s">
        <v>18</v>
      </c>
      <c r="H792" s="2">
        <v>26</v>
      </c>
      <c r="I792" s="2">
        <v>26</v>
      </c>
      <c r="J792">
        <f t="shared" si="60"/>
        <v>9</v>
      </c>
      <c r="K792">
        <f t="shared" si="61"/>
        <v>4</v>
      </c>
      <c r="L792" t="str">
        <f t="shared" si="62"/>
        <v>No</v>
      </c>
      <c r="M792" t="str">
        <f t="shared" si="64"/>
        <v>Yes</v>
      </c>
      <c r="N792" t="str">
        <f t="shared" si="63"/>
        <v>No</v>
      </c>
    </row>
    <row r="793" spans="1:14" x14ac:dyDescent="0.3">
      <c r="A793" s="4" t="s">
        <v>1603</v>
      </c>
      <c r="B793" s="4" t="s">
        <v>1604</v>
      </c>
      <c r="C793" s="4" t="s">
        <v>72</v>
      </c>
      <c r="D793" s="5">
        <v>45785</v>
      </c>
      <c r="E793" s="5">
        <v>45789</v>
      </c>
      <c r="F793" s="5">
        <v>45799</v>
      </c>
      <c r="G793" s="4" t="s">
        <v>11</v>
      </c>
      <c r="H793" s="4">
        <v>13</v>
      </c>
      <c r="I793" s="2">
        <v>13</v>
      </c>
      <c r="J793">
        <f t="shared" si="60"/>
        <v>14</v>
      </c>
      <c r="K793">
        <f t="shared" si="61"/>
        <v>10</v>
      </c>
      <c r="L793" t="str">
        <f t="shared" si="62"/>
        <v>No</v>
      </c>
      <c r="M793" t="str">
        <f t="shared" si="64"/>
        <v>Yes</v>
      </c>
      <c r="N793" t="str">
        <f t="shared" si="63"/>
        <v>No</v>
      </c>
    </row>
    <row r="794" spans="1:14" x14ac:dyDescent="0.3">
      <c r="A794" s="2" t="s">
        <v>1605</v>
      </c>
      <c r="B794" s="2" t="s">
        <v>1606</v>
      </c>
      <c r="C794" s="2" t="s">
        <v>14</v>
      </c>
      <c r="D794" s="3">
        <v>45785</v>
      </c>
      <c r="E794" s="3">
        <v>45791</v>
      </c>
      <c r="F794" s="3">
        <v>45799</v>
      </c>
      <c r="G794" s="2" t="s">
        <v>18</v>
      </c>
      <c r="H794" s="2">
        <v>18</v>
      </c>
      <c r="I794" s="2">
        <v>18</v>
      </c>
      <c r="J794">
        <f t="shared" si="60"/>
        <v>14</v>
      </c>
      <c r="K794">
        <f t="shared" si="61"/>
        <v>8</v>
      </c>
      <c r="L794" t="str">
        <f t="shared" si="62"/>
        <v>No</v>
      </c>
      <c r="M794" t="str">
        <f t="shared" si="64"/>
        <v>Yes</v>
      </c>
      <c r="N794" t="str">
        <f t="shared" si="63"/>
        <v>No</v>
      </c>
    </row>
    <row r="795" spans="1:14" x14ac:dyDescent="0.3">
      <c r="A795" s="4" t="s">
        <v>1607</v>
      </c>
      <c r="B795" s="4" t="s">
        <v>1608</v>
      </c>
      <c r="C795" s="4" t="s">
        <v>59</v>
      </c>
      <c r="D795" s="5">
        <v>45784</v>
      </c>
      <c r="E795" s="5">
        <v>45793</v>
      </c>
      <c r="F795" s="5">
        <v>45788</v>
      </c>
      <c r="G795" s="4" t="s">
        <v>18</v>
      </c>
      <c r="H795" s="4">
        <v>17</v>
      </c>
      <c r="I795" s="2">
        <v>23</v>
      </c>
      <c r="J795">
        <f t="shared" si="60"/>
        <v>4</v>
      </c>
      <c r="K795">
        <f t="shared" si="61"/>
        <v>-5</v>
      </c>
      <c r="L795" t="str">
        <f t="shared" si="62"/>
        <v>Yes</v>
      </c>
      <c r="M795" t="str">
        <f t="shared" si="64"/>
        <v>No</v>
      </c>
      <c r="N795" t="str">
        <f t="shared" si="63"/>
        <v>No</v>
      </c>
    </row>
    <row r="796" spans="1:14" x14ac:dyDescent="0.3">
      <c r="A796" s="2" t="s">
        <v>1609</v>
      </c>
      <c r="B796" s="2" t="s">
        <v>1610</v>
      </c>
      <c r="C796" s="2" t="s">
        <v>27</v>
      </c>
      <c r="D796" s="3">
        <v>45784</v>
      </c>
      <c r="E796" s="3">
        <v>45787</v>
      </c>
      <c r="F796" s="3">
        <v>45798</v>
      </c>
      <c r="G796" s="2" t="s">
        <v>40</v>
      </c>
      <c r="H796" s="2">
        <v>3</v>
      </c>
      <c r="I796" s="2">
        <v>3</v>
      </c>
      <c r="J796">
        <f t="shared" si="60"/>
        <v>14</v>
      </c>
      <c r="K796">
        <f t="shared" si="61"/>
        <v>11</v>
      </c>
      <c r="L796" t="str">
        <f t="shared" si="62"/>
        <v>No</v>
      </c>
      <c r="M796" t="str">
        <f t="shared" si="64"/>
        <v>Yes</v>
      </c>
      <c r="N796" t="str">
        <f t="shared" si="63"/>
        <v>No</v>
      </c>
    </row>
    <row r="797" spans="1:14" x14ac:dyDescent="0.3">
      <c r="A797" s="4" t="s">
        <v>1611</v>
      </c>
      <c r="B797" s="4" t="s">
        <v>1612</v>
      </c>
      <c r="C797" s="4" t="s">
        <v>27</v>
      </c>
      <c r="D797" s="5">
        <v>45784</v>
      </c>
      <c r="E797" s="5">
        <v>45793</v>
      </c>
      <c r="F797" s="5">
        <v>45797</v>
      </c>
      <c r="G797" s="4" t="s">
        <v>18</v>
      </c>
      <c r="H797" s="4">
        <v>9</v>
      </c>
      <c r="I797" s="2">
        <v>10</v>
      </c>
      <c r="J797">
        <f t="shared" si="60"/>
        <v>13</v>
      </c>
      <c r="K797">
        <f t="shared" si="61"/>
        <v>4</v>
      </c>
      <c r="L797" t="str">
        <f t="shared" si="62"/>
        <v>No</v>
      </c>
      <c r="M797" t="str">
        <f t="shared" si="64"/>
        <v>No</v>
      </c>
      <c r="N797" t="str">
        <f t="shared" si="63"/>
        <v>No</v>
      </c>
    </row>
    <row r="798" spans="1:14" x14ac:dyDescent="0.3">
      <c r="A798" s="2" t="s">
        <v>1613</v>
      </c>
      <c r="B798" s="2" t="s">
        <v>1614</v>
      </c>
      <c r="C798" s="2" t="s">
        <v>34</v>
      </c>
      <c r="D798" s="3">
        <v>45785</v>
      </c>
      <c r="E798" s="3">
        <v>45792</v>
      </c>
      <c r="F798" s="3">
        <v>45791</v>
      </c>
      <c r="G798" s="2" t="s">
        <v>22</v>
      </c>
      <c r="H798" s="2">
        <v>14</v>
      </c>
      <c r="I798" s="2">
        <v>14</v>
      </c>
      <c r="J798">
        <f t="shared" si="60"/>
        <v>6</v>
      </c>
      <c r="K798">
        <f t="shared" si="61"/>
        <v>-1</v>
      </c>
      <c r="L798" t="str">
        <f t="shared" si="62"/>
        <v>Yes</v>
      </c>
      <c r="M798" t="str">
        <f t="shared" si="64"/>
        <v>Yes</v>
      </c>
      <c r="N798" t="str">
        <f t="shared" si="63"/>
        <v>Yes</v>
      </c>
    </row>
    <row r="799" spans="1:14" x14ac:dyDescent="0.3">
      <c r="A799" s="4" t="s">
        <v>1615</v>
      </c>
      <c r="B799" s="4" t="s">
        <v>1616</v>
      </c>
      <c r="C799" s="4" t="s">
        <v>72</v>
      </c>
      <c r="D799" s="5">
        <v>45785</v>
      </c>
      <c r="E799" s="5">
        <v>45789</v>
      </c>
      <c r="F799" s="5">
        <v>45799</v>
      </c>
      <c r="G799" s="4" t="s">
        <v>18</v>
      </c>
      <c r="H799" s="4">
        <v>14</v>
      </c>
      <c r="I799" s="2">
        <v>14</v>
      </c>
      <c r="J799">
        <f t="shared" si="60"/>
        <v>14</v>
      </c>
      <c r="K799">
        <f t="shared" si="61"/>
        <v>10</v>
      </c>
      <c r="L799" t="str">
        <f t="shared" si="62"/>
        <v>No</v>
      </c>
      <c r="M799" t="str">
        <f t="shared" si="64"/>
        <v>Yes</v>
      </c>
      <c r="N799" t="str">
        <f t="shared" si="63"/>
        <v>No</v>
      </c>
    </row>
    <row r="800" spans="1:14" x14ac:dyDescent="0.3">
      <c r="A800" s="2" t="s">
        <v>1617</v>
      </c>
      <c r="B800" s="2" t="s">
        <v>1618</v>
      </c>
      <c r="C800" s="2" t="s">
        <v>14</v>
      </c>
      <c r="D800" s="3">
        <v>45785</v>
      </c>
      <c r="E800" s="3">
        <v>45793</v>
      </c>
      <c r="F800" s="3">
        <v>45800</v>
      </c>
      <c r="G800" s="2" t="s">
        <v>15</v>
      </c>
      <c r="H800" s="2">
        <v>16</v>
      </c>
      <c r="I800" s="2">
        <v>16</v>
      </c>
      <c r="J800">
        <f t="shared" si="60"/>
        <v>15</v>
      </c>
      <c r="K800">
        <f t="shared" si="61"/>
        <v>7</v>
      </c>
      <c r="L800" t="str">
        <f t="shared" si="62"/>
        <v>No</v>
      </c>
      <c r="M800" t="str">
        <f t="shared" si="64"/>
        <v>Yes</v>
      </c>
      <c r="N800" t="str">
        <f t="shared" si="63"/>
        <v>No</v>
      </c>
    </row>
    <row r="801" spans="1:14" x14ac:dyDescent="0.3">
      <c r="A801" s="4" t="s">
        <v>1619</v>
      </c>
      <c r="B801" s="4" t="s">
        <v>1620</v>
      </c>
      <c r="C801" s="4" t="s">
        <v>21</v>
      </c>
      <c r="D801" s="5">
        <v>45786</v>
      </c>
      <c r="E801" s="5">
        <v>45791</v>
      </c>
      <c r="F801" s="5">
        <v>45792</v>
      </c>
      <c r="G801" s="4" t="s">
        <v>40</v>
      </c>
      <c r="H801" s="4">
        <v>30</v>
      </c>
      <c r="I801" s="2">
        <v>30</v>
      </c>
      <c r="J801">
        <f t="shared" si="60"/>
        <v>6</v>
      </c>
      <c r="K801">
        <f t="shared" si="61"/>
        <v>1</v>
      </c>
      <c r="L801" t="str">
        <f t="shared" si="62"/>
        <v>No</v>
      </c>
      <c r="M801" t="str">
        <f t="shared" si="64"/>
        <v>Yes</v>
      </c>
      <c r="N801" t="str">
        <f t="shared" si="63"/>
        <v>No</v>
      </c>
    </row>
    <row r="802" spans="1:14" x14ac:dyDescent="0.3">
      <c r="A802" s="2" t="s">
        <v>1621</v>
      </c>
      <c r="B802" s="2" t="s">
        <v>1622</v>
      </c>
      <c r="C802" s="2" t="s">
        <v>27</v>
      </c>
      <c r="D802" s="3">
        <v>45785</v>
      </c>
      <c r="E802" s="3">
        <v>45789</v>
      </c>
      <c r="F802" s="3">
        <v>45798</v>
      </c>
      <c r="G802" s="2" t="s">
        <v>11</v>
      </c>
      <c r="H802" s="2">
        <v>33</v>
      </c>
      <c r="I802" s="2">
        <v>38</v>
      </c>
      <c r="J802">
        <f t="shared" si="60"/>
        <v>13</v>
      </c>
      <c r="K802">
        <f t="shared" si="61"/>
        <v>9</v>
      </c>
      <c r="L802" t="str">
        <f t="shared" si="62"/>
        <v>No</v>
      </c>
      <c r="M802" t="str">
        <f t="shared" si="64"/>
        <v>No</v>
      </c>
      <c r="N802" t="str">
        <f t="shared" si="63"/>
        <v>No</v>
      </c>
    </row>
    <row r="803" spans="1:14" x14ac:dyDescent="0.3">
      <c r="A803" s="4" t="s">
        <v>1623</v>
      </c>
      <c r="B803" s="4" t="s">
        <v>1624</v>
      </c>
      <c r="C803" s="4" t="s">
        <v>34</v>
      </c>
      <c r="D803" s="5">
        <v>45787</v>
      </c>
      <c r="E803" s="5">
        <v>45794</v>
      </c>
      <c r="F803" s="5">
        <v>45794</v>
      </c>
      <c r="G803" s="4" t="s">
        <v>40</v>
      </c>
      <c r="H803" s="4">
        <v>36</v>
      </c>
      <c r="I803" s="2">
        <v>36</v>
      </c>
      <c r="J803">
        <f t="shared" si="60"/>
        <v>7</v>
      </c>
      <c r="K803">
        <f t="shared" si="61"/>
        <v>0</v>
      </c>
      <c r="L803" t="str">
        <f t="shared" si="62"/>
        <v>Yes</v>
      </c>
      <c r="M803" t="str">
        <f t="shared" si="64"/>
        <v>Yes</v>
      </c>
      <c r="N803" t="str">
        <f t="shared" si="63"/>
        <v>Yes</v>
      </c>
    </row>
    <row r="804" spans="1:14" x14ac:dyDescent="0.3">
      <c r="A804" s="2" t="s">
        <v>1625</v>
      </c>
      <c r="B804" s="2" t="s">
        <v>1626</v>
      </c>
      <c r="C804" s="2" t="s">
        <v>37</v>
      </c>
      <c r="D804" s="3">
        <v>45788</v>
      </c>
      <c r="E804" s="3">
        <v>45790</v>
      </c>
      <c r="F804" s="3">
        <v>45800</v>
      </c>
      <c r="G804" s="2" t="s">
        <v>40</v>
      </c>
      <c r="H804" s="2">
        <v>18</v>
      </c>
      <c r="I804" s="2">
        <v>18</v>
      </c>
      <c r="J804">
        <f t="shared" si="60"/>
        <v>12</v>
      </c>
      <c r="K804">
        <f t="shared" si="61"/>
        <v>10</v>
      </c>
      <c r="L804" t="str">
        <f t="shared" si="62"/>
        <v>No</v>
      </c>
      <c r="M804" t="str">
        <f t="shared" si="64"/>
        <v>Yes</v>
      </c>
      <c r="N804" t="str">
        <f t="shared" si="63"/>
        <v>No</v>
      </c>
    </row>
    <row r="805" spans="1:14" x14ac:dyDescent="0.3">
      <c r="A805" s="4" t="s">
        <v>1627</v>
      </c>
      <c r="B805" s="4" t="s">
        <v>1628</v>
      </c>
      <c r="C805" s="4" t="s">
        <v>72</v>
      </c>
      <c r="D805" s="5">
        <v>45786</v>
      </c>
      <c r="E805" s="5">
        <v>45789</v>
      </c>
      <c r="F805" s="5">
        <v>45800</v>
      </c>
      <c r="G805" s="4" t="s">
        <v>40</v>
      </c>
      <c r="H805" s="4">
        <v>17</v>
      </c>
      <c r="I805" s="2">
        <v>17</v>
      </c>
      <c r="J805">
        <f t="shared" si="60"/>
        <v>14</v>
      </c>
      <c r="K805">
        <f t="shared" si="61"/>
        <v>11</v>
      </c>
      <c r="L805" t="str">
        <f t="shared" si="62"/>
        <v>No</v>
      </c>
      <c r="M805" t="str">
        <f t="shared" si="64"/>
        <v>Yes</v>
      </c>
      <c r="N805" t="str">
        <f t="shared" si="63"/>
        <v>No</v>
      </c>
    </row>
    <row r="806" spans="1:14" x14ac:dyDescent="0.3">
      <c r="A806" s="2" t="s">
        <v>1629</v>
      </c>
      <c r="B806" s="2" t="s">
        <v>1630</v>
      </c>
      <c r="C806" s="2" t="s">
        <v>72</v>
      </c>
      <c r="D806" s="3">
        <v>45787</v>
      </c>
      <c r="E806" s="3">
        <v>45789</v>
      </c>
      <c r="F806" s="3">
        <v>45805</v>
      </c>
      <c r="G806" s="2" t="s">
        <v>11</v>
      </c>
      <c r="H806" s="2">
        <v>25</v>
      </c>
      <c r="I806" s="2">
        <v>25</v>
      </c>
      <c r="J806">
        <f t="shared" si="60"/>
        <v>18</v>
      </c>
      <c r="K806">
        <f t="shared" si="61"/>
        <v>16</v>
      </c>
      <c r="L806" t="str">
        <f t="shared" si="62"/>
        <v>No</v>
      </c>
      <c r="M806" t="str">
        <f t="shared" si="64"/>
        <v>Yes</v>
      </c>
      <c r="N806" t="str">
        <f t="shared" si="63"/>
        <v>No</v>
      </c>
    </row>
    <row r="807" spans="1:14" x14ac:dyDescent="0.3">
      <c r="A807" s="4" t="s">
        <v>1631</v>
      </c>
      <c r="B807" s="4" t="s">
        <v>1632</v>
      </c>
      <c r="C807" s="4" t="s">
        <v>72</v>
      </c>
      <c r="D807" s="5">
        <v>45786</v>
      </c>
      <c r="E807" s="5">
        <v>45794</v>
      </c>
      <c r="F807" s="5">
        <v>45800</v>
      </c>
      <c r="G807" s="4" t="s">
        <v>15</v>
      </c>
      <c r="H807" s="4">
        <v>7</v>
      </c>
      <c r="I807" s="2">
        <v>7</v>
      </c>
      <c r="J807">
        <f t="shared" si="60"/>
        <v>14</v>
      </c>
      <c r="K807">
        <f t="shared" si="61"/>
        <v>6</v>
      </c>
      <c r="L807" t="str">
        <f t="shared" si="62"/>
        <v>No</v>
      </c>
      <c r="M807" t="str">
        <f t="shared" si="64"/>
        <v>Yes</v>
      </c>
      <c r="N807" t="str">
        <f t="shared" si="63"/>
        <v>No</v>
      </c>
    </row>
    <row r="808" spans="1:14" x14ac:dyDescent="0.3">
      <c r="A808" s="2" t="s">
        <v>1633</v>
      </c>
      <c r="B808" s="2" t="s">
        <v>1634</v>
      </c>
      <c r="C808" s="2" t="s">
        <v>27</v>
      </c>
      <c r="D808" s="3">
        <v>45788</v>
      </c>
      <c r="E808" s="3">
        <v>45789</v>
      </c>
      <c r="F808" s="3">
        <v>45801</v>
      </c>
      <c r="G808" s="2" t="s">
        <v>22</v>
      </c>
      <c r="H808" s="2">
        <v>7</v>
      </c>
      <c r="I808" s="2">
        <v>7</v>
      </c>
      <c r="J808">
        <f t="shared" si="60"/>
        <v>13</v>
      </c>
      <c r="K808">
        <f t="shared" si="61"/>
        <v>12</v>
      </c>
      <c r="L808" t="str">
        <f t="shared" si="62"/>
        <v>No</v>
      </c>
      <c r="M808" t="str">
        <f t="shared" si="64"/>
        <v>Yes</v>
      </c>
      <c r="N808" t="str">
        <f t="shared" si="63"/>
        <v>No</v>
      </c>
    </row>
    <row r="809" spans="1:14" x14ac:dyDescent="0.3">
      <c r="A809" s="4" t="s">
        <v>1635</v>
      </c>
      <c r="B809" s="4" t="s">
        <v>1636</v>
      </c>
      <c r="C809" s="4" t="s">
        <v>37</v>
      </c>
      <c r="D809" s="5">
        <v>45787</v>
      </c>
      <c r="E809" s="5">
        <v>45795</v>
      </c>
      <c r="F809" s="5">
        <v>45800</v>
      </c>
      <c r="G809" s="4" t="s">
        <v>18</v>
      </c>
      <c r="H809" s="4">
        <v>23</v>
      </c>
      <c r="I809" s="2">
        <v>23</v>
      </c>
      <c r="J809">
        <f t="shared" si="60"/>
        <v>13</v>
      </c>
      <c r="K809">
        <f t="shared" si="61"/>
        <v>5</v>
      </c>
      <c r="L809" t="str">
        <f t="shared" si="62"/>
        <v>No</v>
      </c>
      <c r="M809" t="str">
        <f t="shared" si="64"/>
        <v>Yes</v>
      </c>
      <c r="N809" t="str">
        <f t="shared" si="63"/>
        <v>No</v>
      </c>
    </row>
    <row r="810" spans="1:14" x14ac:dyDescent="0.3">
      <c r="A810" s="2" t="s">
        <v>1637</v>
      </c>
      <c r="B810" s="2" t="s">
        <v>1638</v>
      </c>
      <c r="C810" s="2" t="s">
        <v>72</v>
      </c>
      <c r="D810" s="3">
        <v>45787</v>
      </c>
      <c r="E810" s="3">
        <v>45792</v>
      </c>
      <c r="F810" s="3">
        <v>45801</v>
      </c>
      <c r="G810" s="2" t="s">
        <v>15</v>
      </c>
      <c r="H810" s="2">
        <v>54</v>
      </c>
      <c r="I810" s="2">
        <v>54</v>
      </c>
      <c r="J810">
        <f t="shared" si="60"/>
        <v>14</v>
      </c>
      <c r="K810">
        <f t="shared" si="61"/>
        <v>9</v>
      </c>
      <c r="L810" t="str">
        <f t="shared" si="62"/>
        <v>No</v>
      </c>
      <c r="M810" t="str">
        <f t="shared" si="64"/>
        <v>Yes</v>
      </c>
      <c r="N810" t="str">
        <f t="shared" si="63"/>
        <v>No</v>
      </c>
    </row>
    <row r="811" spans="1:14" x14ac:dyDescent="0.3">
      <c r="A811" s="4" t="s">
        <v>1639</v>
      </c>
      <c r="B811" s="4" t="s">
        <v>1640</v>
      </c>
      <c r="C811" s="4" t="s">
        <v>72</v>
      </c>
      <c r="D811" s="5">
        <v>45787</v>
      </c>
      <c r="E811" s="5">
        <v>45791</v>
      </c>
      <c r="F811" s="5">
        <v>45800</v>
      </c>
      <c r="G811" s="4" t="s">
        <v>22</v>
      </c>
      <c r="H811" s="4">
        <v>10</v>
      </c>
      <c r="I811" s="2">
        <v>16</v>
      </c>
      <c r="J811">
        <f t="shared" si="60"/>
        <v>13</v>
      </c>
      <c r="K811">
        <f t="shared" si="61"/>
        <v>9</v>
      </c>
      <c r="L811" t="str">
        <f t="shared" si="62"/>
        <v>No</v>
      </c>
      <c r="M811" t="str">
        <f t="shared" si="64"/>
        <v>No</v>
      </c>
      <c r="N811" t="str">
        <f t="shared" si="63"/>
        <v>No</v>
      </c>
    </row>
    <row r="812" spans="1:14" x14ac:dyDescent="0.3">
      <c r="A812" s="2" t="s">
        <v>1641</v>
      </c>
      <c r="B812" s="2" t="s">
        <v>1642</v>
      </c>
      <c r="C812" s="2" t="s">
        <v>59</v>
      </c>
      <c r="D812" s="3">
        <v>45788</v>
      </c>
      <c r="E812" s="3">
        <v>45797</v>
      </c>
      <c r="F812" s="3">
        <v>45792</v>
      </c>
      <c r="G812" s="2" t="s">
        <v>15</v>
      </c>
      <c r="H812" s="2">
        <v>54</v>
      </c>
      <c r="I812" s="2">
        <v>54</v>
      </c>
      <c r="J812">
        <f t="shared" si="60"/>
        <v>4</v>
      </c>
      <c r="K812">
        <f t="shared" si="61"/>
        <v>-5</v>
      </c>
      <c r="L812" t="str">
        <f t="shared" si="62"/>
        <v>Yes</v>
      </c>
      <c r="M812" t="str">
        <f t="shared" si="64"/>
        <v>Yes</v>
      </c>
      <c r="N812" t="str">
        <f t="shared" si="63"/>
        <v>Yes</v>
      </c>
    </row>
    <row r="813" spans="1:14" x14ac:dyDescent="0.3">
      <c r="A813" s="4" t="s">
        <v>1643</v>
      </c>
      <c r="B813" s="4" t="s">
        <v>1644</v>
      </c>
      <c r="C813" s="4" t="s">
        <v>21</v>
      </c>
      <c r="D813" s="5">
        <v>45789</v>
      </c>
      <c r="E813" s="5">
        <v>45794</v>
      </c>
      <c r="F813" s="5">
        <v>45797</v>
      </c>
      <c r="G813" s="4" t="s">
        <v>40</v>
      </c>
      <c r="H813" s="4">
        <v>37</v>
      </c>
      <c r="I813" s="2">
        <v>41</v>
      </c>
      <c r="J813">
        <f t="shared" si="60"/>
        <v>8</v>
      </c>
      <c r="K813">
        <f t="shared" si="61"/>
        <v>3</v>
      </c>
      <c r="L813" t="str">
        <f t="shared" si="62"/>
        <v>No</v>
      </c>
      <c r="M813" t="str">
        <f t="shared" si="64"/>
        <v>No</v>
      </c>
      <c r="N813" t="str">
        <f t="shared" si="63"/>
        <v>No</v>
      </c>
    </row>
    <row r="814" spans="1:14" x14ac:dyDescent="0.3">
      <c r="A814" s="2" t="s">
        <v>1645</v>
      </c>
      <c r="B814" s="2" t="s">
        <v>1646</v>
      </c>
      <c r="C814" s="2" t="s">
        <v>21</v>
      </c>
      <c r="D814" s="3">
        <v>45788</v>
      </c>
      <c r="E814" s="3">
        <v>45791</v>
      </c>
      <c r="F814" s="3">
        <v>45794</v>
      </c>
      <c r="G814" s="2" t="s">
        <v>15</v>
      </c>
      <c r="H814" s="2">
        <v>32</v>
      </c>
      <c r="I814" s="2">
        <v>32</v>
      </c>
      <c r="J814">
        <f t="shared" si="60"/>
        <v>6</v>
      </c>
      <c r="K814">
        <f t="shared" si="61"/>
        <v>3</v>
      </c>
      <c r="L814" t="str">
        <f t="shared" si="62"/>
        <v>No</v>
      </c>
      <c r="M814" t="str">
        <f t="shared" si="64"/>
        <v>Yes</v>
      </c>
      <c r="N814" t="str">
        <f t="shared" si="63"/>
        <v>No</v>
      </c>
    </row>
    <row r="815" spans="1:14" x14ac:dyDescent="0.3">
      <c r="A815" s="4" t="s">
        <v>1647</v>
      </c>
      <c r="B815" s="4" t="s">
        <v>1648</v>
      </c>
      <c r="C815" s="4" t="s">
        <v>27</v>
      </c>
      <c r="D815" s="5">
        <v>45789</v>
      </c>
      <c r="E815" s="5">
        <v>45795</v>
      </c>
      <c r="F815" s="5">
        <v>45801</v>
      </c>
      <c r="G815" s="4" t="s">
        <v>15</v>
      </c>
      <c r="H815" s="4">
        <v>5</v>
      </c>
      <c r="I815" s="2">
        <v>9</v>
      </c>
      <c r="J815">
        <f t="shared" si="60"/>
        <v>12</v>
      </c>
      <c r="K815">
        <f t="shared" si="61"/>
        <v>6</v>
      </c>
      <c r="L815" t="str">
        <f t="shared" si="62"/>
        <v>No</v>
      </c>
      <c r="M815" t="str">
        <f t="shared" si="64"/>
        <v>No</v>
      </c>
      <c r="N815" t="str">
        <f t="shared" si="63"/>
        <v>No</v>
      </c>
    </row>
    <row r="816" spans="1:14" x14ac:dyDescent="0.3">
      <c r="A816" s="2" t="s">
        <v>1649</v>
      </c>
      <c r="B816" s="2" t="s">
        <v>1650</v>
      </c>
      <c r="C816" s="2" t="s">
        <v>34</v>
      </c>
      <c r="D816" s="3">
        <v>45790</v>
      </c>
      <c r="E816" s="3">
        <v>45793</v>
      </c>
      <c r="F816" s="3">
        <v>45799</v>
      </c>
      <c r="G816" s="2" t="s">
        <v>15</v>
      </c>
      <c r="H816" s="2">
        <v>25</v>
      </c>
      <c r="I816" s="2">
        <v>25</v>
      </c>
      <c r="J816">
        <f t="shared" si="60"/>
        <v>9</v>
      </c>
      <c r="K816">
        <f t="shared" si="61"/>
        <v>6</v>
      </c>
      <c r="L816" t="str">
        <f t="shared" si="62"/>
        <v>No</v>
      </c>
      <c r="M816" t="str">
        <f t="shared" si="64"/>
        <v>Yes</v>
      </c>
      <c r="N816" t="str">
        <f t="shared" si="63"/>
        <v>No</v>
      </c>
    </row>
    <row r="817" spans="1:14" x14ac:dyDescent="0.3">
      <c r="A817" s="4" t="s">
        <v>1651</v>
      </c>
      <c r="B817" s="4" t="s">
        <v>1652</v>
      </c>
      <c r="C817" s="4" t="s">
        <v>10</v>
      </c>
      <c r="D817" s="5">
        <v>45788</v>
      </c>
      <c r="E817" s="5">
        <v>45791</v>
      </c>
      <c r="F817" s="5">
        <v>45794</v>
      </c>
      <c r="G817" s="4" t="s">
        <v>11</v>
      </c>
      <c r="H817" s="4">
        <v>7</v>
      </c>
      <c r="I817" s="2">
        <v>7</v>
      </c>
      <c r="J817">
        <f t="shared" si="60"/>
        <v>6</v>
      </c>
      <c r="K817">
        <f t="shared" si="61"/>
        <v>3</v>
      </c>
      <c r="L817" t="str">
        <f t="shared" si="62"/>
        <v>No</v>
      </c>
      <c r="M817" t="str">
        <f t="shared" si="64"/>
        <v>Yes</v>
      </c>
      <c r="N817" t="str">
        <f t="shared" si="63"/>
        <v>No</v>
      </c>
    </row>
    <row r="818" spans="1:14" x14ac:dyDescent="0.3">
      <c r="A818" s="2" t="s">
        <v>1653</v>
      </c>
      <c r="B818" s="2" t="s">
        <v>1654</v>
      </c>
      <c r="C818" s="2" t="s">
        <v>59</v>
      </c>
      <c r="D818" s="3">
        <v>45790</v>
      </c>
      <c r="E818" s="3">
        <v>45795</v>
      </c>
      <c r="F818" s="3">
        <v>45798</v>
      </c>
      <c r="G818" s="2" t="s">
        <v>18</v>
      </c>
      <c r="H818" s="2">
        <v>15</v>
      </c>
      <c r="I818" s="2">
        <v>15</v>
      </c>
      <c r="J818">
        <f t="shared" si="60"/>
        <v>8</v>
      </c>
      <c r="K818">
        <f t="shared" si="61"/>
        <v>3</v>
      </c>
      <c r="L818" t="str">
        <f t="shared" si="62"/>
        <v>No</v>
      </c>
      <c r="M818" t="str">
        <f t="shared" si="64"/>
        <v>Yes</v>
      </c>
      <c r="N818" t="str">
        <f t="shared" si="63"/>
        <v>No</v>
      </c>
    </row>
    <row r="819" spans="1:14" x14ac:dyDescent="0.3">
      <c r="A819" s="4" t="s">
        <v>1655</v>
      </c>
      <c r="B819" s="4" t="s">
        <v>1656</v>
      </c>
      <c r="C819" s="4" t="s">
        <v>59</v>
      </c>
      <c r="D819" s="5">
        <v>45788</v>
      </c>
      <c r="E819" s="5">
        <v>45794</v>
      </c>
      <c r="F819" s="5">
        <v>45796</v>
      </c>
      <c r="G819" s="4" t="s">
        <v>15</v>
      </c>
      <c r="H819" s="4">
        <v>17</v>
      </c>
      <c r="I819" s="2">
        <v>17</v>
      </c>
      <c r="J819">
        <f t="shared" si="60"/>
        <v>8</v>
      </c>
      <c r="K819">
        <f t="shared" si="61"/>
        <v>2</v>
      </c>
      <c r="L819" t="str">
        <f t="shared" si="62"/>
        <v>No</v>
      </c>
      <c r="M819" t="str">
        <f t="shared" si="64"/>
        <v>Yes</v>
      </c>
      <c r="N819" t="str">
        <f t="shared" si="63"/>
        <v>No</v>
      </c>
    </row>
    <row r="820" spans="1:14" x14ac:dyDescent="0.3">
      <c r="A820" s="2" t="s">
        <v>1657</v>
      </c>
      <c r="B820" s="2" t="s">
        <v>1658</v>
      </c>
      <c r="C820" s="2" t="s">
        <v>21</v>
      </c>
      <c r="D820" s="3">
        <v>45789</v>
      </c>
      <c r="E820" s="3">
        <v>45792</v>
      </c>
      <c r="F820" s="3">
        <v>45794</v>
      </c>
      <c r="G820" s="2" t="s">
        <v>40</v>
      </c>
      <c r="H820" s="2">
        <v>32</v>
      </c>
      <c r="I820" s="2">
        <v>32</v>
      </c>
      <c r="J820">
        <f t="shared" si="60"/>
        <v>5</v>
      </c>
      <c r="K820">
        <f t="shared" si="61"/>
        <v>2</v>
      </c>
      <c r="L820" t="str">
        <f t="shared" si="62"/>
        <v>No</v>
      </c>
      <c r="M820" t="str">
        <f t="shared" si="64"/>
        <v>Yes</v>
      </c>
      <c r="N820" t="str">
        <f t="shared" si="63"/>
        <v>No</v>
      </c>
    </row>
    <row r="821" spans="1:14" x14ac:dyDescent="0.3">
      <c r="A821" s="4" t="s">
        <v>1659</v>
      </c>
      <c r="B821" s="4" t="s">
        <v>1660</v>
      </c>
      <c r="C821" s="4" t="s">
        <v>21</v>
      </c>
      <c r="D821" s="5">
        <v>45789</v>
      </c>
      <c r="E821" s="5">
        <v>45792</v>
      </c>
      <c r="F821" s="5">
        <v>45795</v>
      </c>
      <c r="G821" s="4" t="s">
        <v>22</v>
      </c>
      <c r="H821" s="4">
        <v>51</v>
      </c>
      <c r="I821" s="2">
        <v>51</v>
      </c>
      <c r="J821">
        <f t="shared" si="60"/>
        <v>6</v>
      </c>
      <c r="K821">
        <f t="shared" si="61"/>
        <v>3</v>
      </c>
      <c r="L821" t="str">
        <f t="shared" si="62"/>
        <v>No</v>
      </c>
      <c r="M821" t="str">
        <f t="shared" si="64"/>
        <v>Yes</v>
      </c>
      <c r="N821" t="str">
        <f t="shared" si="63"/>
        <v>No</v>
      </c>
    </row>
    <row r="822" spans="1:14" x14ac:dyDescent="0.3">
      <c r="A822" s="2" t="s">
        <v>1661</v>
      </c>
      <c r="B822" s="2" t="s">
        <v>1662</v>
      </c>
      <c r="C822" s="2" t="s">
        <v>21</v>
      </c>
      <c r="D822" s="3">
        <v>45788</v>
      </c>
      <c r="E822" s="3">
        <v>45793</v>
      </c>
      <c r="F822" s="3">
        <v>45795</v>
      </c>
      <c r="G822" s="2" t="s">
        <v>11</v>
      </c>
      <c r="H822" s="2">
        <v>21</v>
      </c>
      <c r="I822" s="2">
        <v>21</v>
      </c>
      <c r="J822">
        <f t="shared" si="60"/>
        <v>7</v>
      </c>
      <c r="K822">
        <f t="shared" si="61"/>
        <v>2</v>
      </c>
      <c r="L822" t="str">
        <f t="shared" si="62"/>
        <v>No</v>
      </c>
      <c r="M822" t="str">
        <f t="shared" si="64"/>
        <v>Yes</v>
      </c>
      <c r="N822" t="str">
        <f t="shared" si="63"/>
        <v>No</v>
      </c>
    </row>
    <row r="823" spans="1:14" x14ac:dyDescent="0.3">
      <c r="A823" s="4" t="s">
        <v>1663</v>
      </c>
      <c r="B823" s="4" t="s">
        <v>1664</v>
      </c>
      <c r="C823" s="4" t="s">
        <v>27</v>
      </c>
      <c r="D823" s="5">
        <v>45788</v>
      </c>
      <c r="E823" s="5">
        <v>45795</v>
      </c>
      <c r="F823" s="5">
        <v>45801</v>
      </c>
      <c r="G823" s="4" t="s">
        <v>18</v>
      </c>
      <c r="H823" s="4">
        <v>8</v>
      </c>
      <c r="I823" s="2">
        <v>8</v>
      </c>
      <c r="J823">
        <f t="shared" si="60"/>
        <v>13</v>
      </c>
      <c r="K823">
        <f t="shared" si="61"/>
        <v>6</v>
      </c>
      <c r="L823" t="str">
        <f t="shared" si="62"/>
        <v>No</v>
      </c>
      <c r="M823" t="str">
        <f t="shared" si="64"/>
        <v>Yes</v>
      </c>
      <c r="N823" t="str">
        <f t="shared" si="63"/>
        <v>No</v>
      </c>
    </row>
    <row r="824" spans="1:14" x14ac:dyDescent="0.3">
      <c r="A824" s="2" t="s">
        <v>1665</v>
      </c>
      <c r="B824" s="2" t="s">
        <v>1666</v>
      </c>
      <c r="C824" s="2" t="s">
        <v>34</v>
      </c>
      <c r="D824" s="3">
        <v>45790</v>
      </c>
      <c r="E824" s="3">
        <v>45792</v>
      </c>
      <c r="F824" s="3">
        <v>45797</v>
      </c>
      <c r="G824" s="2" t="s">
        <v>15</v>
      </c>
      <c r="H824" s="2">
        <v>58</v>
      </c>
      <c r="I824" s="2">
        <v>58</v>
      </c>
      <c r="J824">
        <f t="shared" si="60"/>
        <v>7</v>
      </c>
      <c r="K824">
        <f t="shared" si="61"/>
        <v>5</v>
      </c>
      <c r="L824" t="str">
        <f t="shared" si="62"/>
        <v>No</v>
      </c>
      <c r="M824" t="str">
        <f t="shared" si="64"/>
        <v>Yes</v>
      </c>
      <c r="N824" t="str">
        <f t="shared" si="63"/>
        <v>No</v>
      </c>
    </row>
    <row r="825" spans="1:14" x14ac:dyDescent="0.3">
      <c r="A825" s="4" t="s">
        <v>1667</v>
      </c>
      <c r="B825" s="4" t="s">
        <v>1668</v>
      </c>
      <c r="C825" s="4" t="s">
        <v>34</v>
      </c>
      <c r="D825" s="5">
        <v>45791</v>
      </c>
      <c r="E825" s="5">
        <v>45798</v>
      </c>
      <c r="F825" s="5">
        <v>45802</v>
      </c>
      <c r="G825" s="4" t="s">
        <v>40</v>
      </c>
      <c r="H825" s="4">
        <v>19</v>
      </c>
      <c r="I825" s="2">
        <v>19</v>
      </c>
      <c r="J825">
        <f t="shared" si="60"/>
        <v>11</v>
      </c>
      <c r="K825">
        <f t="shared" si="61"/>
        <v>4</v>
      </c>
      <c r="L825" t="str">
        <f t="shared" si="62"/>
        <v>No</v>
      </c>
      <c r="M825" t="str">
        <f t="shared" si="64"/>
        <v>Yes</v>
      </c>
      <c r="N825" t="str">
        <f t="shared" si="63"/>
        <v>No</v>
      </c>
    </row>
    <row r="826" spans="1:14" x14ac:dyDescent="0.3">
      <c r="A826" s="2" t="s">
        <v>1669</v>
      </c>
      <c r="B826" s="2" t="s">
        <v>1670</v>
      </c>
      <c r="C826" s="2" t="s">
        <v>59</v>
      </c>
      <c r="D826" s="3">
        <v>45789</v>
      </c>
      <c r="E826" s="3">
        <v>45795</v>
      </c>
      <c r="F826" s="3">
        <v>45793</v>
      </c>
      <c r="G826" s="2" t="s">
        <v>40</v>
      </c>
      <c r="H826" s="2">
        <v>11</v>
      </c>
      <c r="I826" s="2">
        <v>11</v>
      </c>
      <c r="J826">
        <f t="shared" si="60"/>
        <v>4</v>
      </c>
      <c r="K826">
        <f t="shared" si="61"/>
        <v>-2</v>
      </c>
      <c r="L826" t="str">
        <f t="shared" si="62"/>
        <v>Yes</v>
      </c>
      <c r="M826" t="str">
        <f t="shared" si="64"/>
        <v>Yes</v>
      </c>
      <c r="N826" t="str">
        <f t="shared" si="63"/>
        <v>Yes</v>
      </c>
    </row>
    <row r="827" spans="1:14" x14ac:dyDescent="0.3">
      <c r="A827" s="4" t="s">
        <v>1671</v>
      </c>
      <c r="B827" s="4" t="s">
        <v>1672</v>
      </c>
      <c r="C827" s="4" t="s">
        <v>21</v>
      </c>
      <c r="D827" s="5">
        <v>45789</v>
      </c>
      <c r="E827" s="5">
        <v>45799</v>
      </c>
      <c r="F827" s="5">
        <v>45795</v>
      </c>
      <c r="G827" s="4" t="s">
        <v>15</v>
      </c>
      <c r="H827" s="4">
        <v>42</v>
      </c>
      <c r="I827" s="2">
        <v>48</v>
      </c>
      <c r="J827">
        <f t="shared" si="60"/>
        <v>6</v>
      </c>
      <c r="K827">
        <f t="shared" si="61"/>
        <v>-4</v>
      </c>
      <c r="L827" t="str">
        <f t="shared" si="62"/>
        <v>Yes</v>
      </c>
      <c r="M827" t="str">
        <f t="shared" si="64"/>
        <v>No</v>
      </c>
      <c r="N827" t="str">
        <f t="shared" si="63"/>
        <v>No</v>
      </c>
    </row>
    <row r="828" spans="1:14" x14ac:dyDescent="0.3">
      <c r="A828" s="2" t="s">
        <v>1673</v>
      </c>
      <c r="B828" s="2" t="s">
        <v>1674</v>
      </c>
      <c r="C828" s="2" t="s">
        <v>21</v>
      </c>
      <c r="D828" s="3">
        <v>45789</v>
      </c>
      <c r="E828" s="3">
        <v>45799</v>
      </c>
      <c r="F828" s="3">
        <v>45795</v>
      </c>
      <c r="G828" s="2" t="s">
        <v>40</v>
      </c>
      <c r="H828" s="2">
        <v>16</v>
      </c>
      <c r="I828" s="2">
        <v>16</v>
      </c>
      <c r="J828">
        <f t="shared" si="60"/>
        <v>6</v>
      </c>
      <c r="K828">
        <f t="shared" si="61"/>
        <v>-4</v>
      </c>
      <c r="L828" t="str">
        <f t="shared" si="62"/>
        <v>Yes</v>
      </c>
      <c r="M828" t="str">
        <f t="shared" si="64"/>
        <v>Yes</v>
      </c>
      <c r="N828" t="str">
        <f t="shared" si="63"/>
        <v>Yes</v>
      </c>
    </row>
    <row r="829" spans="1:14" x14ac:dyDescent="0.3">
      <c r="A829" s="4" t="s">
        <v>1675</v>
      </c>
      <c r="B829" s="4" t="s">
        <v>1676</v>
      </c>
      <c r="C829" s="4" t="s">
        <v>27</v>
      </c>
      <c r="D829" s="5">
        <v>45789</v>
      </c>
      <c r="E829" s="5">
        <v>45796</v>
      </c>
      <c r="F829" s="5">
        <v>45802</v>
      </c>
      <c r="G829" s="4" t="s">
        <v>15</v>
      </c>
      <c r="H829" s="4">
        <v>14</v>
      </c>
      <c r="I829" s="2">
        <v>14</v>
      </c>
      <c r="J829">
        <f t="shared" si="60"/>
        <v>13</v>
      </c>
      <c r="K829">
        <f t="shared" si="61"/>
        <v>6</v>
      </c>
      <c r="L829" t="str">
        <f t="shared" si="62"/>
        <v>No</v>
      </c>
      <c r="M829" t="str">
        <f t="shared" si="64"/>
        <v>Yes</v>
      </c>
      <c r="N829" t="str">
        <f t="shared" si="63"/>
        <v>No</v>
      </c>
    </row>
    <row r="830" spans="1:14" x14ac:dyDescent="0.3">
      <c r="A830" s="2" t="s">
        <v>1677</v>
      </c>
      <c r="B830" s="2" t="s">
        <v>1678</v>
      </c>
      <c r="C830" s="2" t="s">
        <v>27</v>
      </c>
      <c r="D830" s="3">
        <v>45789</v>
      </c>
      <c r="E830" s="3">
        <v>45797</v>
      </c>
      <c r="F830" s="3">
        <v>45804</v>
      </c>
      <c r="G830" s="2" t="s">
        <v>15</v>
      </c>
      <c r="H830" s="2">
        <v>8</v>
      </c>
      <c r="I830" s="2">
        <v>8</v>
      </c>
      <c r="J830">
        <f t="shared" si="60"/>
        <v>15</v>
      </c>
      <c r="K830">
        <f t="shared" si="61"/>
        <v>7</v>
      </c>
      <c r="L830" t="str">
        <f t="shared" si="62"/>
        <v>No</v>
      </c>
      <c r="M830" t="str">
        <f t="shared" si="64"/>
        <v>Yes</v>
      </c>
      <c r="N830" t="str">
        <f t="shared" si="63"/>
        <v>No</v>
      </c>
    </row>
    <row r="831" spans="1:14" x14ac:dyDescent="0.3">
      <c r="A831" s="4" t="s">
        <v>1679</v>
      </c>
      <c r="B831" s="4" t="s">
        <v>1680</v>
      </c>
      <c r="C831" s="4" t="s">
        <v>27</v>
      </c>
      <c r="D831" s="5">
        <v>45790</v>
      </c>
      <c r="E831" s="5">
        <v>45799</v>
      </c>
      <c r="F831" s="5">
        <v>45807</v>
      </c>
      <c r="G831" s="4" t="s">
        <v>40</v>
      </c>
      <c r="H831" s="4">
        <v>1</v>
      </c>
      <c r="I831" s="2">
        <v>7</v>
      </c>
      <c r="J831">
        <f t="shared" si="60"/>
        <v>17</v>
      </c>
      <c r="K831">
        <f t="shared" si="61"/>
        <v>8</v>
      </c>
      <c r="L831" t="str">
        <f t="shared" si="62"/>
        <v>No</v>
      </c>
      <c r="M831" t="str">
        <f t="shared" si="64"/>
        <v>No</v>
      </c>
      <c r="N831" t="str">
        <f t="shared" si="63"/>
        <v>No</v>
      </c>
    </row>
    <row r="832" spans="1:14" x14ac:dyDescent="0.3">
      <c r="A832" s="2" t="s">
        <v>1681</v>
      </c>
      <c r="B832" s="2" t="s">
        <v>1682</v>
      </c>
      <c r="C832" s="2" t="s">
        <v>34</v>
      </c>
      <c r="D832" s="3">
        <v>45792</v>
      </c>
      <c r="E832" s="3">
        <v>45794</v>
      </c>
      <c r="F832" s="3">
        <v>45800</v>
      </c>
      <c r="G832" s="2" t="s">
        <v>11</v>
      </c>
      <c r="H832" s="2">
        <v>26</v>
      </c>
      <c r="I832" s="2">
        <v>26</v>
      </c>
      <c r="J832">
        <f t="shared" si="60"/>
        <v>8</v>
      </c>
      <c r="K832">
        <f t="shared" si="61"/>
        <v>6</v>
      </c>
      <c r="L832" t="str">
        <f t="shared" si="62"/>
        <v>No</v>
      </c>
      <c r="M832" t="str">
        <f t="shared" si="64"/>
        <v>Yes</v>
      </c>
      <c r="N832" t="str">
        <f t="shared" si="63"/>
        <v>No</v>
      </c>
    </row>
    <row r="833" spans="1:14" x14ac:dyDescent="0.3">
      <c r="A833" s="4" t="s">
        <v>1683</v>
      </c>
      <c r="B833" s="4" t="s">
        <v>1684</v>
      </c>
      <c r="C833" s="4" t="s">
        <v>10</v>
      </c>
      <c r="D833" s="5">
        <v>45792</v>
      </c>
      <c r="E833" s="5">
        <v>45794</v>
      </c>
      <c r="F833" s="5">
        <v>45796</v>
      </c>
      <c r="G833" s="4" t="s">
        <v>40</v>
      </c>
      <c r="H833" s="4">
        <v>13</v>
      </c>
      <c r="I833" s="2">
        <v>19</v>
      </c>
      <c r="J833">
        <f t="shared" si="60"/>
        <v>4</v>
      </c>
      <c r="K833">
        <f t="shared" si="61"/>
        <v>2</v>
      </c>
      <c r="L833" t="str">
        <f t="shared" si="62"/>
        <v>No</v>
      </c>
      <c r="M833" t="str">
        <f t="shared" si="64"/>
        <v>No</v>
      </c>
      <c r="N833" t="str">
        <f t="shared" si="63"/>
        <v>No</v>
      </c>
    </row>
    <row r="834" spans="1:14" x14ac:dyDescent="0.3">
      <c r="A834" s="2" t="s">
        <v>1685</v>
      </c>
      <c r="B834" s="2" t="s">
        <v>1686</v>
      </c>
      <c r="C834" s="2" t="s">
        <v>10</v>
      </c>
      <c r="D834" s="3">
        <v>45790</v>
      </c>
      <c r="E834" s="3">
        <v>45795</v>
      </c>
      <c r="F834" s="3">
        <v>45795</v>
      </c>
      <c r="G834" s="2" t="s">
        <v>18</v>
      </c>
      <c r="H834" s="2">
        <v>16</v>
      </c>
      <c r="I834" s="2">
        <v>16</v>
      </c>
      <c r="J834">
        <f t="shared" si="60"/>
        <v>5</v>
      </c>
      <c r="K834">
        <f t="shared" si="61"/>
        <v>0</v>
      </c>
      <c r="L834" t="str">
        <f t="shared" si="62"/>
        <v>Yes</v>
      </c>
      <c r="M834" t="str">
        <f t="shared" si="64"/>
        <v>Yes</v>
      </c>
      <c r="N834" t="str">
        <f t="shared" si="63"/>
        <v>Yes</v>
      </c>
    </row>
    <row r="835" spans="1:14" x14ac:dyDescent="0.3">
      <c r="A835" s="4" t="s">
        <v>1687</v>
      </c>
      <c r="B835" s="4" t="s">
        <v>1688</v>
      </c>
      <c r="C835" s="4" t="s">
        <v>72</v>
      </c>
      <c r="D835" s="5">
        <v>45791</v>
      </c>
      <c r="E835" s="5">
        <v>45796</v>
      </c>
      <c r="F835" s="5">
        <v>45805</v>
      </c>
      <c r="G835" s="4" t="s">
        <v>40</v>
      </c>
      <c r="H835" s="4">
        <v>17</v>
      </c>
      <c r="I835" s="2">
        <v>17</v>
      </c>
      <c r="J835">
        <f t="shared" ref="J835:J898" si="65">F835-D835</f>
        <v>14</v>
      </c>
      <c r="K835">
        <f t="shared" ref="K835:K898" si="66">F835-E835</f>
        <v>9</v>
      </c>
      <c r="L835" t="str">
        <f t="shared" ref="L835:L898" si="67">IF(K835&lt;=0,"Yes","No")</f>
        <v>No</v>
      </c>
      <c r="M835" t="str">
        <f t="shared" si="64"/>
        <v>Yes</v>
      </c>
      <c r="N835" t="str">
        <f t="shared" ref="N835:N898" si="68">IF(AND(L835="Yes",M835="Yes"),"Yes","No")</f>
        <v>No</v>
      </c>
    </row>
    <row r="836" spans="1:14" x14ac:dyDescent="0.3">
      <c r="A836" s="2" t="s">
        <v>1689</v>
      </c>
      <c r="B836" s="2" t="s">
        <v>1690</v>
      </c>
      <c r="C836" s="2" t="s">
        <v>14</v>
      </c>
      <c r="D836" s="3">
        <v>45792</v>
      </c>
      <c r="E836" s="3">
        <v>45796</v>
      </c>
      <c r="F836" s="3">
        <v>45811</v>
      </c>
      <c r="G836" s="2" t="s">
        <v>18</v>
      </c>
      <c r="H836" s="2">
        <v>41</v>
      </c>
      <c r="I836" s="2">
        <v>44</v>
      </c>
      <c r="J836">
        <f t="shared" si="65"/>
        <v>19</v>
      </c>
      <c r="K836">
        <f t="shared" si="66"/>
        <v>15</v>
      </c>
      <c r="L836" t="str">
        <f t="shared" si="67"/>
        <v>No</v>
      </c>
      <c r="M836" t="str">
        <f t="shared" ref="M836:M899" si="69">IF(H836=I836,"Yes","No")</f>
        <v>No</v>
      </c>
      <c r="N836" t="str">
        <f t="shared" si="68"/>
        <v>No</v>
      </c>
    </row>
    <row r="837" spans="1:14" x14ac:dyDescent="0.3">
      <c r="A837" s="4" t="s">
        <v>1691</v>
      </c>
      <c r="B837" s="4" t="s">
        <v>1692</v>
      </c>
      <c r="C837" s="4" t="s">
        <v>21</v>
      </c>
      <c r="D837" s="5">
        <v>45791</v>
      </c>
      <c r="E837" s="5">
        <v>45800</v>
      </c>
      <c r="F837" s="5">
        <v>45796</v>
      </c>
      <c r="G837" s="4" t="s">
        <v>18</v>
      </c>
      <c r="H837" s="4">
        <v>15</v>
      </c>
      <c r="I837" s="2">
        <v>15</v>
      </c>
      <c r="J837">
        <f t="shared" si="65"/>
        <v>5</v>
      </c>
      <c r="K837">
        <f t="shared" si="66"/>
        <v>-4</v>
      </c>
      <c r="L837" t="str">
        <f t="shared" si="67"/>
        <v>Yes</v>
      </c>
      <c r="M837" t="str">
        <f t="shared" si="69"/>
        <v>Yes</v>
      </c>
      <c r="N837" t="str">
        <f t="shared" si="68"/>
        <v>Yes</v>
      </c>
    </row>
    <row r="838" spans="1:14" x14ac:dyDescent="0.3">
      <c r="A838" s="2" t="s">
        <v>1693</v>
      </c>
      <c r="B838" s="2" t="s">
        <v>1694</v>
      </c>
      <c r="C838" s="2" t="s">
        <v>27</v>
      </c>
      <c r="D838" s="3">
        <v>45790</v>
      </c>
      <c r="E838" s="3">
        <v>45794</v>
      </c>
      <c r="F838" s="3">
        <v>45803</v>
      </c>
      <c r="G838" s="2" t="s">
        <v>40</v>
      </c>
      <c r="H838" s="2">
        <v>7</v>
      </c>
      <c r="I838" s="2">
        <v>7</v>
      </c>
      <c r="J838">
        <f t="shared" si="65"/>
        <v>13</v>
      </c>
      <c r="K838">
        <f t="shared" si="66"/>
        <v>9</v>
      </c>
      <c r="L838" t="str">
        <f t="shared" si="67"/>
        <v>No</v>
      </c>
      <c r="M838" t="str">
        <f t="shared" si="69"/>
        <v>Yes</v>
      </c>
      <c r="N838" t="str">
        <f t="shared" si="68"/>
        <v>No</v>
      </c>
    </row>
    <row r="839" spans="1:14" x14ac:dyDescent="0.3">
      <c r="A839" s="4" t="s">
        <v>1695</v>
      </c>
      <c r="B839" s="4" t="s">
        <v>1696</v>
      </c>
      <c r="C839" s="4" t="s">
        <v>27</v>
      </c>
      <c r="D839" s="5">
        <v>45791</v>
      </c>
      <c r="E839" s="5">
        <v>45793</v>
      </c>
      <c r="F839" s="5">
        <v>45803</v>
      </c>
      <c r="G839" s="4" t="s">
        <v>22</v>
      </c>
      <c r="H839" s="4">
        <v>8</v>
      </c>
      <c r="I839" s="2">
        <v>8</v>
      </c>
      <c r="J839">
        <f t="shared" si="65"/>
        <v>12</v>
      </c>
      <c r="K839">
        <f t="shared" si="66"/>
        <v>10</v>
      </c>
      <c r="L839" t="str">
        <f t="shared" si="67"/>
        <v>No</v>
      </c>
      <c r="M839" t="str">
        <f t="shared" si="69"/>
        <v>Yes</v>
      </c>
      <c r="N839" t="str">
        <f t="shared" si="68"/>
        <v>No</v>
      </c>
    </row>
    <row r="840" spans="1:14" x14ac:dyDescent="0.3">
      <c r="A840" s="2" t="s">
        <v>1697</v>
      </c>
      <c r="B840" s="2" t="s">
        <v>1698</v>
      </c>
      <c r="C840" s="2" t="s">
        <v>72</v>
      </c>
      <c r="D840" s="3">
        <v>45793</v>
      </c>
      <c r="E840" s="3">
        <v>45798</v>
      </c>
      <c r="F840" s="3">
        <v>45807</v>
      </c>
      <c r="G840" s="2" t="s">
        <v>11</v>
      </c>
      <c r="H840" s="2">
        <v>30</v>
      </c>
      <c r="I840" s="2">
        <v>30</v>
      </c>
      <c r="J840">
        <f t="shared" si="65"/>
        <v>14</v>
      </c>
      <c r="K840">
        <f t="shared" si="66"/>
        <v>9</v>
      </c>
      <c r="L840" t="str">
        <f t="shared" si="67"/>
        <v>No</v>
      </c>
      <c r="M840" t="str">
        <f t="shared" si="69"/>
        <v>Yes</v>
      </c>
      <c r="N840" t="str">
        <f t="shared" si="68"/>
        <v>No</v>
      </c>
    </row>
    <row r="841" spans="1:14" x14ac:dyDescent="0.3">
      <c r="A841" s="4" t="s">
        <v>1699</v>
      </c>
      <c r="B841" s="4" t="s">
        <v>1700</v>
      </c>
      <c r="C841" s="4" t="s">
        <v>72</v>
      </c>
      <c r="D841" s="5">
        <v>45793</v>
      </c>
      <c r="E841" s="5">
        <v>45799</v>
      </c>
      <c r="F841" s="5">
        <v>45811</v>
      </c>
      <c r="G841" s="4" t="s">
        <v>15</v>
      </c>
      <c r="H841" s="4">
        <v>16</v>
      </c>
      <c r="I841" s="2">
        <v>16</v>
      </c>
      <c r="J841">
        <f t="shared" si="65"/>
        <v>18</v>
      </c>
      <c r="K841">
        <f t="shared" si="66"/>
        <v>12</v>
      </c>
      <c r="L841" t="str">
        <f t="shared" si="67"/>
        <v>No</v>
      </c>
      <c r="M841" t="str">
        <f t="shared" si="69"/>
        <v>Yes</v>
      </c>
      <c r="N841" t="str">
        <f t="shared" si="68"/>
        <v>No</v>
      </c>
    </row>
    <row r="842" spans="1:14" x14ac:dyDescent="0.3">
      <c r="A842" s="2" t="s">
        <v>1701</v>
      </c>
      <c r="B842" s="2" t="s">
        <v>1702</v>
      </c>
      <c r="C842" s="2" t="s">
        <v>34</v>
      </c>
      <c r="D842" s="3">
        <v>45793</v>
      </c>
      <c r="E842" s="3">
        <v>45795</v>
      </c>
      <c r="F842" s="3">
        <v>45804</v>
      </c>
      <c r="G842" s="2" t="s">
        <v>22</v>
      </c>
      <c r="H842" s="2">
        <v>30</v>
      </c>
      <c r="I842" s="2">
        <v>30</v>
      </c>
      <c r="J842">
        <f t="shared" si="65"/>
        <v>11</v>
      </c>
      <c r="K842">
        <f t="shared" si="66"/>
        <v>9</v>
      </c>
      <c r="L842" t="str">
        <f t="shared" si="67"/>
        <v>No</v>
      </c>
      <c r="M842" t="str">
        <f t="shared" si="69"/>
        <v>Yes</v>
      </c>
      <c r="N842" t="str">
        <f t="shared" si="68"/>
        <v>No</v>
      </c>
    </row>
    <row r="843" spans="1:14" x14ac:dyDescent="0.3">
      <c r="A843" s="4" t="s">
        <v>1703</v>
      </c>
      <c r="B843" s="4" t="s">
        <v>1704</v>
      </c>
      <c r="C843" s="4" t="s">
        <v>37</v>
      </c>
      <c r="D843" s="5">
        <v>45793</v>
      </c>
      <c r="E843" s="5">
        <v>45799</v>
      </c>
      <c r="F843" s="5">
        <v>45805</v>
      </c>
      <c r="G843" s="4" t="s">
        <v>18</v>
      </c>
      <c r="H843" s="4">
        <v>16</v>
      </c>
      <c r="I843" s="2">
        <v>16</v>
      </c>
      <c r="J843">
        <f t="shared" si="65"/>
        <v>12</v>
      </c>
      <c r="K843">
        <f t="shared" si="66"/>
        <v>6</v>
      </c>
      <c r="L843" t="str">
        <f t="shared" si="67"/>
        <v>No</v>
      </c>
      <c r="M843" t="str">
        <f t="shared" si="69"/>
        <v>Yes</v>
      </c>
      <c r="N843" t="str">
        <f t="shared" si="68"/>
        <v>No</v>
      </c>
    </row>
    <row r="844" spans="1:14" x14ac:dyDescent="0.3">
      <c r="A844" s="2" t="s">
        <v>1705</v>
      </c>
      <c r="B844" s="2" t="s">
        <v>1706</v>
      </c>
      <c r="C844" s="2" t="s">
        <v>10</v>
      </c>
      <c r="D844" s="3">
        <v>45794</v>
      </c>
      <c r="E844" s="3">
        <v>45801</v>
      </c>
      <c r="F844" s="3">
        <v>45803</v>
      </c>
      <c r="G844" s="2" t="s">
        <v>40</v>
      </c>
      <c r="H844" s="2">
        <v>8</v>
      </c>
      <c r="I844" s="2">
        <v>8</v>
      </c>
      <c r="J844">
        <f t="shared" si="65"/>
        <v>9</v>
      </c>
      <c r="K844">
        <f t="shared" si="66"/>
        <v>2</v>
      </c>
      <c r="L844" t="str">
        <f t="shared" si="67"/>
        <v>No</v>
      </c>
      <c r="M844" t="str">
        <f t="shared" si="69"/>
        <v>Yes</v>
      </c>
      <c r="N844" t="str">
        <f t="shared" si="68"/>
        <v>No</v>
      </c>
    </row>
    <row r="845" spans="1:14" x14ac:dyDescent="0.3">
      <c r="A845" s="4" t="s">
        <v>1707</v>
      </c>
      <c r="B845" s="4" t="s">
        <v>1708</v>
      </c>
      <c r="C845" s="4" t="s">
        <v>72</v>
      </c>
      <c r="D845" s="5">
        <v>45794</v>
      </c>
      <c r="E845" s="5">
        <v>45798</v>
      </c>
      <c r="F845" s="5">
        <v>45808</v>
      </c>
      <c r="G845" s="4" t="s">
        <v>22</v>
      </c>
      <c r="H845" s="4">
        <v>20</v>
      </c>
      <c r="I845" s="2">
        <v>20</v>
      </c>
      <c r="J845">
        <f t="shared" si="65"/>
        <v>14</v>
      </c>
      <c r="K845">
        <f t="shared" si="66"/>
        <v>10</v>
      </c>
      <c r="L845" t="str">
        <f t="shared" si="67"/>
        <v>No</v>
      </c>
      <c r="M845" t="str">
        <f t="shared" si="69"/>
        <v>Yes</v>
      </c>
      <c r="N845" t="str">
        <f t="shared" si="68"/>
        <v>No</v>
      </c>
    </row>
    <row r="846" spans="1:14" x14ac:dyDescent="0.3">
      <c r="A846" s="2" t="s">
        <v>1709</v>
      </c>
      <c r="B846" s="2" t="s">
        <v>1710</v>
      </c>
      <c r="C846" s="2" t="s">
        <v>59</v>
      </c>
      <c r="D846" s="3">
        <v>45792</v>
      </c>
      <c r="E846" s="3">
        <v>45801</v>
      </c>
      <c r="F846" s="3">
        <v>45796</v>
      </c>
      <c r="G846" s="2" t="s">
        <v>18</v>
      </c>
      <c r="H846" s="2">
        <v>5</v>
      </c>
      <c r="I846" s="2">
        <v>5</v>
      </c>
      <c r="J846">
        <f t="shared" si="65"/>
        <v>4</v>
      </c>
      <c r="K846">
        <f t="shared" si="66"/>
        <v>-5</v>
      </c>
      <c r="L846" t="str">
        <f t="shared" si="67"/>
        <v>Yes</v>
      </c>
      <c r="M846" t="str">
        <f t="shared" si="69"/>
        <v>Yes</v>
      </c>
      <c r="N846" t="str">
        <f t="shared" si="68"/>
        <v>Yes</v>
      </c>
    </row>
    <row r="847" spans="1:14" x14ac:dyDescent="0.3">
      <c r="A847" s="4" t="s">
        <v>1711</v>
      </c>
      <c r="B847" s="4" t="s">
        <v>1712</v>
      </c>
      <c r="C847" s="4" t="s">
        <v>21</v>
      </c>
      <c r="D847" s="5">
        <v>45793</v>
      </c>
      <c r="E847" s="5">
        <v>45796</v>
      </c>
      <c r="F847" s="5">
        <v>45799</v>
      </c>
      <c r="G847" s="4" t="s">
        <v>11</v>
      </c>
      <c r="H847" s="4">
        <v>58</v>
      </c>
      <c r="I847" s="2">
        <v>58</v>
      </c>
      <c r="J847">
        <f t="shared" si="65"/>
        <v>6</v>
      </c>
      <c r="K847">
        <f t="shared" si="66"/>
        <v>3</v>
      </c>
      <c r="L847" t="str">
        <f t="shared" si="67"/>
        <v>No</v>
      </c>
      <c r="M847" t="str">
        <f t="shared" si="69"/>
        <v>Yes</v>
      </c>
      <c r="N847" t="str">
        <f t="shared" si="68"/>
        <v>No</v>
      </c>
    </row>
    <row r="848" spans="1:14" x14ac:dyDescent="0.3">
      <c r="A848" s="2" t="s">
        <v>1713</v>
      </c>
      <c r="B848" s="2" t="s">
        <v>1714</v>
      </c>
      <c r="C848" s="2" t="s">
        <v>21</v>
      </c>
      <c r="D848" s="3">
        <v>45794</v>
      </c>
      <c r="E848" s="3">
        <v>45797</v>
      </c>
      <c r="F848" s="3">
        <v>45802</v>
      </c>
      <c r="G848" s="2" t="s">
        <v>40</v>
      </c>
      <c r="H848" s="2">
        <v>53</v>
      </c>
      <c r="I848" s="2">
        <v>53</v>
      </c>
      <c r="J848">
        <f t="shared" si="65"/>
        <v>8</v>
      </c>
      <c r="K848">
        <f t="shared" si="66"/>
        <v>5</v>
      </c>
      <c r="L848" t="str">
        <f t="shared" si="67"/>
        <v>No</v>
      </c>
      <c r="M848" t="str">
        <f t="shared" si="69"/>
        <v>Yes</v>
      </c>
      <c r="N848" t="str">
        <f t="shared" si="68"/>
        <v>No</v>
      </c>
    </row>
    <row r="849" spans="1:14" x14ac:dyDescent="0.3">
      <c r="A849" s="4" t="s">
        <v>1715</v>
      </c>
      <c r="B849" s="4" t="s">
        <v>1716</v>
      </c>
      <c r="C849" s="4" t="s">
        <v>27</v>
      </c>
      <c r="D849" s="5">
        <v>45792</v>
      </c>
      <c r="E849" s="5">
        <v>45802</v>
      </c>
      <c r="F849" s="5">
        <v>45807</v>
      </c>
      <c r="G849" s="4" t="s">
        <v>18</v>
      </c>
      <c r="H849" s="4">
        <v>17</v>
      </c>
      <c r="I849" s="2">
        <v>17</v>
      </c>
      <c r="J849">
        <f t="shared" si="65"/>
        <v>15</v>
      </c>
      <c r="K849">
        <f t="shared" si="66"/>
        <v>5</v>
      </c>
      <c r="L849" t="str">
        <f t="shared" si="67"/>
        <v>No</v>
      </c>
      <c r="M849" t="str">
        <f t="shared" si="69"/>
        <v>Yes</v>
      </c>
      <c r="N849" t="str">
        <f t="shared" si="68"/>
        <v>No</v>
      </c>
    </row>
    <row r="850" spans="1:14" x14ac:dyDescent="0.3">
      <c r="A850" s="2" t="s">
        <v>1717</v>
      </c>
      <c r="B850" s="2" t="s">
        <v>1718</v>
      </c>
      <c r="C850" s="2" t="s">
        <v>37</v>
      </c>
      <c r="D850" s="3">
        <v>45793</v>
      </c>
      <c r="E850" s="3">
        <v>45799</v>
      </c>
      <c r="F850" s="3">
        <v>45805</v>
      </c>
      <c r="G850" s="2" t="s">
        <v>22</v>
      </c>
      <c r="H850" s="2">
        <v>36</v>
      </c>
      <c r="I850" s="2">
        <v>38</v>
      </c>
      <c r="J850">
        <f t="shared" si="65"/>
        <v>12</v>
      </c>
      <c r="K850">
        <f t="shared" si="66"/>
        <v>6</v>
      </c>
      <c r="L850" t="str">
        <f t="shared" si="67"/>
        <v>No</v>
      </c>
      <c r="M850" t="str">
        <f t="shared" si="69"/>
        <v>No</v>
      </c>
      <c r="N850" t="str">
        <f t="shared" si="68"/>
        <v>No</v>
      </c>
    </row>
    <row r="851" spans="1:14" x14ac:dyDescent="0.3">
      <c r="A851" s="4" t="s">
        <v>1719</v>
      </c>
      <c r="B851" s="4" t="s">
        <v>1720</v>
      </c>
      <c r="C851" s="4" t="s">
        <v>10</v>
      </c>
      <c r="D851" s="5">
        <v>45795</v>
      </c>
      <c r="E851" s="5">
        <v>45800</v>
      </c>
      <c r="F851" s="5">
        <v>45800</v>
      </c>
      <c r="G851" s="4" t="s">
        <v>22</v>
      </c>
      <c r="H851" s="4">
        <v>19</v>
      </c>
      <c r="I851" s="2">
        <v>19</v>
      </c>
      <c r="J851">
        <f t="shared" si="65"/>
        <v>5</v>
      </c>
      <c r="K851">
        <f t="shared" si="66"/>
        <v>0</v>
      </c>
      <c r="L851" t="str">
        <f t="shared" si="67"/>
        <v>Yes</v>
      </c>
      <c r="M851" t="str">
        <f t="shared" si="69"/>
        <v>Yes</v>
      </c>
      <c r="N851" t="str">
        <f t="shared" si="68"/>
        <v>Yes</v>
      </c>
    </row>
    <row r="852" spans="1:14" x14ac:dyDescent="0.3">
      <c r="A852" s="2" t="s">
        <v>1721</v>
      </c>
      <c r="B852" s="2" t="s">
        <v>1722</v>
      </c>
      <c r="C852" s="2" t="s">
        <v>10</v>
      </c>
      <c r="D852" s="3">
        <v>45795</v>
      </c>
      <c r="E852" s="3">
        <v>45801</v>
      </c>
      <c r="F852" s="3">
        <v>45800</v>
      </c>
      <c r="G852" s="2" t="s">
        <v>18</v>
      </c>
      <c r="H852" s="2">
        <v>19</v>
      </c>
      <c r="I852" s="2">
        <v>19</v>
      </c>
      <c r="J852">
        <f t="shared" si="65"/>
        <v>5</v>
      </c>
      <c r="K852">
        <f t="shared" si="66"/>
        <v>-1</v>
      </c>
      <c r="L852" t="str">
        <f t="shared" si="67"/>
        <v>Yes</v>
      </c>
      <c r="M852" t="str">
        <f t="shared" si="69"/>
        <v>Yes</v>
      </c>
      <c r="N852" t="str">
        <f t="shared" si="68"/>
        <v>Yes</v>
      </c>
    </row>
    <row r="853" spans="1:14" x14ac:dyDescent="0.3">
      <c r="A853" s="4" t="s">
        <v>1723</v>
      </c>
      <c r="B853" s="4" t="s">
        <v>1724</v>
      </c>
      <c r="C853" s="4" t="s">
        <v>14</v>
      </c>
      <c r="D853" s="5">
        <v>45795</v>
      </c>
      <c r="E853" s="5">
        <v>45800</v>
      </c>
      <c r="F853" s="5">
        <v>45811</v>
      </c>
      <c r="G853" s="4" t="s">
        <v>15</v>
      </c>
      <c r="H853" s="4">
        <v>42</v>
      </c>
      <c r="I853" s="2">
        <v>44</v>
      </c>
      <c r="J853">
        <f t="shared" si="65"/>
        <v>16</v>
      </c>
      <c r="K853">
        <f t="shared" si="66"/>
        <v>11</v>
      </c>
      <c r="L853" t="str">
        <f t="shared" si="67"/>
        <v>No</v>
      </c>
      <c r="M853" t="str">
        <f t="shared" si="69"/>
        <v>No</v>
      </c>
      <c r="N853" t="str">
        <f t="shared" si="68"/>
        <v>No</v>
      </c>
    </row>
    <row r="854" spans="1:14" x14ac:dyDescent="0.3">
      <c r="A854" s="2" t="s">
        <v>1725</v>
      </c>
      <c r="B854" s="2" t="s">
        <v>1726</v>
      </c>
      <c r="C854" s="2" t="s">
        <v>21</v>
      </c>
      <c r="D854" s="3">
        <v>45794</v>
      </c>
      <c r="E854" s="3">
        <v>45797</v>
      </c>
      <c r="F854" s="3">
        <v>45800</v>
      </c>
      <c r="G854" s="2" t="s">
        <v>40</v>
      </c>
      <c r="H854" s="2">
        <v>25</v>
      </c>
      <c r="I854" s="2">
        <v>25</v>
      </c>
      <c r="J854">
        <f t="shared" si="65"/>
        <v>6</v>
      </c>
      <c r="K854">
        <f t="shared" si="66"/>
        <v>3</v>
      </c>
      <c r="L854" t="str">
        <f t="shared" si="67"/>
        <v>No</v>
      </c>
      <c r="M854" t="str">
        <f t="shared" si="69"/>
        <v>Yes</v>
      </c>
      <c r="N854" t="str">
        <f t="shared" si="68"/>
        <v>No</v>
      </c>
    </row>
    <row r="855" spans="1:14" x14ac:dyDescent="0.3">
      <c r="A855" s="4" t="s">
        <v>1727</v>
      </c>
      <c r="B855" s="4" t="s">
        <v>1728</v>
      </c>
      <c r="C855" s="4" t="s">
        <v>27</v>
      </c>
      <c r="D855" s="5">
        <v>45794</v>
      </c>
      <c r="E855" s="5">
        <v>45803</v>
      </c>
      <c r="F855" s="5">
        <v>45806</v>
      </c>
      <c r="G855" s="4" t="s">
        <v>18</v>
      </c>
      <c r="H855" s="4">
        <v>5</v>
      </c>
      <c r="I855" s="2">
        <v>5</v>
      </c>
      <c r="J855">
        <f t="shared" si="65"/>
        <v>12</v>
      </c>
      <c r="K855">
        <f t="shared" si="66"/>
        <v>3</v>
      </c>
      <c r="L855" t="str">
        <f t="shared" si="67"/>
        <v>No</v>
      </c>
      <c r="M855" t="str">
        <f t="shared" si="69"/>
        <v>Yes</v>
      </c>
      <c r="N855" t="str">
        <f t="shared" si="68"/>
        <v>No</v>
      </c>
    </row>
    <row r="856" spans="1:14" x14ac:dyDescent="0.3">
      <c r="A856" s="2" t="s">
        <v>1729</v>
      </c>
      <c r="B856" s="2" t="s">
        <v>1730</v>
      </c>
      <c r="C856" s="2" t="s">
        <v>34</v>
      </c>
      <c r="D856" s="3">
        <v>45796</v>
      </c>
      <c r="E856" s="3">
        <v>45801</v>
      </c>
      <c r="F856" s="3">
        <v>45803</v>
      </c>
      <c r="G856" s="2" t="s">
        <v>22</v>
      </c>
      <c r="H856" s="2">
        <v>1</v>
      </c>
      <c r="I856" s="2">
        <v>7</v>
      </c>
      <c r="J856">
        <f t="shared" si="65"/>
        <v>7</v>
      </c>
      <c r="K856">
        <f t="shared" si="66"/>
        <v>2</v>
      </c>
      <c r="L856" t="str">
        <f t="shared" si="67"/>
        <v>No</v>
      </c>
      <c r="M856" t="str">
        <f t="shared" si="69"/>
        <v>No</v>
      </c>
      <c r="N856" t="str">
        <f t="shared" si="68"/>
        <v>No</v>
      </c>
    </row>
    <row r="857" spans="1:14" x14ac:dyDescent="0.3">
      <c r="A857" s="4" t="s">
        <v>1731</v>
      </c>
      <c r="B857" s="4" t="s">
        <v>1732</v>
      </c>
      <c r="C857" s="4" t="s">
        <v>34</v>
      </c>
      <c r="D857" s="5">
        <v>45794</v>
      </c>
      <c r="E857" s="5">
        <v>45801</v>
      </c>
      <c r="F857" s="5">
        <v>45801</v>
      </c>
      <c r="G857" s="4" t="s">
        <v>15</v>
      </c>
      <c r="H857" s="4">
        <v>54</v>
      </c>
      <c r="I857" s="2">
        <v>62</v>
      </c>
      <c r="J857">
        <f t="shared" si="65"/>
        <v>7</v>
      </c>
      <c r="K857">
        <f t="shared" si="66"/>
        <v>0</v>
      </c>
      <c r="L857" t="str">
        <f t="shared" si="67"/>
        <v>Yes</v>
      </c>
      <c r="M857" t="str">
        <f t="shared" si="69"/>
        <v>No</v>
      </c>
      <c r="N857" t="str">
        <f t="shared" si="68"/>
        <v>No</v>
      </c>
    </row>
    <row r="858" spans="1:14" x14ac:dyDescent="0.3">
      <c r="A858" s="2" t="s">
        <v>1733</v>
      </c>
      <c r="B858" s="2" t="s">
        <v>1734</v>
      </c>
      <c r="C858" s="2" t="s">
        <v>72</v>
      </c>
      <c r="D858" s="3">
        <v>45794</v>
      </c>
      <c r="E858" s="3">
        <v>45797</v>
      </c>
      <c r="F858" s="3">
        <v>45808</v>
      </c>
      <c r="G858" s="2" t="s">
        <v>40</v>
      </c>
      <c r="H858" s="2">
        <v>11</v>
      </c>
      <c r="I858" s="2">
        <v>11</v>
      </c>
      <c r="J858">
        <f t="shared" si="65"/>
        <v>14</v>
      </c>
      <c r="K858">
        <f t="shared" si="66"/>
        <v>11</v>
      </c>
      <c r="L858" t="str">
        <f t="shared" si="67"/>
        <v>No</v>
      </c>
      <c r="M858" t="str">
        <f t="shared" si="69"/>
        <v>Yes</v>
      </c>
      <c r="N858" t="str">
        <f t="shared" si="68"/>
        <v>No</v>
      </c>
    </row>
    <row r="859" spans="1:14" x14ac:dyDescent="0.3">
      <c r="A859" s="4" t="s">
        <v>1735</v>
      </c>
      <c r="B859" s="4" t="s">
        <v>1736</v>
      </c>
      <c r="C859" s="4" t="s">
        <v>59</v>
      </c>
      <c r="D859" s="5">
        <v>45794</v>
      </c>
      <c r="E859" s="5">
        <v>45798</v>
      </c>
      <c r="F859" s="5">
        <v>45798</v>
      </c>
      <c r="G859" s="4" t="s">
        <v>40</v>
      </c>
      <c r="H859" s="4">
        <v>14</v>
      </c>
      <c r="I859" s="2">
        <v>14</v>
      </c>
      <c r="J859">
        <f t="shared" si="65"/>
        <v>4</v>
      </c>
      <c r="K859">
        <f t="shared" si="66"/>
        <v>0</v>
      </c>
      <c r="L859" t="str">
        <f t="shared" si="67"/>
        <v>Yes</v>
      </c>
      <c r="M859" t="str">
        <f t="shared" si="69"/>
        <v>Yes</v>
      </c>
      <c r="N859" t="str">
        <f t="shared" si="68"/>
        <v>Yes</v>
      </c>
    </row>
    <row r="860" spans="1:14" x14ac:dyDescent="0.3">
      <c r="A860" s="2" t="s">
        <v>1737</v>
      </c>
      <c r="B860" s="2" t="s">
        <v>1738</v>
      </c>
      <c r="C860" s="2" t="s">
        <v>59</v>
      </c>
      <c r="D860" s="3">
        <v>45794</v>
      </c>
      <c r="E860" s="3">
        <v>45801</v>
      </c>
      <c r="F860" s="3">
        <v>45798</v>
      </c>
      <c r="G860" s="2" t="s">
        <v>11</v>
      </c>
      <c r="H860" s="2">
        <v>17</v>
      </c>
      <c r="I860" s="2">
        <v>23</v>
      </c>
      <c r="J860">
        <f t="shared" si="65"/>
        <v>4</v>
      </c>
      <c r="K860">
        <f t="shared" si="66"/>
        <v>-3</v>
      </c>
      <c r="L860" t="str">
        <f t="shared" si="67"/>
        <v>Yes</v>
      </c>
      <c r="M860" t="str">
        <f t="shared" si="69"/>
        <v>No</v>
      </c>
      <c r="N860" t="str">
        <f t="shared" si="68"/>
        <v>No</v>
      </c>
    </row>
    <row r="861" spans="1:14" x14ac:dyDescent="0.3">
      <c r="A861" s="4" t="s">
        <v>1739</v>
      </c>
      <c r="B861" s="4" t="s">
        <v>1740</v>
      </c>
      <c r="C861" s="4" t="s">
        <v>27</v>
      </c>
      <c r="D861" s="5">
        <v>45794</v>
      </c>
      <c r="E861" s="5">
        <v>45799</v>
      </c>
      <c r="F861" s="5">
        <v>45807</v>
      </c>
      <c r="G861" s="4" t="s">
        <v>22</v>
      </c>
      <c r="H861" s="4">
        <v>7</v>
      </c>
      <c r="I861" s="2">
        <v>7</v>
      </c>
      <c r="J861">
        <f t="shared" si="65"/>
        <v>13</v>
      </c>
      <c r="K861">
        <f t="shared" si="66"/>
        <v>8</v>
      </c>
      <c r="L861" t="str">
        <f t="shared" si="67"/>
        <v>No</v>
      </c>
      <c r="M861" t="str">
        <f t="shared" si="69"/>
        <v>Yes</v>
      </c>
      <c r="N861" t="str">
        <f t="shared" si="68"/>
        <v>No</v>
      </c>
    </row>
    <row r="862" spans="1:14" x14ac:dyDescent="0.3">
      <c r="A862" s="2" t="s">
        <v>1741</v>
      </c>
      <c r="B862" s="2" t="s">
        <v>1742</v>
      </c>
      <c r="C862" s="2" t="s">
        <v>37</v>
      </c>
      <c r="D862" s="3">
        <v>45795</v>
      </c>
      <c r="E862" s="3">
        <v>45800</v>
      </c>
      <c r="F862" s="3">
        <v>45808</v>
      </c>
      <c r="G862" s="2" t="s">
        <v>15</v>
      </c>
      <c r="H862" s="2">
        <v>41</v>
      </c>
      <c r="I862" s="2">
        <v>41</v>
      </c>
      <c r="J862">
        <f t="shared" si="65"/>
        <v>13</v>
      </c>
      <c r="K862">
        <f t="shared" si="66"/>
        <v>8</v>
      </c>
      <c r="L862" t="str">
        <f t="shared" si="67"/>
        <v>No</v>
      </c>
      <c r="M862" t="str">
        <f t="shared" si="69"/>
        <v>Yes</v>
      </c>
      <c r="N862" t="str">
        <f t="shared" si="68"/>
        <v>No</v>
      </c>
    </row>
    <row r="863" spans="1:14" x14ac:dyDescent="0.3">
      <c r="A863" s="4" t="s">
        <v>1743</v>
      </c>
      <c r="B863" s="4" t="s">
        <v>1744</v>
      </c>
      <c r="C863" s="4" t="s">
        <v>10</v>
      </c>
      <c r="D863" s="5">
        <v>45796</v>
      </c>
      <c r="E863" s="5">
        <v>45805</v>
      </c>
      <c r="F863" s="5">
        <v>45802</v>
      </c>
      <c r="G863" s="4" t="s">
        <v>15</v>
      </c>
      <c r="H863" s="4">
        <v>30</v>
      </c>
      <c r="I863" s="2">
        <v>30</v>
      </c>
      <c r="J863">
        <f t="shared" si="65"/>
        <v>6</v>
      </c>
      <c r="K863">
        <f t="shared" si="66"/>
        <v>-3</v>
      </c>
      <c r="L863" t="str">
        <f t="shared" si="67"/>
        <v>Yes</v>
      </c>
      <c r="M863" t="str">
        <f t="shared" si="69"/>
        <v>Yes</v>
      </c>
      <c r="N863" t="str">
        <f t="shared" si="68"/>
        <v>Yes</v>
      </c>
    </row>
    <row r="864" spans="1:14" x14ac:dyDescent="0.3">
      <c r="A864" s="2" t="s">
        <v>1745</v>
      </c>
      <c r="B864" s="2" t="s">
        <v>1746</v>
      </c>
      <c r="C864" s="2" t="s">
        <v>72</v>
      </c>
      <c r="D864" s="3">
        <v>45795</v>
      </c>
      <c r="E864" s="3">
        <v>45802</v>
      </c>
      <c r="F864" s="3">
        <v>45809</v>
      </c>
      <c r="G864" s="2" t="s">
        <v>40</v>
      </c>
      <c r="H864" s="2">
        <v>13</v>
      </c>
      <c r="I864" s="2">
        <v>13</v>
      </c>
      <c r="J864">
        <f t="shared" si="65"/>
        <v>14</v>
      </c>
      <c r="K864">
        <f t="shared" si="66"/>
        <v>7</v>
      </c>
      <c r="L864" t="str">
        <f t="shared" si="67"/>
        <v>No</v>
      </c>
      <c r="M864" t="str">
        <f t="shared" si="69"/>
        <v>Yes</v>
      </c>
      <c r="N864" t="str">
        <f t="shared" si="68"/>
        <v>No</v>
      </c>
    </row>
    <row r="865" spans="1:14" x14ac:dyDescent="0.3">
      <c r="A865" s="4" t="s">
        <v>1747</v>
      </c>
      <c r="B865" s="4" t="s">
        <v>1748</v>
      </c>
      <c r="C865" s="4" t="s">
        <v>59</v>
      </c>
      <c r="D865" s="5">
        <v>45796</v>
      </c>
      <c r="E865" s="5">
        <v>45805</v>
      </c>
      <c r="F865" s="5">
        <v>45801</v>
      </c>
      <c r="G865" s="4" t="s">
        <v>18</v>
      </c>
      <c r="H865" s="4">
        <v>9</v>
      </c>
      <c r="I865" s="2">
        <v>9</v>
      </c>
      <c r="J865">
        <f t="shared" si="65"/>
        <v>5</v>
      </c>
      <c r="K865">
        <f t="shared" si="66"/>
        <v>-4</v>
      </c>
      <c r="L865" t="str">
        <f t="shared" si="67"/>
        <v>Yes</v>
      </c>
      <c r="M865" t="str">
        <f t="shared" si="69"/>
        <v>Yes</v>
      </c>
      <c r="N865" t="str">
        <f t="shared" si="68"/>
        <v>Yes</v>
      </c>
    </row>
    <row r="866" spans="1:14" x14ac:dyDescent="0.3">
      <c r="A866" s="2" t="s">
        <v>1749</v>
      </c>
      <c r="B866" s="2" t="s">
        <v>1750</v>
      </c>
      <c r="C866" s="2" t="s">
        <v>14</v>
      </c>
      <c r="D866" s="3">
        <v>45795</v>
      </c>
      <c r="E866" s="3">
        <v>45801</v>
      </c>
      <c r="F866" s="3">
        <v>45811</v>
      </c>
      <c r="G866" s="2" t="s">
        <v>11</v>
      </c>
      <c r="H866" s="2">
        <v>39</v>
      </c>
      <c r="I866" s="2">
        <v>39</v>
      </c>
      <c r="J866">
        <f t="shared" si="65"/>
        <v>16</v>
      </c>
      <c r="K866">
        <f t="shared" si="66"/>
        <v>10</v>
      </c>
      <c r="L866" t="str">
        <f t="shared" si="67"/>
        <v>No</v>
      </c>
      <c r="M866" t="str">
        <f t="shared" si="69"/>
        <v>Yes</v>
      </c>
      <c r="N866" t="str">
        <f t="shared" si="68"/>
        <v>No</v>
      </c>
    </row>
    <row r="867" spans="1:14" x14ac:dyDescent="0.3">
      <c r="A867" s="4" t="s">
        <v>1751</v>
      </c>
      <c r="B867" s="4" t="s">
        <v>1752</v>
      </c>
      <c r="C867" s="4" t="s">
        <v>21</v>
      </c>
      <c r="D867" s="5">
        <v>45797</v>
      </c>
      <c r="E867" s="5">
        <v>45804</v>
      </c>
      <c r="F867" s="5">
        <v>45803</v>
      </c>
      <c r="G867" s="4" t="s">
        <v>18</v>
      </c>
      <c r="H867" s="4">
        <v>16</v>
      </c>
      <c r="I867" s="2">
        <v>16</v>
      </c>
      <c r="J867">
        <f t="shared" si="65"/>
        <v>6</v>
      </c>
      <c r="K867">
        <f t="shared" si="66"/>
        <v>-1</v>
      </c>
      <c r="L867" t="str">
        <f t="shared" si="67"/>
        <v>Yes</v>
      </c>
      <c r="M867" t="str">
        <f t="shared" si="69"/>
        <v>Yes</v>
      </c>
      <c r="N867" t="str">
        <f t="shared" si="68"/>
        <v>Yes</v>
      </c>
    </row>
    <row r="868" spans="1:14" x14ac:dyDescent="0.3">
      <c r="A868" s="2" t="s">
        <v>1753</v>
      </c>
      <c r="B868" s="2" t="s">
        <v>1754</v>
      </c>
      <c r="C868" s="2" t="s">
        <v>21</v>
      </c>
      <c r="D868" s="3">
        <v>45796</v>
      </c>
      <c r="E868" s="3">
        <v>45798</v>
      </c>
      <c r="F868" s="3">
        <v>45802</v>
      </c>
      <c r="G868" s="2" t="s">
        <v>40</v>
      </c>
      <c r="H868" s="2">
        <v>16</v>
      </c>
      <c r="I868" s="2">
        <v>16</v>
      </c>
      <c r="J868">
        <f t="shared" si="65"/>
        <v>6</v>
      </c>
      <c r="K868">
        <f t="shared" si="66"/>
        <v>4</v>
      </c>
      <c r="L868" t="str">
        <f t="shared" si="67"/>
        <v>No</v>
      </c>
      <c r="M868" t="str">
        <f t="shared" si="69"/>
        <v>Yes</v>
      </c>
      <c r="N868" t="str">
        <f t="shared" si="68"/>
        <v>No</v>
      </c>
    </row>
    <row r="869" spans="1:14" x14ac:dyDescent="0.3">
      <c r="A869" s="4" t="s">
        <v>1755</v>
      </c>
      <c r="B869" s="4" t="s">
        <v>1756</v>
      </c>
      <c r="C869" s="4" t="s">
        <v>27</v>
      </c>
      <c r="D869" s="5">
        <v>45797</v>
      </c>
      <c r="E869" s="5">
        <v>45802</v>
      </c>
      <c r="F869" s="5">
        <v>45812</v>
      </c>
      <c r="G869" s="4" t="s">
        <v>40</v>
      </c>
      <c r="H869" s="4">
        <v>1</v>
      </c>
      <c r="I869" s="2">
        <v>1</v>
      </c>
      <c r="J869">
        <f t="shared" si="65"/>
        <v>15</v>
      </c>
      <c r="K869">
        <f t="shared" si="66"/>
        <v>10</v>
      </c>
      <c r="L869" t="str">
        <f t="shared" si="67"/>
        <v>No</v>
      </c>
      <c r="M869" t="str">
        <f t="shared" si="69"/>
        <v>Yes</v>
      </c>
      <c r="N869" t="str">
        <f t="shared" si="68"/>
        <v>No</v>
      </c>
    </row>
    <row r="870" spans="1:14" x14ac:dyDescent="0.3">
      <c r="A870" s="2" t="s">
        <v>1757</v>
      </c>
      <c r="B870" s="2" t="s">
        <v>1758</v>
      </c>
      <c r="C870" s="2" t="s">
        <v>27</v>
      </c>
      <c r="D870" s="3">
        <v>45795</v>
      </c>
      <c r="E870" s="3">
        <v>45804</v>
      </c>
      <c r="F870" s="3">
        <v>45808</v>
      </c>
      <c r="G870" s="2" t="s">
        <v>15</v>
      </c>
      <c r="H870" s="2">
        <v>12</v>
      </c>
      <c r="I870" s="2">
        <v>12</v>
      </c>
      <c r="J870">
        <f t="shared" si="65"/>
        <v>13</v>
      </c>
      <c r="K870">
        <f t="shared" si="66"/>
        <v>4</v>
      </c>
      <c r="L870" t="str">
        <f t="shared" si="67"/>
        <v>No</v>
      </c>
      <c r="M870" t="str">
        <f t="shared" si="69"/>
        <v>Yes</v>
      </c>
      <c r="N870" t="str">
        <f t="shared" si="68"/>
        <v>No</v>
      </c>
    </row>
    <row r="871" spans="1:14" x14ac:dyDescent="0.3">
      <c r="A871" s="4" t="s">
        <v>1759</v>
      </c>
      <c r="B871" s="4" t="s">
        <v>1760</v>
      </c>
      <c r="C871" s="4" t="s">
        <v>34</v>
      </c>
      <c r="D871" s="5">
        <v>45796</v>
      </c>
      <c r="E871" s="5">
        <v>45804</v>
      </c>
      <c r="F871" s="5">
        <v>45803</v>
      </c>
      <c r="G871" s="4" t="s">
        <v>18</v>
      </c>
      <c r="H871" s="4">
        <v>46</v>
      </c>
      <c r="I871" s="2">
        <v>46</v>
      </c>
      <c r="J871">
        <f t="shared" si="65"/>
        <v>7</v>
      </c>
      <c r="K871">
        <f t="shared" si="66"/>
        <v>-1</v>
      </c>
      <c r="L871" t="str">
        <f t="shared" si="67"/>
        <v>Yes</v>
      </c>
      <c r="M871" t="str">
        <f t="shared" si="69"/>
        <v>Yes</v>
      </c>
      <c r="N871" t="str">
        <f t="shared" si="68"/>
        <v>Yes</v>
      </c>
    </row>
    <row r="872" spans="1:14" x14ac:dyDescent="0.3">
      <c r="A872" s="2" t="s">
        <v>1761</v>
      </c>
      <c r="B872" s="2" t="s">
        <v>1762</v>
      </c>
      <c r="C872" s="2" t="s">
        <v>10</v>
      </c>
      <c r="D872" s="3">
        <v>45796</v>
      </c>
      <c r="E872" s="3">
        <v>45800</v>
      </c>
      <c r="F872" s="3">
        <v>45801</v>
      </c>
      <c r="G872" s="2" t="s">
        <v>11</v>
      </c>
      <c r="H872" s="2">
        <v>7</v>
      </c>
      <c r="I872" s="2">
        <v>14</v>
      </c>
      <c r="J872">
        <f t="shared" si="65"/>
        <v>5</v>
      </c>
      <c r="K872">
        <f t="shared" si="66"/>
        <v>1</v>
      </c>
      <c r="L872" t="str">
        <f t="shared" si="67"/>
        <v>No</v>
      </c>
      <c r="M872" t="str">
        <f t="shared" si="69"/>
        <v>No</v>
      </c>
      <c r="N872" t="str">
        <f t="shared" si="68"/>
        <v>No</v>
      </c>
    </row>
    <row r="873" spans="1:14" x14ac:dyDescent="0.3">
      <c r="A873" s="4" t="s">
        <v>1763</v>
      </c>
      <c r="B873" s="4" t="s">
        <v>1764</v>
      </c>
      <c r="C873" s="4" t="s">
        <v>10</v>
      </c>
      <c r="D873" s="5">
        <v>45796</v>
      </c>
      <c r="E873" s="5">
        <v>45800</v>
      </c>
      <c r="F873" s="5">
        <v>45805</v>
      </c>
      <c r="G873" s="4" t="s">
        <v>22</v>
      </c>
      <c r="H873" s="4">
        <v>27</v>
      </c>
      <c r="I873" s="2">
        <v>27</v>
      </c>
      <c r="J873">
        <f t="shared" si="65"/>
        <v>9</v>
      </c>
      <c r="K873">
        <f t="shared" si="66"/>
        <v>5</v>
      </c>
      <c r="L873" t="str">
        <f t="shared" si="67"/>
        <v>No</v>
      </c>
      <c r="M873" t="str">
        <f t="shared" si="69"/>
        <v>Yes</v>
      </c>
      <c r="N873" t="str">
        <f t="shared" si="68"/>
        <v>No</v>
      </c>
    </row>
    <row r="874" spans="1:14" x14ac:dyDescent="0.3">
      <c r="A874" s="2" t="s">
        <v>1765</v>
      </c>
      <c r="B874" s="2" t="s">
        <v>1766</v>
      </c>
      <c r="C874" s="2" t="s">
        <v>72</v>
      </c>
      <c r="D874" s="3">
        <v>45798</v>
      </c>
      <c r="E874" s="3">
        <v>45799</v>
      </c>
      <c r="F874" s="3">
        <v>45814</v>
      </c>
      <c r="G874" s="2" t="s">
        <v>40</v>
      </c>
      <c r="H874" s="2">
        <v>13</v>
      </c>
      <c r="I874" s="2">
        <v>13</v>
      </c>
      <c r="J874">
        <f t="shared" si="65"/>
        <v>16</v>
      </c>
      <c r="K874">
        <f t="shared" si="66"/>
        <v>15</v>
      </c>
      <c r="L874" t="str">
        <f t="shared" si="67"/>
        <v>No</v>
      </c>
      <c r="M874" t="str">
        <f t="shared" si="69"/>
        <v>Yes</v>
      </c>
      <c r="N874" t="str">
        <f t="shared" si="68"/>
        <v>No</v>
      </c>
    </row>
    <row r="875" spans="1:14" x14ac:dyDescent="0.3">
      <c r="A875" s="4" t="s">
        <v>1767</v>
      </c>
      <c r="B875" s="4" t="s">
        <v>1768</v>
      </c>
      <c r="C875" s="4" t="s">
        <v>14</v>
      </c>
      <c r="D875" s="5">
        <v>45796</v>
      </c>
      <c r="E875" s="5">
        <v>45802</v>
      </c>
      <c r="F875" s="5">
        <v>45810</v>
      </c>
      <c r="G875" s="4" t="s">
        <v>15</v>
      </c>
      <c r="H875" s="4">
        <v>10</v>
      </c>
      <c r="I875" s="2">
        <v>10</v>
      </c>
      <c r="J875">
        <f t="shared" si="65"/>
        <v>14</v>
      </c>
      <c r="K875">
        <f t="shared" si="66"/>
        <v>8</v>
      </c>
      <c r="L875" t="str">
        <f t="shared" si="67"/>
        <v>No</v>
      </c>
      <c r="M875" t="str">
        <f t="shared" si="69"/>
        <v>Yes</v>
      </c>
      <c r="N875" t="str">
        <f t="shared" si="68"/>
        <v>No</v>
      </c>
    </row>
    <row r="876" spans="1:14" x14ac:dyDescent="0.3">
      <c r="A876" s="2" t="s">
        <v>1769</v>
      </c>
      <c r="B876" s="2" t="s">
        <v>1770</v>
      </c>
      <c r="C876" s="2" t="s">
        <v>59</v>
      </c>
      <c r="D876" s="3">
        <v>45796</v>
      </c>
      <c r="E876" s="3">
        <v>45801</v>
      </c>
      <c r="F876" s="3">
        <v>45800</v>
      </c>
      <c r="G876" s="2" t="s">
        <v>11</v>
      </c>
      <c r="H876" s="2">
        <v>21</v>
      </c>
      <c r="I876" s="2">
        <v>21</v>
      </c>
      <c r="J876">
        <f t="shared" si="65"/>
        <v>4</v>
      </c>
      <c r="K876">
        <f t="shared" si="66"/>
        <v>-1</v>
      </c>
      <c r="L876" t="str">
        <f t="shared" si="67"/>
        <v>Yes</v>
      </c>
      <c r="M876" t="str">
        <f t="shared" si="69"/>
        <v>Yes</v>
      </c>
      <c r="N876" t="str">
        <f t="shared" si="68"/>
        <v>Yes</v>
      </c>
    </row>
    <row r="877" spans="1:14" x14ac:dyDescent="0.3">
      <c r="A877" s="4" t="s">
        <v>1771</v>
      </c>
      <c r="B877" s="4" t="s">
        <v>1772</v>
      </c>
      <c r="C877" s="4" t="s">
        <v>21</v>
      </c>
      <c r="D877" s="5">
        <v>45796</v>
      </c>
      <c r="E877" s="5">
        <v>45806</v>
      </c>
      <c r="F877" s="5">
        <v>45802</v>
      </c>
      <c r="G877" s="4" t="s">
        <v>40</v>
      </c>
      <c r="H877" s="4">
        <v>32</v>
      </c>
      <c r="I877" s="2">
        <v>32</v>
      </c>
      <c r="J877">
        <f t="shared" si="65"/>
        <v>6</v>
      </c>
      <c r="K877">
        <f t="shared" si="66"/>
        <v>-4</v>
      </c>
      <c r="L877" t="str">
        <f t="shared" si="67"/>
        <v>Yes</v>
      </c>
      <c r="M877" t="str">
        <f t="shared" si="69"/>
        <v>Yes</v>
      </c>
      <c r="N877" t="str">
        <f t="shared" si="68"/>
        <v>Yes</v>
      </c>
    </row>
    <row r="878" spans="1:14" x14ac:dyDescent="0.3">
      <c r="A878" s="2" t="s">
        <v>1773</v>
      </c>
      <c r="B878" s="2" t="s">
        <v>1774</v>
      </c>
      <c r="C878" s="2" t="s">
        <v>27</v>
      </c>
      <c r="D878" s="3">
        <v>45796</v>
      </c>
      <c r="E878" s="3">
        <v>45804</v>
      </c>
      <c r="F878" s="3">
        <v>45813</v>
      </c>
      <c r="G878" s="2" t="s">
        <v>11</v>
      </c>
      <c r="H878" s="2">
        <v>8</v>
      </c>
      <c r="I878" s="2">
        <v>8</v>
      </c>
      <c r="J878">
        <f t="shared" si="65"/>
        <v>17</v>
      </c>
      <c r="K878">
        <f t="shared" si="66"/>
        <v>9</v>
      </c>
      <c r="L878" t="str">
        <f t="shared" si="67"/>
        <v>No</v>
      </c>
      <c r="M878" t="str">
        <f t="shared" si="69"/>
        <v>Yes</v>
      </c>
      <c r="N878" t="str">
        <f t="shared" si="68"/>
        <v>No</v>
      </c>
    </row>
    <row r="879" spans="1:14" x14ac:dyDescent="0.3">
      <c r="A879" s="4" t="s">
        <v>1775</v>
      </c>
      <c r="B879" s="4" t="s">
        <v>1776</v>
      </c>
      <c r="C879" s="4" t="s">
        <v>27</v>
      </c>
      <c r="D879" s="5">
        <v>45796</v>
      </c>
      <c r="E879" s="5">
        <v>45799</v>
      </c>
      <c r="F879" s="5">
        <v>45809</v>
      </c>
      <c r="G879" s="4" t="s">
        <v>11</v>
      </c>
      <c r="H879" s="4">
        <v>11</v>
      </c>
      <c r="I879" s="2">
        <v>11</v>
      </c>
      <c r="J879">
        <f t="shared" si="65"/>
        <v>13</v>
      </c>
      <c r="K879">
        <f t="shared" si="66"/>
        <v>10</v>
      </c>
      <c r="L879" t="str">
        <f t="shared" si="67"/>
        <v>No</v>
      </c>
      <c r="M879" t="str">
        <f t="shared" si="69"/>
        <v>Yes</v>
      </c>
      <c r="N879" t="str">
        <f t="shared" si="68"/>
        <v>No</v>
      </c>
    </row>
    <row r="880" spans="1:14" x14ac:dyDescent="0.3">
      <c r="A880" s="2" t="s">
        <v>1777</v>
      </c>
      <c r="B880" s="2" t="s">
        <v>1778</v>
      </c>
      <c r="C880" s="2" t="s">
        <v>34</v>
      </c>
      <c r="D880" s="3">
        <v>45799</v>
      </c>
      <c r="E880" s="3">
        <v>45804</v>
      </c>
      <c r="F880" s="3">
        <v>45807</v>
      </c>
      <c r="G880" s="2" t="s">
        <v>22</v>
      </c>
      <c r="H880" s="2">
        <v>54</v>
      </c>
      <c r="I880" s="2">
        <v>60</v>
      </c>
      <c r="J880">
        <f t="shared" si="65"/>
        <v>8</v>
      </c>
      <c r="K880">
        <f t="shared" si="66"/>
        <v>3</v>
      </c>
      <c r="L880" t="str">
        <f t="shared" si="67"/>
        <v>No</v>
      </c>
      <c r="M880" t="str">
        <f t="shared" si="69"/>
        <v>No</v>
      </c>
      <c r="N880" t="str">
        <f t="shared" si="68"/>
        <v>No</v>
      </c>
    </row>
    <row r="881" spans="1:14" x14ac:dyDescent="0.3">
      <c r="A881" s="4" t="s">
        <v>1779</v>
      </c>
      <c r="B881" s="4" t="s">
        <v>1780</v>
      </c>
      <c r="C881" s="4" t="s">
        <v>37</v>
      </c>
      <c r="D881" s="5">
        <v>45797</v>
      </c>
      <c r="E881" s="5">
        <v>45803</v>
      </c>
      <c r="F881" s="5">
        <v>45812</v>
      </c>
      <c r="G881" s="4" t="s">
        <v>22</v>
      </c>
      <c r="H881" s="4">
        <v>21</v>
      </c>
      <c r="I881" s="2">
        <v>22</v>
      </c>
      <c r="J881">
        <f t="shared" si="65"/>
        <v>15</v>
      </c>
      <c r="K881">
        <f t="shared" si="66"/>
        <v>9</v>
      </c>
      <c r="L881" t="str">
        <f t="shared" si="67"/>
        <v>No</v>
      </c>
      <c r="M881" t="str">
        <f t="shared" si="69"/>
        <v>No</v>
      </c>
      <c r="N881" t="str">
        <f t="shared" si="68"/>
        <v>No</v>
      </c>
    </row>
    <row r="882" spans="1:14" x14ac:dyDescent="0.3">
      <c r="A882" s="2" t="s">
        <v>1781</v>
      </c>
      <c r="B882" s="2" t="s">
        <v>1782</v>
      </c>
      <c r="C882" s="2" t="s">
        <v>34</v>
      </c>
      <c r="D882" s="3">
        <v>45799</v>
      </c>
      <c r="E882" s="3">
        <v>45806</v>
      </c>
      <c r="F882" s="3">
        <v>45807</v>
      </c>
      <c r="G882" s="2" t="s">
        <v>40</v>
      </c>
      <c r="H882" s="2">
        <v>28</v>
      </c>
      <c r="I882" s="2">
        <v>28</v>
      </c>
      <c r="J882">
        <f t="shared" si="65"/>
        <v>8</v>
      </c>
      <c r="K882">
        <f t="shared" si="66"/>
        <v>1</v>
      </c>
      <c r="L882" t="str">
        <f t="shared" si="67"/>
        <v>No</v>
      </c>
      <c r="M882" t="str">
        <f t="shared" si="69"/>
        <v>Yes</v>
      </c>
      <c r="N882" t="str">
        <f t="shared" si="68"/>
        <v>No</v>
      </c>
    </row>
    <row r="883" spans="1:14" x14ac:dyDescent="0.3">
      <c r="A883" s="4" t="s">
        <v>1783</v>
      </c>
      <c r="B883" s="4" t="s">
        <v>1784</v>
      </c>
      <c r="C883" s="4" t="s">
        <v>10</v>
      </c>
      <c r="D883" s="5">
        <v>45797</v>
      </c>
      <c r="E883" s="5">
        <v>45801</v>
      </c>
      <c r="F883" s="5">
        <v>45806</v>
      </c>
      <c r="G883" s="4" t="s">
        <v>40</v>
      </c>
      <c r="H883" s="4">
        <v>14</v>
      </c>
      <c r="I883" s="2">
        <v>14</v>
      </c>
      <c r="J883">
        <f t="shared" si="65"/>
        <v>9</v>
      </c>
      <c r="K883">
        <f t="shared" si="66"/>
        <v>5</v>
      </c>
      <c r="L883" t="str">
        <f t="shared" si="67"/>
        <v>No</v>
      </c>
      <c r="M883" t="str">
        <f t="shared" si="69"/>
        <v>Yes</v>
      </c>
      <c r="N883" t="str">
        <f t="shared" si="68"/>
        <v>No</v>
      </c>
    </row>
    <row r="884" spans="1:14" x14ac:dyDescent="0.3">
      <c r="A884" s="2" t="s">
        <v>1785</v>
      </c>
      <c r="B884" s="2" t="s">
        <v>1786</v>
      </c>
      <c r="C884" s="2" t="s">
        <v>59</v>
      </c>
      <c r="D884" s="3">
        <v>45797</v>
      </c>
      <c r="E884" s="3">
        <v>45800</v>
      </c>
      <c r="F884" s="3">
        <v>45805</v>
      </c>
      <c r="G884" s="2" t="s">
        <v>11</v>
      </c>
      <c r="H884" s="2">
        <v>18</v>
      </c>
      <c r="I884" s="2">
        <v>20</v>
      </c>
      <c r="J884">
        <f t="shared" si="65"/>
        <v>8</v>
      </c>
      <c r="K884">
        <f t="shared" si="66"/>
        <v>5</v>
      </c>
      <c r="L884" t="str">
        <f t="shared" si="67"/>
        <v>No</v>
      </c>
      <c r="M884" t="str">
        <f t="shared" si="69"/>
        <v>No</v>
      </c>
      <c r="N884" t="str">
        <f t="shared" si="68"/>
        <v>No</v>
      </c>
    </row>
    <row r="885" spans="1:14" x14ac:dyDescent="0.3">
      <c r="A885" s="4" t="s">
        <v>1787</v>
      </c>
      <c r="B885" s="4" t="s">
        <v>1788</v>
      </c>
      <c r="C885" s="4" t="s">
        <v>14</v>
      </c>
      <c r="D885" s="5">
        <v>45799</v>
      </c>
      <c r="E885" s="5">
        <v>45805</v>
      </c>
      <c r="F885" s="5">
        <v>45816</v>
      </c>
      <c r="G885" s="4" t="s">
        <v>22</v>
      </c>
      <c r="H885" s="4">
        <v>19</v>
      </c>
      <c r="I885" s="2">
        <v>19</v>
      </c>
      <c r="J885">
        <f t="shared" si="65"/>
        <v>17</v>
      </c>
      <c r="K885">
        <f t="shared" si="66"/>
        <v>11</v>
      </c>
      <c r="L885" t="str">
        <f t="shared" si="67"/>
        <v>No</v>
      </c>
      <c r="M885" t="str">
        <f t="shared" si="69"/>
        <v>Yes</v>
      </c>
      <c r="N885" t="str">
        <f t="shared" si="68"/>
        <v>No</v>
      </c>
    </row>
    <row r="886" spans="1:14" x14ac:dyDescent="0.3">
      <c r="A886" s="2" t="s">
        <v>1789</v>
      </c>
      <c r="B886" s="2" t="s">
        <v>1790</v>
      </c>
      <c r="C886" s="2" t="s">
        <v>27</v>
      </c>
      <c r="D886" s="3">
        <v>45799</v>
      </c>
      <c r="E886" s="3">
        <v>45801</v>
      </c>
      <c r="F886" s="3">
        <v>45812</v>
      </c>
      <c r="G886" s="2" t="s">
        <v>18</v>
      </c>
      <c r="H886" s="2">
        <v>34</v>
      </c>
      <c r="I886" s="2">
        <v>34</v>
      </c>
      <c r="J886">
        <f t="shared" si="65"/>
        <v>13</v>
      </c>
      <c r="K886">
        <f t="shared" si="66"/>
        <v>11</v>
      </c>
      <c r="L886" t="str">
        <f t="shared" si="67"/>
        <v>No</v>
      </c>
      <c r="M886" t="str">
        <f t="shared" si="69"/>
        <v>Yes</v>
      </c>
      <c r="N886" t="str">
        <f t="shared" si="68"/>
        <v>No</v>
      </c>
    </row>
    <row r="887" spans="1:14" x14ac:dyDescent="0.3">
      <c r="A887" s="4" t="s">
        <v>1791</v>
      </c>
      <c r="B887" s="4" t="s">
        <v>1792</v>
      </c>
      <c r="C887" s="4" t="s">
        <v>27</v>
      </c>
      <c r="D887" s="5">
        <v>45799</v>
      </c>
      <c r="E887" s="5">
        <v>45807</v>
      </c>
      <c r="F887" s="5">
        <v>45812</v>
      </c>
      <c r="G887" s="4" t="s">
        <v>11</v>
      </c>
      <c r="H887" s="4">
        <v>3</v>
      </c>
      <c r="I887" s="2">
        <v>3</v>
      </c>
      <c r="J887">
        <f t="shared" si="65"/>
        <v>13</v>
      </c>
      <c r="K887">
        <f t="shared" si="66"/>
        <v>5</v>
      </c>
      <c r="L887" t="str">
        <f t="shared" si="67"/>
        <v>No</v>
      </c>
      <c r="M887" t="str">
        <f t="shared" si="69"/>
        <v>Yes</v>
      </c>
      <c r="N887" t="str">
        <f t="shared" si="68"/>
        <v>No</v>
      </c>
    </row>
    <row r="888" spans="1:14" x14ac:dyDescent="0.3">
      <c r="A888" s="2" t="s">
        <v>1793</v>
      </c>
      <c r="B888" s="2" t="s">
        <v>1794</v>
      </c>
      <c r="C888" s="2" t="s">
        <v>27</v>
      </c>
      <c r="D888" s="3">
        <v>45797</v>
      </c>
      <c r="E888" s="3">
        <v>45801</v>
      </c>
      <c r="F888" s="3">
        <v>45814</v>
      </c>
      <c r="G888" s="2" t="s">
        <v>18</v>
      </c>
      <c r="H888" s="2">
        <v>8</v>
      </c>
      <c r="I888" s="2">
        <v>8</v>
      </c>
      <c r="J888">
        <f t="shared" si="65"/>
        <v>17</v>
      </c>
      <c r="K888">
        <f t="shared" si="66"/>
        <v>13</v>
      </c>
      <c r="L888" t="str">
        <f t="shared" si="67"/>
        <v>No</v>
      </c>
      <c r="M888" t="str">
        <f t="shared" si="69"/>
        <v>Yes</v>
      </c>
      <c r="N888" t="str">
        <f t="shared" si="68"/>
        <v>No</v>
      </c>
    </row>
    <row r="889" spans="1:14" x14ac:dyDescent="0.3">
      <c r="A889" s="4" t="s">
        <v>1795</v>
      </c>
      <c r="B889" s="4" t="s">
        <v>1796</v>
      </c>
      <c r="C889" s="4" t="s">
        <v>34</v>
      </c>
      <c r="D889" s="5">
        <v>45799</v>
      </c>
      <c r="E889" s="5">
        <v>45808</v>
      </c>
      <c r="F889" s="5">
        <v>45807</v>
      </c>
      <c r="G889" s="4" t="s">
        <v>15</v>
      </c>
      <c r="H889" s="4">
        <v>37</v>
      </c>
      <c r="I889" s="2">
        <v>37</v>
      </c>
      <c r="J889">
        <f t="shared" si="65"/>
        <v>8</v>
      </c>
      <c r="K889">
        <f t="shared" si="66"/>
        <v>-1</v>
      </c>
      <c r="L889" t="str">
        <f t="shared" si="67"/>
        <v>Yes</v>
      </c>
      <c r="M889" t="str">
        <f t="shared" si="69"/>
        <v>Yes</v>
      </c>
      <c r="N889" t="str">
        <f t="shared" si="68"/>
        <v>Yes</v>
      </c>
    </row>
    <row r="890" spans="1:14" x14ac:dyDescent="0.3">
      <c r="A890" s="2" t="s">
        <v>1797</v>
      </c>
      <c r="B890" s="2" t="s">
        <v>1798</v>
      </c>
      <c r="C890" s="2" t="s">
        <v>34</v>
      </c>
      <c r="D890" s="3">
        <v>45799</v>
      </c>
      <c r="E890" s="3">
        <v>45804</v>
      </c>
      <c r="F890" s="3">
        <v>45810</v>
      </c>
      <c r="G890" s="2" t="s">
        <v>22</v>
      </c>
      <c r="H890" s="2">
        <v>46</v>
      </c>
      <c r="I890" s="2">
        <v>47</v>
      </c>
      <c r="J890">
        <f t="shared" si="65"/>
        <v>11</v>
      </c>
      <c r="K890">
        <f t="shared" si="66"/>
        <v>6</v>
      </c>
      <c r="L890" t="str">
        <f t="shared" si="67"/>
        <v>No</v>
      </c>
      <c r="M890" t="str">
        <f t="shared" si="69"/>
        <v>No</v>
      </c>
      <c r="N890" t="str">
        <f t="shared" si="68"/>
        <v>No</v>
      </c>
    </row>
    <row r="891" spans="1:14" x14ac:dyDescent="0.3">
      <c r="A891" s="4" t="s">
        <v>1799</v>
      </c>
      <c r="B891" s="4" t="s">
        <v>1800</v>
      </c>
      <c r="C891" s="4" t="s">
        <v>72</v>
      </c>
      <c r="D891" s="5">
        <v>45798</v>
      </c>
      <c r="E891" s="5">
        <v>45802</v>
      </c>
      <c r="F891" s="5">
        <v>45813</v>
      </c>
      <c r="G891" s="4" t="s">
        <v>15</v>
      </c>
      <c r="H891" s="4">
        <v>15</v>
      </c>
      <c r="I891" s="2">
        <v>15</v>
      </c>
      <c r="J891">
        <f t="shared" si="65"/>
        <v>15</v>
      </c>
      <c r="K891">
        <f t="shared" si="66"/>
        <v>11</v>
      </c>
      <c r="L891" t="str">
        <f t="shared" si="67"/>
        <v>No</v>
      </c>
      <c r="M891" t="str">
        <f t="shared" si="69"/>
        <v>Yes</v>
      </c>
      <c r="N891" t="str">
        <f t="shared" si="68"/>
        <v>No</v>
      </c>
    </row>
    <row r="892" spans="1:14" x14ac:dyDescent="0.3">
      <c r="A892" s="2" t="s">
        <v>1801</v>
      </c>
      <c r="B892" s="2" t="s">
        <v>1802</v>
      </c>
      <c r="C892" s="2" t="s">
        <v>14</v>
      </c>
      <c r="D892" s="3">
        <v>45800</v>
      </c>
      <c r="E892" s="3">
        <v>45804</v>
      </c>
      <c r="F892" s="3">
        <v>45816</v>
      </c>
      <c r="G892" s="2" t="s">
        <v>11</v>
      </c>
      <c r="H892" s="2">
        <v>48</v>
      </c>
      <c r="I892" s="2">
        <v>48</v>
      </c>
      <c r="J892">
        <f t="shared" si="65"/>
        <v>16</v>
      </c>
      <c r="K892">
        <f t="shared" si="66"/>
        <v>12</v>
      </c>
      <c r="L892" t="str">
        <f t="shared" si="67"/>
        <v>No</v>
      </c>
      <c r="M892" t="str">
        <f t="shared" si="69"/>
        <v>Yes</v>
      </c>
      <c r="N892" t="str">
        <f t="shared" si="68"/>
        <v>No</v>
      </c>
    </row>
    <row r="893" spans="1:14" x14ac:dyDescent="0.3">
      <c r="A893" s="4" t="s">
        <v>1803</v>
      </c>
      <c r="B893" s="4" t="s">
        <v>1804</v>
      </c>
      <c r="C893" s="4" t="s">
        <v>14</v>
      </c>
      <c r="D893" s="5">
        <v>45800</v>
      </c>
      <c r="E893" s="5">
        <v>45805</v>
      </c>
      <c r="F893" s="5">
        <v>45815</v>
      </c>
      <c r="G893" s="4" t="s">
        <v>11</v>
      </c>
      <c r="H893" s="4">
        <v>29</v>
      </c>
      <c r="I893" s="2">
        <v>29</v>
      </c>
      <c r="J893">
        <f t="shared" si="65"/>
        <v>15</v>
      </c>
      <c r="K893">
        <f t="shared" si="66"/>
        <v>10</v>
      </c>
      <c r="L893" t="str">
        <f t="shared" si="67"/>
        <v>No</v>
      </c>
      <c r="M893" t="str">
        <f t="shared" si="69"/>
        <v>Yes</v>
      </c>
      <c r="N893" t="str">
        <f t="shared" si="68"/>
        <v>No</v>
      </c>
    </row>
    <row r="894" spans="1:14" x14ac:dyDescent="0.3">
      <c r="A894" s="2" t="s">
        <v>1805</v>
      </c>
      <c r="B894" s="2" t="s">
        <v>1806</v>
      </c>
      <c r="C894" s="2" t="s">
        <v>21</v>
      </c>
      <c r="D894" s="3">
        <v>45800</v>
      </c>
      <c r="E894" s="3">
        <v>45801</v>
      </c>
      <c r="F894" s="3">
        <v>45806</v>
      </c>
      <c r="G894" s="2" t="s">
        <v>22</v>
      </c>
      <c r="H894" s="2">
        <v>32</v>
      </c>
      <c r="I894" s="2">
        <v>32</v>
      </c>
      <c r="J894">
        <f t="shared" si="65"/>
        <v>6</v>
      </c>
      <c r="K894">
        <f t="shared" si="66"/>
        <v>5</v>
      </c>
      <c r="L894" t="str">
        <f t="shared" si="67"/>
        <v>No</v>
      </c>
      <c r="M894" t="str">
        <f t="shared" si="69"/>
        <v>Yes</v>
      </c>
      <c r="N894" t="str">
        <f t="shared" si="68"/>
        <v>No</v>
      </c>
    </row>
    <row r="895" spans="1:14" x14ac:dyDescent="0.3">
      <c r="A895" s="4" t="s">
        <v>1807</v>
      </c>
      <c r="B895" s="4" t="s">
        <v>1808</v>
      </c>
      <c r="C895" s="4" t="s">
        <v>21</v>
      </c>
      <c r="D895" s="5">
        <v>45800</v>
      </c>
      <c r="E895" s="5">
        <v>45808</v>
      </c>
      <c r="F895" s="5">
        <v>45806</v>
      </c>
      <c r="G895" s="4" t="s">
        <v>40</v>
      </c>
      <c r="H895" s="4">
        <v>33</v>
      </c>
      <c r="I895" s="2">
        <v>33</v>
      </c>
      <c r="J895">
        <f t="shared" si="65"/>
        <v>6</v>
      </c>
      <c r="K895">
        <f t="shared" si="66"/>
        <v>-2</v>
      </c>
      <c r="L895" t="str">
        <f t="shared" si="67"/>
        <v>Yes</v>
      </c>
      <c r="M895" t="str">
        <f t="shared" si="69"/>
        <v>Yes</v>
      </c>
      <c r="N895" t="str">
        <f t="shared" si="68"/>
        <v>Yes</v>
      </c>
    </row>
    <row r="896" spans="1:14" x14ac:dyDescent="0.3">
      <c r="A896" s="2" t="s">
        <v>1809</v>
      </c>
      <c r="B896" s="2" t="s">
        <v>1810</v>
      </c>
      <c r="C896" s="2" t="s">
        <v>27</v>
      </c>
      <c r="D896" s="3">
        <v>45800</v>
      </c>
      <c r="E896" s="3">
        <v>45808</v>
      </c>
      <c r="F896" s="3">
        <v>45813</v>
      </c>
      <c r="G896" s="2" t="s">
        <v>15</v>
      </c>
      <c r="H896" s="2">
        <v>9</v>
      </c>
      <c r="I896" s="2">
        <v>9</v>
      </c>
      <c r="J896">
        <f t="shared" si="65"/>
        <v>13</v>
      </c>
      <c r="K896">
        <f t="shared" si="66"/>
        <v>5</v>
      </c>
      <c r="L896" t="str">
        <f t="shared" si="67"/>
        <v>No</v>
      </c>
      <c r="M896" t="str">
        <f t="shared" si="69"/>
        <v>Yes</v>
      </c>
      <c r="N896" t="str">
        <f t="shared" si="68"/>
        <v>No</v>
      </c>
    </row>
    <row r="897" spans="1:14" x14ac:dyDescent="0.3">
      <c r="A897" s="4" t="s">
        <v>1811</v>
      </c>
      <c r="B897" s="4" t="s">
        <v>1812</v>
      </c>
      <c r="C897" s="4" t="s">
        <v>37</v>
      </c>
      <c r="D897" s="5">
        <v>45799</v>
      </c>
      <c r="E897" s="5">
        <v>45804</v>
      </c>
      <c r="F897" s="5">
        <v>45811</v>
      </c>
      <c r="G897" s="4" t="s">
        <v>22</v>
      </c>
      <c r="H897" s="4">
        <v>21</v>
      </c>
      <c r="I897" s="2">
        <v>21</v>
      </c>
      <c r="J897">
        <f t="shared" si="65"/>
        <v>12</v>
      </c>
      <c r="K897">
        <f t="shared" si="66"/>
        <v>7</v>
      </c>
      <c r="L897" t="str">
        <f t="shared" si="67"/>
        <v>No</v>
      </c>
      <c r="M897" t="str">
        <f t="shared" si="69"/>
        <v>Yes</v>
      </c>
      <c r="N897" t="str">
        <f t="shared" si="68"/>
        <v>No</v>
      </c>
    </row>
    <row r="898" spans="1:14" x14ac:dyDescent="0.3">
      <c r="A898" s="2" t="s">
        <v>1813</v>
      </c>
      <c r="B898" s="2" t="s">
        <v>1814</v>
      </c>
      <c r="C898" s="2" t="s">
        <v>72</v>
      </c>
      <c r="D898" s="3">
        <v>45801</v>
      </c>
      <c r="E898" s="3">
        <v>45803</v>
      </c>
      <c r="F898" s="3">
        <v>45814</v>
      </c>
      <c r="G898" s="2" t="s">
        <v>18</v>
      </c>
      <c r="H898" s="2">
        <v>4</v>
      </c>
      <c r="I898" s="2">
        <v>7</v>
      </c>
      <c r="J898">
        <f t="shared" si="65"/>
        <v>13</v>
      </c>
      <c r="K898">
        <f t="shared" si="66"/>
        <v>11</v>
      </c>
      <c r="L898" t="str">
        <f t="shared" si="67"/>
        <v>No</v>
      </c>
      <c r="M898" t="str">
        <f t="shared" si="69"/>
        <v>No</v>
      </c>
      <c r="N898" t="str">
        <f t="shared" si="68"/>
        <v>No</v>
      </c>
    </row>
    <row r="899" spans="1:14" x14ac:dyDescent="0.3">
      <c r="A899" s="4" t="s">
        <v>1815</v>
      </c>
      <c r="B899" s="4" t="s">
        <v>1816</v>
      </c>
      <c r="C899" s="4" t="s">
        <v>14</v>
      </c>
      <c r="D899" s="5">
        <v>45801</v>
      </c>
      <c r="E899" s="5">
        <v>45805</v>
      </c>
      <c r="F899" s="5">
        <v>45816</v>
      </c>
      <c r="G899" s="4" t="s">
        <v>22</v>
      </c>
      <c r="H899" s="4">
        <v>11</v>
      </c>
      <c r="I899" s="2">
        <v>11</v>
      </c>
      <c r="J899">
        <f t="shared" ref="J899:J962" si="70">F899-D899</f>
        <v>15</v>
      </c>
      <c r="K899">
        <f t="shared" ref="K899:K962" si="71">F899-E899</f>
        <v>11</v>
      </c>
      <c r="L899" t="str">
        <f t="shared" ref="L899:L962" si="72">IF(K899&lt;=0,"Yes","No")</f>
        <v>No</v>
      </c>
      <c r="M899" t="str">
        <f t="shared" si="69"/>
        <v>Yes</v>
      </c>
      <c r="N899" t="str">
        <f t="shared" ref="N899:N962" si="73">IF(AND(L899="Yes",M899="Yes"),"Yes","No")</f>
        <v>No</v>
      </c>
    </row>
    <row r="900" spans="1:14" x14ac:dyDescent="0.3">
      <c r="A900" s="2" t="s">
        <v>1817</v>
      </c>
      <c r="B900" s="2" t="s">
        <v>1818</v>
      </c>
      <c r="C900" s="2" t="s">
        <v>27</v>
      </c>
      <c r="D900" s="3">
        <v>45801</v>
      </c>
      <c r="E900" s="3">
        <v>45804</v>
      </c>
      <c r="F900" s="3">
        <v>45814</v>
      </c>
      <c r="G900" s="2" t="s">
        <v>18</v>
      </c>
      <c r="H900" s="2">
        <v>37</v>
      </c>
      <c r="I900" s="2">
        <v>37</v>
      </c>
      <c r="J900">
        <f t="shared" si="70"/>
        <v>13</v>
      </c>
      <c r="K900">
        <f t="shared" si="71"/>
        <v>10</v>
      </c>
      <c r="L900" t="str">
        <f t="shared" si="72"/>
        <v>No</v>
      </c>
      <c r="M900" t="str">
        <f t="shared" ref="M900:M963" si="74">IF(H900=I900,"Yes","No")</f>
        <v>Yes</v>
      </c>
      <c r="N900" t="str">
        <f t="shared" si="73"/>
        <v>No</v>
      </c>
    </row>
    <row r="901" spans="1:14" x14ac:dyDescent="0.3">
      <c r="A901" s="4" t="s">
        <v>1819</v>
      </c>
      <c r="B901" s="4" t="s">
        <v>1820</v>
      </c>
      <c r="C901" s="4" t="s">
        <v>37</v>
      </c>
      <c r="D901" s="5">
        <v>45800</v>
      </c>
      <c r="E901" s="5">
        <v>45804</v>
      </c>
      <c r="F901" s="5">
        <v>45813</v>
      </c>
      <c r="G901" s="4" t="s">
        <v>15</v>
      </c>
      <c r="H901" s="4">
        <v>31</v>
      </c>
      <c r="I901" s="2">
        <v>31</v>
      </c>
      <c r="J901">
        <f t="shared" si="70"/>
        <v>13</v>
      </c>
      <c r="K901">
        <f t="shared" si="71"/>
        <v>9</v>
      </c>
      <c r="L901" t="str">
        <f t="shared" si="72"/>
        <v>No</v>
      </c>
      <c r="M901" t="str">
        <f t="shared" si="74"/>
        <v>Yes</v>
      </c>
      <c r="N901" t="str">
        <f t="shared" si="73"/>
        <v>No</v>
      </c>
    </row>
    <row r="902" spans="1:14" x14ac:dyDescent="0.3">
      <c r="A902" s="2" t="s">
        <v>1821</v>
      </c>
      <c r="B902" s="2" t="s">
        <v>1822</v>
      </c>
      <c r="C902" s="2" t="s">
        <v>37</v>
      </c>
      <c r="D902" s="3">
        <v>45801</v>
      </c>
      <c r="E902" s="3">
        <v>45806</v>
      </c>
      <c r="F902" s="3">
        <v>45815</v>
      </c>
      <c r="G902" s="2" t="s">
        <v>18</v>
      </c>
      <c r="H902" s="2">
        <v>30</v>
      </c>
      <c r="I902" s="2">
        <v>30</v>
      </c>
      <c r="J902">
        <f t="shared" si="70"/>
        <v>14</v>
      </c>
      <c r="K902">
        <f t="shared" si="71"/>
        <v>9</v>
      </c>
      <c r="L902" t="str">
        <f t="shared" si="72"/>
        <v>No</v>
      </c>
      <c r="M902" t="str">
        <f t="shared" si="74"/>
        <v>Yes</v>
      </c>
      <c r="N902" t="str">
        <f t="shared" si="73"/>
        <v>No</v>
      </c>
    </row>
    <row r="903" spans="1:14" x14ac:dyDescent="0.3">
      <c r="A903" s="4" t="s">
        <v>1823</v>
      </c>
      <c r="B903" s="4" t="s">
        <v>1824</v>
      </c>
      <c r="C903" s="4" t="s">
        <v>72</v>
      </c>
      <c r="D903" s="5">
        <v>45802</v>
      </c>
      <c r="E903" s="5">
        <v>45809</v>
      </c>
      <c r="F903" s="5">
        <v>45818</v>
      </c>
      <c r="G903" s="4" t="s">
        <v>40</v>
      </c>
      <c r="H903" s="4">
        <v>16</v>
      </c>
      <c r="I903" s="2">
        <v>16</v>
      </c>
      <c r="J903">
        <f t="shared" si="70"/>
        <v>16</v>
      </c>
      <c r="K903">
        <f t="shared" si="71"/>
        <v>9</v>
      </c>
      <c r="L903" t="str">
        <f t="shared" si="72"/>
        <v>No</v>
      </c>
      <c r="M903" t="str">
        <f t="shared" si="74"/>
        <v>Yes</v>
      </c>
      <c r="N903" t="str">
        <f t="shared" si="73"/>
        <v>No</v>
      </c>
    </row>
    <row r="904" spans="1:14" x14ac:dyDescent="0.3">
      <c r="A904" s="2" t="s">
        <v>1825</v>
      </c>
      <c r="B904" s="2" t="s">
        <v>1826</v>
      </c>
      <c r="C904" s="2" t="s">
        <v>10</v>
      </c>
      <c r="D904" s="3">
        <v>45800</v>
      </c>
      <c r="E904" s="3">
        <v>45805</v>
      </c>
      <c r="F904" s="3">
        <v>45807</v>
      </c>
      <c r="G904" s="2" t="s">
        <v>22</v>
      </c>
      <c r="H904" s="2">
        <v>26</v>
      </c>
      <c r="I904" s="2">
        <v>26</v>
      </c>
      <c r="J904">
        <f t="shared" si="70"/>
        <v>7</v>
      </c>
      <c r="K904">
        <f t="shared" si="71"/>
        <v>2</v>
      </c>
      <c r="L904" t="str">
        <f t="shared" si="72"/>
        <v>No</v>
      </c>
      <c r="M904" t="str">
        <f t="shared" si="74"/>
        <v>Yes</v>
      </c>
      <c r="N904" t="str">
        <f t="shared" si="73"/>
        <v>No</v>
      </c>
    </row>
    <row r="905" spans="1:14" x14ac:dyDescent="0.3">
      <c r="A905" s="4" t="s">
        <v>1827</v>
      </c>
      <c r="B905" s="4" t="s">
        <v>1828</v>
      </c>
      <c r="C905" s="4" t="s">
        <v>10</v>
      </c>
      <c r="D905" s="5">
        <v>45801</v>
      </c>
      <c r="E905" s="5">
        <v>45810</v>
      </c>
      <c r="F905" s="5">
        <v>45806</v>
      </c>
      <c r="G905" s="4" t="s">
        <v>40</v>
      </c>
      <c r="H905" s="4">
        <v>14</v>
      </c>
      <c r="I905" s="2">
        <v>14</v>
      </c>
      <c r="J905">
        <f t="shared" si="70"/>
        <v>5</v>
      </c>
      <c r="K905">
        <f t="shared" si="71"/>
        <v>-4</v>
      </c>
      <c r="L905" t="str">
        <f t="shared" si="72"/>
        <v>Yes</v>
      </c>
      <c r="M905" t="str">
        <f t="shared" si="74"/>
        <v>Yes</v>
      </c>
      <c r="N905" t="str">
        <f t="shared" si="73"/>
        <v>Yes</v>
      </c>
    </row>
    <row r="906" spans="1:14" x14ac:dyDescent="0.3">
      <c r="A906" s="2" t="s">
        <v>1829</v>
      </c>
      <c r="B906" s="2" t="s">
        <v>1830</v>
      </c>
      <c r="C906" s="2" t="s">
        <v>59</v>
      </c>
      <c r="D906" s="3">
        <v>45800</v>
      </c>
      <c r="E906" s="3">
        <v>45809</v>
      </c>
      <c r="F906" s="3">
        <v>45803</v>
      </c>
      <c r="G906" s="2" t="s">
        <v>40</v>
      </c>
      <c r="H906" s="2">
        <v>10</v>
      </c>
      <c r="I906" s="2">
        <v>10</v>
      </c>
      <c r="J906">
        <f t="shared" si="70"/>
        <v>3</v>
      </c>
      <c r="K906">
        <f t="shared" si="71"/>
        <v>-6</v>
      </c>
      <c r="L906" t="str">
        <f t="shared" si="72"/>
        <v>Yes</v>
      </c>
      <c r="M906" t="str">
        <f t="shared" si="74"/>
        <v>Yes</v>
      </c>
      <c r="N906" t="str">
        <f t="shared" si="73"/>
        <v>Yes</v>
      </c>
    </row>
    <row r="907" spans="1:14" x14ac:dyDescent="0.3">
      <c r="A907" s="4" t="s">
        <v>1831</v>
      </c>
      <c r="B907" s="4" t="s">
        <v>1832</v>
      </c>
      <c r="C907" s="4" t="s">
        <v>59</v>
      </c>
      <c r="D907" s="5">
        <v>45802</v>
      </c>
      <c r="E907" s="5">
        <v>45805</v>
      </c>
      <c r="F907" s="5">
        <v>45806</v>
      </c>
      <c r="G907" s="4" t="s">
        <v>15</v>
      </c>
      <c r="H907" s="4">
        <v>13</v>
      </c>
      <c r="I907" s="2">
        <v>13</v>
      </c>
      <c r="J907">
        <f t="shared" si="70"/>
        <v>4</v>
      </c>
      <c r="K907">
        <f t="shared" si="71"/>
        <v>1</v>
      </c>
      <c r="L907" t="str">
        <f t="shared" si="72"/>
        <v>No</v>
      </c>
      <c r="M907" t="str">
        <f t="shared" si="74"/>
        <v>Yes</v>
      </c>
      <c r="N907" t="str">
        <f t="shared" si="73"/>
        <v>No</v>
      </c>
    </row>
    <row r="908" spans="1:14" x14ac:dyDescent="0.3">
      <c r="A908" s="2" t="s">
        <v>1833</v>
      </c>
      <c r="B908" s="2" t="s">
        <v>1834</v>
      </c>
      <c r="C908" s="2" t="s">
        <v>21</v>
      </c>
      <c r="D908" s="3">
        <v>45800</v>
      </c>
      <c r="E908" s="3">
        <v>45809</v>
      </c>
      <c r="F908" s="3">
        <v>45805</v>
      </c>
      <c r="G908" s="2" t="s">
        <v>22</v>
      </c>
      <c r="H908" s="2">
        <v>44</v>
      </c>
      <c r="I908" s="2">
        <v>44</v>
      </c>
      <c r="J908">
        <f t="shared" si="70"/>
        <v>5</v>
      </c>
      <c r="K908">
        <f t="shared" si="71"/>
        <v>-4</v>
      </c>
      <c r="L908" t="str">
        <f t="shared" si="72"/>
        <v>Yes</v>
      </c>
      <c r="M908" t="str">
        <f t="shared" si="74"/>
        <v>Yes</v>
      </c>
      <c r="N908" t="str">
        <f t="shared" si="73"/>
        <v>Yes</v>
      </c>
    </row>
    <row r="909" spans="1:14" x14ac:dyDescent="0.3">
      <c r="A909" s="4" t="s">
        <v>1835</v>
      </c>
      <c r="B909" s="4" t="s">
        <v>1836</v>
      </c>
      <c r="C909" s="4" t="s">
        <v>21</v>
      </c>
      <c r="D909" s="5">
        <v>45800</v>
      </c>
      <c r="E909" s="5">
        <v>45804</v>
      </c>
      <c r="F909" s="5">
        <v>45806</v>
      </c>
      <c r="G909" s="4" t="s">
        <v>18</v>
      </c>
      <c r="H909" s="4">
        <v>19</v>
      </c>
      <c r="I909" s="2">
        <v>19</v>
      </c>
      <c r="J909">
        <f t="shared" si="70"/>
        <v>6</v>
      </c>
      <c r="K909">
        <f t="shared" si="71"/>
        <v>2</v>
      </c>
      <c r="L909" t="str">
        <f t="shared" si="72"/>
        <v>No</v>
      </c>
      <c r="M909" t="str">
        <f t="shared" si="74"/>
        <v>Yes</v>
      </c>
      <c r="N909" t="str">
        <f t="shared" si="73"/>
        <v>No</v>
      </c>
    </row>
    <row r="910" spans="1:14" x14ac:dyDescent="0.3">
      <c r="A910" s="2" t="s">
        <v>1837</v>
      </c>
      <c r="B910" s="2" t="s">
        <v>1838</v>
      </c>
      <c r="C910" s="2" t="s">
        <v>37</v>
      </c>
      <c r="D910" s="3">
        <v>45803</v>
      </c>
      <c r="E910" s="3">
        <v>45806</v>
      </c>
      <c r="F910" s="3">
        <v>45818</v>
      </c>
      <c r="G910" s="2" t="s">
        <v>18</v>
      </c>
      <c r="H910" s="2">
        <v>35</v>
      </c>
      <c r="I910" s="2">
        <v>41</v>
      </c>
      <c r="J910">
        <f t="shared" si="70"/>
        <v>15</v>
      </c>
      <c r="K910">
        <f t="shared" si="71"/>
        <v>12</v>
      </c>
      <c r="L910" t="str">
        <f t="shared" si="72"/>
        <v>No</v>
      </c>
      <c r="M910" t="str">
        <f t="shared" si="74"/>
        <v>No</v>
      </c>
      <c r="N910" t="str">
        <f t="shared" si="73"/>
        <v>No</v>
      </c>
    </row>
    <row r="911" spans="1:14" x14ac:dyDescent="0.3">
      <c r="A911" s="4" t="s">
        <v>1839</v>
      </c>
      <c r="B911" s="4" t="s">
        <v>1840</v>
      </c>
      <c r="C911" s="4" t="s">
        <v>10</v>
      </c>
      <c r="D911" s="5">
        <v>45802</v>
      </c>
      <c r="E911" s="5">
        <v>45804</v>
      </c>
      <c r="F911" s="5">
        <v>45811</v>
      </c>
      <c r="G911" s="4" t="s">
        <v>40</v>
      </c>
      <c r="H911" s="4">
        <v>29</v>
      </c>
      <c r="I911" s="2">
        <v>29</v>
      </c>
      <c r="J911">
        <f t="shared" si="70"/>
        <v>9</v>
      </c>
      <c r="K911">
        <f t="shared" si="71"/>
        <v>7</v>
      </c>
      <c r="L911" t="str">
        <f t="shared" si="72"/>
        <v>No</v>
      </c>
      <c r="M911" t="str">
        <f t="shared" si="74"/>
        <v>Yes</v>
      </c>
      <c r="N911" t="str">
        <f t="shared" si="73"/>
        <v>No</v>
      </c>
    </row>
    <row r="912" spans="1:14" x14ac:dyDescent="0.3">
      <c r="A912" s="2" t="s">
        <v>1841</v>
      </c>
      <c r="B912" s="2" t="s">
        <v>1842</v>
      </c>
      <c r="C912" s="2" t="s">
        <v>10</v>
      </c>
      <c r="D912" s="3">
        <v>45801</v>
      </c>
      <c r="E912" s="3">
        <v>45811</v>
      </c>
      <c r="F912" s="3">
        <v>45806</v>
      </c>
      <c r="G912" s="2" t="s">
        <v>15</v>
      </c>
      <c r="H912" s="2">
        <v>10</v>
      </c>
      <c r="I912" s="2">
        <v>10</v>
      </c>
      <c r="J912">
        <f t="shared" si="70"/>
        <v>5</v>
      </c>
      <c r="K912">
        <f t="shared" si="71"/>
        <v>-5</v>
      </c>
      <c r="L912" t="str">
        <f t="shared" si="72"/>
        <v>Yes</v>
      </c>
      <c r="M912" t="str">
        <f t="shared" si="74"/>
        <v>Yes</v>
      </c>
      <c r="N912" t="str">
        <f t="shared" si="73"/>
        <v>Yes</v>
      </c>
    </row>
    <row r="913" spans="1:14" x14ac:dyDescent="0.3">
      <c r="A913" s="4" t="s">
        <v>1843</v>
      </c>
      <c r="B913" s="4" t="s">
        <v>1844</v>
      </c>
      <c r="C913" s="4" t="s">
        <v>59</v>
      </c>
      <c r="D913" s="5">
        <v>45802</v>
      </c>
      <c r="E913" s="5">
        <v>45804</v>
      </c>
      <c r="F913" s="5">
        <v>45810</v>
      </c>
      <c r="G913" s="4" t="s">
        <v>40</v>
      </c>
      <c r="H913" s="4">
        <v>22</v>
      </c>
      <c r="I913" s="2">
        <v>22</v>
      </c>
      <c r="J913">
        <f t="shared" si="70"/>
        <v>8</v>
      </c>
      <c r="K913">
        <f t="shared" si="71"/>
        <v>6</v>
      </c>
      <c r="L913" t="str">
        <f t="shared" si="72"/>
        <v>No</v>
      </c>
      <c r="M913" t="str">
        <f t="shared" si="74"/>
        <v>Yes</v>
      </c>
      <c r="N913" t="str">
        <f t="shared" si="73"/>
        <v>No</v>
      </c>
    </row>
    <row r="914" spans="1:14" x14ac:dyDescent="0.3">
      <c r="A914" s="2" t="s">
        <v>1845</v>
      </c>
      <c r="B914" s="2" t="s">
        <v>1846</v>
      </c>
      <c r="C914" s="2" t="s">
        <v>21</v>
      </c>
      <c r="D914" s="3">
        <v>45801</v>
      </c>
      <c r="E914" s="3">
        <v>45809</v>
      </c>
      <c r="F914" s="3">
        <v>45811</v>
      </c>
      <c r="G914" s="2" t="s">
        <v>40</v>
      </c>
      <c r="H914" s="2">
        <v>39</v>
      </c>
      <c r="I914" s="2">
        <v>39</v>
      </c>
      <c r="J914">
        <f t="shared" si="70"/>
        <v>10</v>
      </c>
      <c r="K914">
        <f t="shared" si="71"/>
        <v>2</v>
      </c>
      <c r="L914" t="str">
        <f t="shared" si="72"/>
        <v>No</v>
      </c>
      <c r="M914" t="str">
        <f t="shared" si="74"/>
        <v>Yes</v>
      </c>
      <c r="N914" t="str">
        <f t="shared" si="73"/>
        <v>No</v>
      </c>
    </row>
    <row r="915" spans="1:14" x14ac:dyDescent="0.3">
      <c r="A915" s="4" t="s">
        <v>1847</v>
      </c>
      <c r="B915" s="4" t="s">
        <v>1848</v>
      </c>
      <c r="C915" s="4" t="s">
        <v>27</v>
      </c>
      <c r="D915" s="5">
        <v>45803</v>
      </c>
      <c r="E915" s="5">
        <v>45805</v>
      </c>
      <c r="F915" s="5">
        <v>45820</v>
      </c>
      <c r="G915" s="4" t="s">
        <v>40</v>
      </c>
      <c r="H915" s="4">
        <v>35</v>
      </c>
      <c r="I915" s="2">
        <v>35</v>
      </c>
      <c r="J915">
        <f t="shared" si="70"/>
        <v>17</v>
      </c>
      <c r="K915">
        <f t="shared" si="71"/>
        <v>15</v>
      </c>
      <c r="L915" t="str">
        <f t="shared" si="72"/>
        <v>No</v>
      </c>
      <c r="M915" t="str">
        <f t="shared" si="74"/>
        <v>Yes</v>
      </c>
      <c r="N915" t="str">
        <f t="shared" si="73"/>
        <v>No</v>
      </c>
    </row>
    <row r="916" spans="1:14" x14ac:dyDescent="0.3">
      <c r="A916" s="2" t="s">
        <v>1849</v>
      </c>
      <c r="B916" s="2" t="s">
        <v>1850</v>
      </c>
      <c r="C916" s="2" t="s">
        <v>27</v>
      </c>
      <c r="D916" s="3">
        <v>45802</v>
      </c>
      <c r="E916" s="3">
        <v>45810</v>
      </c>
      <c r="F916" s="3">
        <v>45815</v>
      </c>
      <c r="G916" s="2" t="s">
        <v>22</v>
      </c>
      <c r="H916" s="2">
        <v>6</v>
      </c>
      <c r="I916" s="2">
        <v>6</v>
      </c>
      <c r="J916">
        <f t="shared" si="70"/>
        <v>13</v>
      </c>
      <c r="K916">
        <f t="shared" si="71"/>
        <v>5</v>
      </c>
      <c r="L916" t="str">
        <f t="shared" si="72"/>
        <v>No</v>
      </c>
      <c r="M916" t="str">
        <f t="shared" si="74"/>
        <v>Yes</v>
      </c>
      <c r="N916" t="str">
        <f t="shared" si="73"/>
        <v>No</v>
      </c>
    </row>
    <row r="917" spans="1:14" x14ac:dyDescent="0.3">
      <c r="A917" s="4" t="s">
        <v>1851</v>
      </c>
      <c r="B917" s="4" t="s">
        <v>1852</v>
      </c>
      <c r="C917" s="4" t="s">
        <v>34</v>
      </c>
      <c r="D917" s="5">
        <v>45804</v>
      </c>
      <c r="E917" s="5">
        <v>45812</v>
      </c>
      <c r="F917" s="5">
        <v>45810</v>
      </c>
      <c r="G917" s="4" t="s">
        <v>18</v>
      </c>
      <c r="H917" s="4">
        <v>10</v>
      </c>
      <c r="I917" s="2">
        <v>10</v>
      </c>
      <c r="J917">
        <f t="shared" si="70"/>
        <v>6</v>
      </c>
      <c r="K917">
        <f t="shared" si="71"/>
        <v>-2</v>
      </c>
      <c r="L917" t="str">
        <f t="shared" si="72"/>
        <v>Yes</v>
      </c>
      <c r="M917" t="str">
        <f t="shared" si="74"/>
        <v>Yes</v>
      </c>
      <c r="N917" t="str">
        <f t="shared" si="73"/>
        <v>Yes</v>
      </c>
    </row>
    <row r="918" spans="1:14" x14ac:dyDescent="0.3">
      <c r="A918" s="2" t="s">
        <v>1853</v>
      </c>
      <c r="B918" s="2" t="s">
        <v>1854</v>
      </c>
      <c r="C918" s="2" t="s">
        <v>72</v>
      </c>
      <c r="D918" s="3">
        <v>45802</v>
      </c>
      <c r="E918" s="3">
        <v>45810</v>
      </c>
      <c r="F918" s="3">
        <v>45816</v>
      </c>
      <c r="G918" s="2" t="s">
        <v>40</v>
      </c>
      <c r="H918" s="2">
        <v>11</v>
      </c>
      <c r="I918" s="2">
        <v>11</v>
      </c>
      <c r="J918">
        <f t="shared" si="70"/>
        <v>14</v>
      </c>
      <c r="K918">
        <f t="shared" si="71"/>
        <v>6</v>
      </c>
      <c r="L918" t="str">
        <f t="shared" si="72"/>
        <v>No</v>
      </c>
      <c r="M918" t="str">
        <f t="shared" si="74"/>
        <v>Yes</v>
      </c>
      <c r="N918" t="str">
        <f t="shared" si="73"/>
        <v>No</v>
      </c>
    </row>
    <row r="919" spans="1:14" x14ac:dyDescent="0.3">
      <c r="A919" s="4" t="s">
        <v>1855</v>
      </c>
      <c r="B919" s="4" t="s">
        <v>1856</v>
      </c>
      <c r="C919" s="4" t="s">
        <v>72</v>
      </c>
      <c r="D919" s="5">
        <v>45804</v>
      </c>
      <c r="E919" s="5">
        <v>45805</v>
      </c>
      <c r="F919" s="5">
        <v>45818</v>
      </c>
      <c r="G919" s="4" t="s">
        <v>22</v>
      </c>
      <c r="H919" s="4">
        <v>29</v>
      </c>
      <c r="I919" s="2">
        <v>29</v>
      </c>
      <c r="J919">
        <f t="shared" si="70"/>
        <v>14</v>
      </c>
      <c r="K919">
        <f t="shared" si="71"/>
        <v>13</v>
      </c>
      <c r="L919" t="str">
        <f t="shared" si="72"/>
        <v>No</v>
      </c>
      <c r="M919" t="str">
        <f t="shared" si="74"/>
        <v>Yes</v>
      </c>
      <c r="N919" t="str">
        <f t="shared" si="73"/>
        <v>No</v>
      </c>
    </row>
    <row r="920" spans="1:14" x14ac:dyDescent="0.3">
      <c r="A920" s="2" t="s">
        <v>1857</v>
      </c>
      <c r="B920" s="2" t="s">
        <v>1858</v>
      </c>
      <c r="C920" s="2" t="s">
        <v>10</v>
      </c>
      <c r="D920" s="3">
        <v>45802</v>
      </c>
      <c r="E920" s="3">
        <v>45811</v>
      </c>
      <c r="F920" s="3">
        <v>45807</v>
      </c>
      <c r="G920" s="2" t="s">
        <v>40</v>
      </c>
      <c r="H920" s="2">
        <v>15</v>
      </c>
      <c r="I920" s="2">
        <v>18</v>
      </c>
      <c r="J920">
        <f t="shared" si="70"/>
        <v>5</v>
      </c>
      <c r="K920">
        <f t="shared" si="71"/>
        <v>-4</v>
      </c>
      <c r="L920" t="str">
        <f t="shared" si="72"/>
        <v>Yes</v>
      </c>
      <c r="M920" t="str">
        <f t="shared" si="74"/>
        <v>No</v>
      </c>
      <c r="N920" t="str">
        <f t="shared" si="73"/>
        <v>No</v>
      </c>
    </row>
    <row r="921" spans="1:14" x14ac:dyDescent="0.3">
      <c r="A921" s="4" t="s">
        <v>1859</v>
      </c>
      <c r="B921" s="4" t="s">
        <v>1860</v>
      </c>
      <c r="C921" s="4" t="s">
        <v>59</v>
      </c>
      <c r="D921" s="5">
        <v>45804</v>
      </c>
      <c r="E921" s="5">
        <v>45809</v>
      </c>
      <c r="F921" s="5">
        <v>45809</v>
      </c>
      <c r="G921" s="4" t="s">
        <v>11</v>
      </c>
      <c r="H921" s="4">
        <v>13</v>
      </c>
      <c r="I921" s="2">
        <v>17</v>
      </c>
      <c r="J921">
        <f t="shared" si="70"/>
        <v>5</v>
      </c>
      <c r="K921">
        <f t="shared" si="71"/>
        <v>0</v>
      </c>
      <c r="L921" t="str">
        <f t="shared" si="72"/>
        <v>Yes</v>
      </c>
      <c r="M921" t="str">
        <f t="shared" si="74"/>
        <v>No</v>
      </c>
      <c r="N921" t="str">
        <f t="shared" si="73"/>
        <v>No</v>
      </c>
    </row>
    <row r="922" spans="1:14" x14ac:dyDescent="0.3">
      <c r="A922" s="2" t="s">
        <v>1861</v>
      </c>
      <c r="B922" s="2" t="s">
        <v>1862</v>
      </c>
      <c r="C922" s="2" t="s">
        <v>21</v>
      </c>
      <c r="D922" s="3">
        <v>45803</v>
      </c>
      <c r="E922" s="3">
        <v>45806</v>
      </c>
      <c r="F922" s="3">
        <v>45811</v>
      </c>
      <c r="G922" s="2" t="s">
        <v>22</v>
      </c>
      <c r="H922" s="2">
        <v>64</v>
      </c>
      <c r="I922" s="2">
        <v>64</v>
      </c>
      <c r="J922">
        <f t="shared" si="70"/>
        <v>8</v>
      </c>
      <c r="K922">
        <f t="shared" si="71"/>
        <v>5</v>
      </c>
      <c r="L922" t="str">
        <f t="shared" si="72"/>
        <v>No</v>
      </c>
      <c r="M922" t="str">
        <f t="shared" si="74"/>
        <v>Yes</v>
      </c>
      <c r="N922" t="str">
        <f t="shared" si="73"/>
        <v>No</v>
      </c>
    </row>
    <row r="923" spans="1:14" x14ac:dyDescent="0.3">
      <c r="A923" s="4" t="s">
        <v>1863</v>
      </c>
      <c r="B923" s="4" t="s">
        <v>1864</v>
      </c>
      <c r="C923" s="4" t="s">
        <v>27</v>
      </c>
      <c r="D923" s="5">
        <v>45803</v>
      </c>
      <c r="E923" s="5">
        <v>45812</v>
      </c>
      <c r="F923" s="5">
        <v>45818</v>
      </c>
      <c r="G923" s="4" t="s">
        <v>22</v>
      </c>
      <c r="H923" s="4">
        <v>22</v>
      </c>
      <c r="I923" s="2">
        <v>22</v>
      </c>
      <c r="J923">
        <f t="shared" si="70"/>
        <v>15</v>
      </c>
      <c r="K923">
        <f t="shared" si="71"/>
        <v>6</v>
      </c>
      <c r="L923" t="str">
        <f t="shared" si="72"/>
        <v>No</v>
      </c>
      <c r="M923" t="str">
        <f t="shared" si="74"/>
        <v>Yes</v>
      </c>
      <c r="N923" t="str">
        <f t="shared" si="73"/>
        <v>No</v>
      </c>
    </row>
    <row r="924" spans="1:14" x14ac:dyDescent="0.3">
      <c r="A924" s="2" t="s">
        <v>1865</v>
      </c>
      <c r="B924" s="2" t="s">
        <v>1866</v>
      </c>
      <c r="C924" s="2" t="s">
        <v>27</v>
      </c>
      <c r="D924" s="3">
        <v>45803</v>
      </c>
      <c r="E924" s="3">
        <v>45808</v>
      </c>
      <c r="F924" s="3">
        <v>45816</v>
      </c>
      <c r="G924" s="2" t="s">
        <v>22</v>
      </c>
      <c r="H924" s="2">
        <v>2</v>
      </c>
      <c r="I924" s="2">
        <v>2</v>
      </c>
      <c r="J924">
        <f t="shared" si="70"/>
        <v>13</v>
      </c>
      <c r="K924">
        <f t="shared" si="71"/>
        <v>8</v>
      </c>
      <c r="L924" t="str">
        <f t="shared" si="72"/>
        <v>No</v>
      </c>
      <c r="M924" t="str">
        <f t="shared" si="74"/>
        <v>Yes</v>
      </c>
      <c r="N924" t="str">
        <f t="shared" si="73"/>
        <v>No</v>
      </c>
    </row>
    <row r="925" spans="1:14" x14ac:dyDescent="0.3">
      <c r="A925" s="4" t="s">
        <v>1867</v>
      </c>
      <c r="B925" s="4" t="s">
        <v>1868</v>
      </c>
      <c r="C925" s="4" t="s">
        <v>34</v>
      </c>
      <c r="D925" s="5">
        <v>45805</v>
      </c>
      <c r="E925" s="5">
        <v>45806</v>
      </c>
      <c r="F925" s="5">
        <v>45814</v>
      </c>
      <c r="G925" s="4" t="s">
        <v>18</v>
      </c>
      <c r="H925" s="4">
        <v>46</v>
      </c>
      <c r="I925" s="2">
        <v>46</v>
      </c>
      <c r="J925">
        <f t="shared" si="70"/>
        <v>9</v>
      </c>
      <c r="K925">
        <f t="shared" si="71"/>
        <v>8</v>
      </c>
      <c r="L925" t="str">
        <f t="shared" si="72"/>
        <v>No</v>
      </c>
      <c r="M925" t="str">
        <f t="shared" si="74"/>
        <v>Yes</v>
      </c>
      <c r="N925" t="str">
        <f t="shared" si="73"/>
        <v>No</v>
      </c>
    </row>
    <row r="926" spans="1:14" x14ac:dyDescent="0.3">
      <c r="A926" s="2" t="s">
        <v>1869</v>
      </c>
      <c r="B926" s="2" t="s">
        <v>1870</v>
      </c>
      <c r="C926" s="2" t="s">
        <v>10</v>
      </c>
      <c r="D926" s="3">
        <v>45803</v>
      </c>
      <c r="E926" s="3">
        <v>45806</v>
      </c>
      <c r="F926" s="3">
        <v>45810</v>
      </c>
      <c r="G926" s="2" t="s">
        <v>18</v>
      </c>
      <c r="H926" s="2">
        <v>6</v>
      </c>
      <c r="I926" s="2">
        <v>6</v>
      </c>
      <c r="J926">
        <f t="shared" si="70"/>
        <v>7</v>
      </c>
      <c r="K926">
        <f t="shared" si="71"/>
        <v>4</v>
      </c>
      <c r="L926" t="str">
        <f t="shared" si="72"/>
        <v>No</v>
      </c>
      <c r="M926" t="str">
        <f t="shared" si="74"/>
        <v>Yes</v>
      </c>
      <c r="N926" t="str">
        <f t="shared" si="73"/>
        <v>No</v>
      </c>
    </row>
    <row r="927" spans="1:14" x14ac:dyDescent="0.3">
      <c r="A927" s="4" t="s">
        <v>1871</v>
      </c>
      <c r="B927" s="4" t="s">
        <v>1872</v>
      </c>
      <c r="C927" s="4" t="s">
        <v>59</v>
      </c>
      <c r="D927" s="5">
        <v>45805</v>
      </c>
      <c r="E927" s="5">
        <v>45806</v>
      </c>
      <c r="F927" s="5">
        <v>45813</v>
      </c>
      <c r="G927" s="4" t="s">
        <v>22</v>
      </c>
      <c r="H927" s="4">
        <v>21</v>
      </c>
      <c r="I927" s="2">
        <v>21</v>
      </c>
      <c r="J927">
        <f t="shared" si="70"/>
        <v>8</v>
      </c>
      <c r="K927">
        <f t="shared" si="71"/>
        <v>7</v>
      </c>
      <c r="L927" t="str">
        <f t="shared" si="72"/>
        <v>No</v>
      </c>
      <c r="M927" t="str">
        <f t="shared" si="74"/>
        <v>Yes</v>
      </c>
      <c r="N927" t="str">
        <f t="shared" si="73"/>
        <v>No</v>
      </c>
    </row>
    <row r="928" spans="1:14" x14ac:dyDescent="0.3">
      <c r="A928" s="2" t="s">
        <v>1873</v>
      </c>
      <c r="B928" s="2" t="s">
        <v>1874</v>
      </c>
      <c r="C928" s="2" t="s">
        <v>21</v>
      </c>
      <c r="D928" s="3">
        <v>45804</v>
      </c>
      <c r="E928" s="3">
        <v>45807</v>
      </c>
      <c r="F928" s="3">
        <v>45811</v>
      </c>
      <c r="G928" s="2" t="s">
        <v>15</v>
      </c>
      <c r="H928" s="2">
        <v>33</v>
      </c>
      <c r="I928" s="2">
        <v>33</v>
      </c>
      <c r="J928">
        <f t="shared" si="70"/>
        <v>7</v>
      </c>
      <c r="K928">
        <f t="shared" si="71"/>
        <v>4</v>
      </c>
      <c r="L928" t="str">
        <f t="shared" si="72"/>
        <v>No</v>
      </c>
      <c r="M928" t="str">
        <f t="shared" si="74"/>
        <v>Yes</v>
      </c>
      <c r="N928" t="str">
        <f t="shared" si="73"/>
        <v>No</v>
      </c>
    </row>
    <row r="929" spans="1:14" x14ac:dyDescent="0.3">
      <c r="A929" s="4" t="s">
        <v>1875</v>
      </c>
      <c r="B929" s="4" t="s">
        <v>1876</v>
      </c>
      <c r="C929" s="4" t="s">
        <v>27</v>
      </c>
      <c r="D929" s="5">
        <v>45804</v>
      </c>
      <c r="E929" s="5">
        <v>45813</v>
      </c>
      <c r="F929" s="5">
        <v>45818</v>
      </c>
      <c r="G929" s="4" t="s">
        <v>11</v>
      </c>
      <c r="H929" s="4">
        <v>38</v>
      </c>
      <c r="I929" s="2">
        <v>38</v>
      </c>
      <c r="J929">
        <f t="shared" si="70"/>
        <v>14</v>
      </c>
      <c r="K929">
        <f t="shared" si="71"/>
        <v>5</v>
      </c>
      <c r="L929" t="str">
        <f t="shared" si="72"/>
        <v>No</v>
      </c>
      <c r="M929" t="str">
        <f t="shared" si="74"/>
        <v>Yes</v>
      </c>
      <c r="N929" t="str">
        <f t="shared" si="73"/>
        <v>No</v>
      </c>
    </row>
    <row r="930" spans="1:14" x14ac:dyDescent="0.3">
      <c r="A930" s="2" t="s">
        <v>1877</v>
      </c>
      <c r="B930" s="2" t="s">
        <v>1878</v>
      </c>
      <c r="C930" s="2" t="s">
        <v>34</v>
      </c>
      <c r="D930" s="3">
        <v>45806</v>
      </c>
      <c r="E930" s="3">
        <v>45812</v>
      </c>
      <c r="F930" s="3">
        <v>45817</v>
      </c>
      <c r="G930" s="2" t="s">
        <v>40</v>
      </c>
      <c r="H930" s="2">
        <v>31</v>
      </c>
      <c r="I930" s="2">
        <v>31</v>
      </c>
      <c r="J930">
        <f t="shared" si="70"/>
        <v>11</v>
      </c>
      <c r="K930">
        <f t="shared" si="71"/>
        <v>5</v>
      </c>
      <c r="L930" t="str">
        <f t="shared" si="72"/>
        <v>No</v>
      </c>
      <c r="M930" t="str">
        <f t="shared" si="74"/>
        <v>Yes</v>
      </c>
      <c r="N930" t="str">
        <f t="shared" si="73"/>
        <v>No</v>
      </c>
    </row>
    <row r="931" spans="1:14" x14ac:dyDescent="0.3">
      <c r="A931" s="4" t="s">
        <v>1879</v>
      </c>
      <c r="B931" s="4" t="s">
        <v>1880</v>
      </c>
      <c r="C931" s="4" t="s">
        <v>34</v>
      </c>
      <c r="D931" s="5">
        <v>45805</v>
      </c>
      <c r="E931" s="5">
        <v>45808</v>
      </c>
      <c r="F931" s="5">
        <v>45814</v>
      </c>
      <c r="G931" s="4" t="s">
        <v>22</v>
      </c>
      <c r="H931" s="4">
        <v>28</v>
      </c>
      <c r="I931" s="2">
        <v>28</v>
      </c>
      <c r="J931">
        <f t="shared" si="70"/>
        <v>9</v>
      </c>
      <c r="K931">
        <f t="shared" si="71"/>
        <v>6</v>
      </c>
      <c r="L931" t="str">
        <f t="shared" si="72"/>
        <v>No</v>
      </c>
      <c r="M931" t="str">
        <f t="shared" si="74"/>
        <v>Yes</v>
      </c>
      <c r="N931" t="str">
        <f t="shared" si="73"/>
        <v>No</v>
      </c>
    </row>
    <row r="932" spans="1:14" x14ac:dyDescent="0.3">
      <c r="A932" s="2" t="s">
        <v>1881</v>
      </c>
      <c r="B932" s="2" t="s">
        <v>1882</v>
      </c>
      <c r="C932" s="2" t="s">
        <v>10</v>
      </c>
      <c r="D932" s="3">
        <v>45806</v>
      </c>
      <c r="E932" s="3">
        <v>45810</v>
      </c>
      <c r="F932" s="3">
        <v>45811</v>
      </c>
      <c r="G932" s="2" t="s">
        <v>15</v>
      </c>
      <c r="H932" s="2">
        <v>27</v>
      </c>
      <c r="I932" s="2">
        <v>27</v>
      </c>
      <c r="J932">
        <f t="shared" si="70"/>
        <v>5</v>
      </c>
      <c r="K932">
        <f t="shared" si="71"/>
        <v>1</v>
      </c>
      <c r="L932" t="str">
        <f t="shared" si="72"/>
        <v>No</v>
      </c>
      <c r="M932" t="str">
        <f t="shared" si="74"/>
        <v>Yes</v>
      </c>
      <c r="N932" t="str">
        <f t="shared" si="73"/>
        <v>No</v>
      </c>
    </row>
    <row r="933" spans="1:14" x14ac:dyDescent="0.3">
      <c r="A933" s="4" t="s">
        <v>1883</v>
      </c>
      <c r="B933" s="4" t="s">
        <v>1884</v>
      </c>
      <c r="C933" s="4" t="s">
        <v>14</v>
      </c>
      <c r="D933" s="5">
        <v>45804</v>
      </c>
      <c r="E933" s="5">
        <v>45807</v>
      </c>
      <c r="F933" s="5">
        <v>45820</v>
      </c>
      <c r="G933" s="4" t="s">
        <v>18</v>
      </c>
      <c r="H933" s="4">
        <v>6</v>
      </c>
      <c r="I933" s="2">
        <v>6</v>
      </c>
      <c r="J933">
        <f t="shared" si="70"/>
        <v>16</v>
      </c>
      <c r="K933">
        <f t="shared" si="71"/>
        <v>13</v>
      </c>
      <c r="L933" t="str">
        <f t="shared" si="72"/>
        <v>No</v>
      </c>
      <c r="M933" t="str">
        <f t="shared" si="74"/>
        <v>Yes</v>
      </c>
      <c r="N933" t="str">
        <f t="shared" si="73"/>
        <v>No</v>
      </c>
    </row>
    <row r="934" spans="1:14" x14ac:dyDescent="0.3">
      <c r="A934" s="2" t="s">
        <v>1885</v>
      </c>
      <c r="B934" s="2" t="s">
        <v>1886</v>
      </c>
      <c r="C934" s="2" t="s">
        <v>59</v>
      </c>
      <c r="D934" s="3">
        <v>45804</v>
      </c>
      <c r="E934" s="3">
        <v>45812</v>
      </c>
      <c r="F934" s="3">
        <v>45808</v>
      </c>
      <c r="G934" s="2" t="s">
        <v>11</v>
      </c>
      <c r="H934" s="2">
        <v>13</v>
      </c>
      <c r="I934" s="2">
        <v>13</v>
      </c>
      <c r="J934">
        <f t="shared" si="70"/>
        <v>4</v>
      </c>
      <c r="K934">
        <f t="shared" si="71"/>
        <v>-4</v>
      </c>
      <c r="L934" t="str">
        <f t="shared" si="72"/>
        <v>Yes</v>
      </c>
      <c r="M934" t="str">
        <f t="shared" si="74"/>
        <v>Yes</v>
      </c>
      <c r="N934" t="str">
        <f t="shared" si="73"/>
        <v>Yes</v>
      </c>
    </row>
    <row r="935" spans="1:14" x14ac:dyDescent="0.3">
      <c r="A935" s="4" t="s">
        <v>1887</v>
      </c>
      <c r="B935" s="4" t="s">
        <v>1888</v>
      </c>
      <c r="C935" s="4" t="s">
        <v>27</v>
      </c>
      <c r="D935" s="5">
        <v>45805</v>
      </c>
      <c r="E935" s="5">
        <v>45812</v>
      </c>
      <c r="F935" s="5">
        <v>45818</v>
      </c>
      <c r="G935" s="4" t="s">
        <v>11</v>
      </c>
      <c r="H935" s="4">
        <v>8</v>
      </c>
      <c r="I935" s="2">
        <v>8</v>
      </c>
      <c r="J935">
        <f t="shared" si="70"/>
        <v>13</v>
      </c>
      <c r="K935">
        <f t="shared" si="71"/>
        <v>6</v>
      </c>
      <c r="L935" t="str">
        <f t="shared" si="72"/>
        <v>No</v>
      </c>
      <c r="M935" t="str">
        <f t="shared" si="74"/>
        <v>Yes</v>
      </c>
      <c r="N935" t="str">
        <f t="shared" si="73"/>
        <v>No</v>
      </c>
    </row>
    <row r="936" spans="1:14" x14ac:dyDescent="0.3">
      <c r="A936" s="2" t="s">
        <v>1889</v>
      </c>
      <c r="B936" s="2" t="s">
        <v>1890</v>
      </c>
      <c r="C936" s="2" t="s">
        <v>14</v>
      </c>
      <c r="D936" s="3">
        <v>45807</v>
      </c>
      <c r="E936" s="3">
        <v>45814</v>
      </c>
      <c r="F936" s="3">
        <v>45824</v>
      </c>
      <c r="G936" s="2" t="s">
        <v>11</v>
      </c>
      <c r="H936" s="2">
        <v>10</v>
      </c>
      <c r="I936" s="2">
        <v>18</v>
      </c>
      <c r="J936">
        <f t="shared" si="70"/>
        <v>17</v>
      </c>
      <c r="K936">
        <f t="shared" si="71"/>
        <v>10</v>
      </c>
      <c r="L936" t="str">
        <f t="shared" si="72"/>
        <v>No</v>
      </c>
      <c r="M936" t="str">
        <f t="shared" si="74"/>
        <v>No</v>
      </c>
      <c r="N936" t="str">
        <f t="shared" si="73"/>
        <v>No</v>
      </c>
    </row>
    <row r="937" spans="1:14" x14ac:dyDescent="0.3">
      <c r="A937" s="4" t="s">
        <v>1891</v>
      </c>
      <c r="B937" s="4" t="s">
        <v>1892</v>
      </c>
      <c r="C937" s="4" t="s">
        <v>59</v>
      </c>
      <c r="D937" s="5">
        <v>45807</v>
      </c>
      <c r="E937" s="5">
        <v>45813</v>
      </c>
      <c r="F937" s="5">
        <v>45815</v>
      </c>
      <c r="G937" s="4" t="s">
        <v>15</v>
      </c>
      <c r="H937" s="4">
        <v>30</v>
      </c>
      <c r="I937" s="2">
        <v>30</v>
      </c>
      <c r="J937">
        <f t="shared" si="70"/>
        <v>8</v>
      </c>
      <c r="K937">
        <f t="shared" si="71"/>
        <v>2</v>
      </c>
      <c r="L937" t="str">
        <f t="shared" si="72"/>
        <v>No</v>
      </c>
      <c r="M937" t="str">
        <f t="shared" si="74"/>
        <v>Yes</v>
      </c>
      <c r="N937" t="str">
        <f t="shared" si="73"/>
        <v>No</v>
      </c>
    </row>
    <row r="938" spans="1:14" x14ac:dyDescent="0.3">
      <c r="A938" s="2" t="s">
        <v>1893</v>
      </c>
      <c r="B938" s="2" t="s">
        <v>1894</v>
      </c>
      <c r="C938" s="2" t="s">
        <v>34</v>
      </c>
      <c r="D938" s="3">
        <v>45808</v>
      </c>
      <c r="E938" s="3">
        <v>45810</v>
      </c>
      <c r="F938" s="3">
        <v>45815</v>
      </c>
      <c r="G938" s="2" t="s">
        <v>15</v>
      </c>
      <c r="H938" s="2">
        <v>18</v>
      </c>
      <c r="I938" s="2">
        <v>25</v>
      </c>
      <c r="J938">
        <f t="shared" si="70"/>
        <v>7</v>
      </c>
      <c r="K938">
        <f t="shared" si="71"/>
        <v>5</v>
      </c>
      <c r="L938" t="str">
        <f t="shared" si="72"/>
        <v>No</v>
      </c>
      <c r="M938" t="str">
        <f t="shared" si="74"/>
        <v>No</v>
      </c>
      <c r="N938" t="str">
        <f t="shared" si="73"/>
        <v>No</v>
      </c>
    </row>
    <row r="939" spans="1:14" x14ac:dyDescent="0.3">
      <c r="A939" s="4" t="s">
        <v>1895</v>
      </c>
      <c r="B939" s="4" t="s">
        <v>1896</v>
      </c>
      <c r="C939" s="4" t="s">
        <v>34</v>
      </c>
      <c r="D939" s="5">
        <v>45806</v>
      </c>
      <c r="E939" s="5">
        <v>45815</v>
      </c>
      <c r="F939" s="5">
        <v>45817</v>
      </c>
      <c r="G939" s="4" t="s">
        <v>18</v>
      </c>
      <c r="H939" s="4">
        <v>9</v>
      </c>
      <c r="I939" s="2">
        <v>9</v>
      </c>
      <c r="J939">
        <f t="shared" si="70"/>
        <v>11</v>
      </c>
      <c r="K939">
        <f t="shared" si="71"/>
        <v>2</v>
      </c>
      <c r="L939" t="str">
        <f t="shared" si="72"/>
        <v>No</v>
      </c>
      <c r="M939" t="str">
        <f t="shared" si="74"/>
        <v>Yes</v>
      </c>
      <c r="N939" t="str">
        <f t="shared" si="73"/>
        <v>No</v>
      </c>
    </row>
    <row r="940" spans="1:14" x14ac:dyDescent="0.3">
      <c r="A940" s="2" t="s">
        <v>1897</v>
      </c>
      <c r="B940" s="2" t="s">
        <v>1898</v>
      </c>
      <c r="C940" s="2" t="s">
        <v>72</v>
      </c>
      <c r="D940" s="3">
        <v>45807</v>
      </c>
      <c r="E940" s="3">
        <v>45811</v>
      </c>
      <c r="F940" s="3">
        <v>45820</v>
      </c>
      <c r="G940" s="2" t="s">
        <v>18</v>
      </c>
      <c r="H940" s="2">
        <v>15</v>
      </c>
      <c r="I940" s="2">
        <v>15</v>
      </c>
      <c r="J940">
        <f t="shared" si="70"/>
        <v>13</v>
      </c>
      <c r="K940">
        <f t="shared" si="71"/>
        <v>9</v>
      </c>
      <c r="L940" t="str">
        <f t="shared" si="72"/>
        <v>No</v>
      </c>
      <c r="M940" t="str">
        <f t="shared" si="74"/>
        <v>Yes</v>
      </c>
      <c r="N940" t="str">
        <f t="shared" si="73"/>
        <v>No</v>
      </c>
    </row>
    <row r="941" spans="1:14" x14ac:dyDescent="0.3">
      <c r="A941" s="4" t="s">
        <v>1899</v>
      </c>
      <c r="B941" s="4" t="s">
        <v>1900</v>
      </c>
      <c r="C941" s="4" t="s">
        <v>14</v>
      </c>
      <c r="D941" s="5">
        <v>45807</v>
      </c>
      <c r="E941" s="5">
        <v>45811</v>
      </c>
      <c r="F941" s="5">
        <v>45824</v>
      </c>
      <c r="G941" s="4" t="s">
        <v>11</v>
      </c>
      <c r="H941" s="4">
        <v>46</v>
      </c>
      <c r="I941" s="2">
        <v>46</v>
      </c>
      <c r="J941">
        <f t="shared" si="70"/>
        <v>17</v>
      </c>
      <c r="K941">
        <f t="shared" si="71"/>
        <v>13</v>
      </c>
      <c r="L941" t="str">
        <f t="shared" si="72"/>
        <v>No</v>
      </c>
      <c r="M941" t="str">
        <f t="shared" si="74"/>
        <v>Yes</v>
      </c>
      <c r="N941" t="str">
        <f t="shared" si="73"/>
        <v>No</v>
      </c>
    </row>
    <row r="942" spans="1:14" x14ac:dyDescent="0.3">
      <c r="A942" s="2" t="s">
        <v>1901</v>
      </c>
      <c r="B942" s="2" t="s">
        <v>1902</v>
      </c>
      <c r="C942" s="2" t="s">
        <v>14</v>
      </c>
      <c r="D942" s="3">
        <v>45808</v>
      </c>
      <c r="E942" s="3">
        <v>45812</v>
      </c>
      <c r="F942" s="3">
        <v>45824</v>
      </c>
      <c r="G942" s="2" t="s">
        <v>11</v>
      </c>
      <c r="H942" s="2">
        <v>19</v>
      </c>
      <c r="I942" s="2">
        <v>19</v>
      </c>
      <c r="J942">
        <f t="shared" si="70"/>
        <v>16</v>
      </c>
      <c r="K942">
        <f t="shared" si="71"/>
        <v>12</v>
      </c>
      <c r="L942" t="str">
        <f t="shared" si="72"/>
        <v>No</v>
      </c>
      <c r="M942" t="str">
        <f t="shared" si="74"/>
        <v>Yes</v>
      </c>
      <c r="N942" t="str">
        <f t="shared" si="73"/>
        <v>No</v>
      </c>
    </row>
    <row r="943" spans="1:14" x14ac:dyDescent="0.3">
      <c r="A943" s="4" t="s">
        <v>1903</v>
      </c>
      <c r="B943" s="4" t="s">
        <v>1904</v>
      </c>
      <c r="C943" s="4" t="s">
        <v>21</v>
      </c>
      <c r="D943" s="5">
        <v>45807</v>
      </c>
      <c r="E943" s="5">
        <v>45814</v>
      </c>
      <c r="F943" s="5">
        <v>45812</v>
      </c>
      <c r="G943" s="4" t="s">
        <v>40</v>
      </c>
      <c r="H943" s="4">
        <v>36</v>
      </c>
      <c r="I943" s="2">
        <v>36</v>
      </c>
      <c r="J943">
        <f t="shared" si="70"/>
        <v>5</v>
      </c>
      <c r="K943">
        <f t="shared" si="71"/>
        <v>-2</v>
      </c>
      <c r="L943" t="str">
        <f t="shared" si="72"/>
        <v>Yes</v>
      </c>
      <c r="M943" t="str">
        <f t="shared" si="74"/>
        <v>Yes</v>
      </c>
      <c r="N943" t="str">
        <f t="shared" si="73"/>
        <v>Yes</v>
      </c>
    </row>
    <row r="944" spans="1:14" x14ac:dyDescent="0.3">
      <c r="A944" s="2" t="s">
        <v>1905</v>
      </c>
      <c r="B944" s="2" t="s">
        <v>1906</v>
      </c>
      <c r="C944" s="2" t="s">
        <v>72</v>
      </c>
      <c r="D944" s="3">
        <v>45807</v>
      </c>
      <c r="E944" s="3">
        <v>45815</v>
      </c>
      <c r="F944" s="3">
        <v>45821</v>
      </c>
      <c r="G944" s="2" t="s">
        <v>11</v>
      </c>
      <c r="H944" s="2">
        <v>14</v>
      </c>
      <c r="I944" s="2">
        <v>14</v>
      </c>
      <c r="J944">
        <f t="shared" si="70"/>
        <v>14</v>
      </c>
      <c r="K944">
        <f t="shared" si="71"/>
        <v>6</v>
      </c>
      <c r="L944" t="str">
        <f t="shared" si="72"/>
        <v>No</v>
      </c>
      <c r="M944" t="str">
        <f t="shared" si="74"/>
        <v>Yes</v>
      </c>
      <c r="N944" t="str">
        <f t="shared" si="73"/>
        <v>No</v>
      </c>
    </row>
    <row r="945" spans="1:14" x14ac:dyDescent="0.3">
      <c r="A945" s="4" t="s">
        <v>1907</v>
      </c>
      <c r="B945" s="4" t="s">
        <v>1908</v>
      </c>
      <c r="C945" s="4" t="s">
        <v>14</v>
      </c>
      <c r="D945" s="5">
        <v>45809</v>
      </c>
      <c r="E945" s="5">
        <v>45814</v>
      </c>
      <c r="F945" s="5">
        <v>45826</v>
      </c>
      <c r="G945" s="4" t="s">
        <v>15</v>
      </c>
      <c r="H945" s="4">
        <v>10</v>
      </c>
      <c r="I945" s="2">
        <v>10</v>
      </c>
      <c r="J945">
        <f t="shared" si="70"/>
        <v>17</v>
      </c>
      <c r="K945">
        <f t="shared" si="71"/>
        <v>12</v>
      </c>
      <c r="L945" t="str">
        <f t="shared" si="72"/>
        <v>No</v>
      </c>
      <c r="M945" t="str">
        <f t="shared" si="74"/>
        <v>Yes</v>
      </c>
      <c r="N945" t="str">
        <f t="shared" si="73"/>
        <v>No</v>
      </c>
    </row>
    <row r="946" spans="1:14" x14ac:dyDescent="0.3">
      <c r="A946" s="2" t="s">
        <v>1909</v>
      </c>
      <c r="B946" s="2" t="s">
        <v>1910</v>
      </c>
      <c r="C946" s="2" t="s">
        <v>59</v>
      </c>
      <c r="D946" s="3">
        <v>45808</v>
      </c>
      <c r="E946" s="3">
        <v>45812</v>
      </c>
      <c r="F946" s="3">
        <v>45812</v>
      </c>
      <c r="G946" s="2" t="s">
        <v>18</v>
      </c>
      <c r="H946" s="2">
        <v>15</v>
      </c>
      <c r="I946" s="2">
        <v>15</v>
      </c>
      <c r="J946">
        <f t="shared" si="70"/>
        <v>4</v>
      </c>
      <c r="K946">
        <f t="shared" si="71"/>
        <v>0</v>
      </c>
      <c r="L946" t="str">
        <f t="shared" si="72"/>
        <v>Yes</v>
      </c>
      <c r="M946" t="str">
        <f t="shared" si="74"/>
        <v>Yes</v>
      </c>
      <c r="N946" t="str">
        <f t="shared" si="73"/>
        <v>Yes</v>
      </c>
    </row>
    <row r="947" spans="1:14" x14ac:dyDescent="0.3">
      <c r="A947" s="4" t="s">
        <v>1911</v>
      </c>
      <c r="B947" s="4" t="s">
        <v>1912</v>
      </c>
      <c r="C947" s="4" t="s">
        <v>21</v>
      </c>
      <c r="D947" s="5">
        <v>45808</v>
      </c>
      <c r="E947" s="5">
        <v>45811</v>
      </c>
      <c r="F947" s="5">
        <v>45814</v>
      </c>
      <c r="G947" s="4" t="s">
        <v>18</v>
      </c>
      <c r="H947" s="4">
        <v>36</v>
      </c>
      <c r="I947" s="2">
        <v>36</v>
      </c>
      <c r="J947">
        <f t="shared" si="70"/>
        <v>6</v>
      </c>
      <c r="K947">
        <f t="shared" si="71"/>
        <v>3</v>
      </c>
      <c r="L947" t="str">
        <f t="shared" si="72"/>
        <v>No</v>
      </c>
      <c r="M947" t="str">
        <f t="shared" si="74"/>
        <v>Yes</v>
      </c>
      <c r="N947" t="str">
        <f t="shared" si="73"/>
        <v>No</v>
      </c>
    </row>
    <row r="948" spans="1:14" x14ac:dyDescent="0.3">
      <c r="A948" s="2" t="s">
        <v>1913</v>
      </c>
      <c r="B948" s="2" t="s">
        <v>1914</v>
      </c>
      <c r="C948" s="2" t="s">
        <v>21</v>
      </c>
      <c r="D948" s="3">
        <v>45809</v>
      </c>
      <c r="E948" s="3">
        <v>45810</v>
      </c>
      <c r="F948" s="3">
        <v>45817</v>
      </c>
      <c r="G948" s="2" t="s">
        <v>15</v>
      </c>
      <c r="H948" s="2">
        <v>22</v>
      </c>
      <c r="I948" s="2">
        <v>22</v>
      </c>
      <c r="J948">
        <f t="shared" si="70"/>
        <v>8</v>
      </c>
      <c r="K948">
        <f t="shared" si="71"/>
        <v>7</v>
      </c>
      <c r="L948" t="str">
        <f t="shared" si="72"/>
        <v>No</v>
      </c>
      <c r="M948" t="str">
        <f t="shared" si="74"/>
        <v>Yes</v>
      </c>
      <c r="N948" t="str">
        <f t="shared" si="73"/>
        <v>No</v>
      </c>
    </row>
    <row r="949" spans="1:14" x14ac:dyDescent="0.3">
      <c r="A949" s="4" t="s">
        <v>1915</v>
      </c>
      <c r="B949" s="4" t="s">
        <v>1916</v>
      </c>
      <c r="C949" s="4" t="s">
        <v>27</v>
      </c>
      <c r="D949" s="5">
        <v>45808</v>
      </c>
      <c r="E949" s="5">
        <v>45817</v>
      </c>
      <c r="F949" s="5">
        <v>45821</v>
      </c>
      <c r="G949" s="4" t="s">
        <v>40</v>
      </c>
      <c r="H949" s="4">
        <v>6</v>
      </c>
      <c r="I949" s="2">
        <v>7</v>
      </c>
      <c r="J949">
        <f t="shared" si="70"/>
        <v>13</v>
      </c>
      <c r="K949">
        <f t="shared" si="71"/>
        <v>4</v>
      </c>
      <c r="L949" t="str">
        <f t="shared" si="72"/>
        <v>No</v>
      </c>
      <c r="M949" t="str">
        <f t="shared" si="74"/>
        <v>No</v>
      </c>
      <c r="N949" t="str">
        <f t="shared" si="73"/>
        <v>No</v>
      </c>
    </row>
    <row r="950" spans="1:14" x14ac:dyDescent="0.3">
      <c r="A950" s="2" t="s">
        <v>1917</v>
      </c>
      <c r="B950" s="2" t="s">
        <v>1918</v>
      </c>
      <c r="C950" s="2" t="s">
        <v>34</v>
      </c>
      <c r="D950" s="3">
        <v>45808</v>
      </c>
      <c r="E950" s="3">
        <v>45813</v>
      </c>
      <c r="F950" s="3">
        <v>45815</v>
      </c>
      <c r="G950" s="2" t="s">
        <v>11</v>
      </c>
      <c r="H950" s="2">
        <v>53</v>
      </c>
      <c r="I950" s="2">
        <v>60</v>
      </c>
      <c r="J950">
        <f t="shared" si="70"/>
        <v>7</v>
      </c>
      <c r="K950">
        <f t="shared" si="71"/>
        <v>2</v>
      </c>
      <c r="L950" t="str">
        <f t="shared" si="72"/>
        <v>No</v>
      </c>
      <c r="M950" t="str">
        <f t="shared" si="74"/>
        <v>No</v>
      </c>
      <c r="N950" t="str">
        <f t="shared" si="73"/>
        <v>No</v>
      </c>
    </row>
    <row r="951" spans="1:14" x14ac:dyDescent="0.3">
      <c r="A951" s="4" t="s">
        <v>1919</v>
      </c>
      <c r="B951" s="4" t="s">
        <v>1920</v>
      </c>
      <c r="C951" s="4" t="s">
        <v>37</v>
      </c>
      <c r="D951" s="5">
        <v>45808</v>
      </c>
      <c r="E951" s="5">
        <v>45816</v>
      </c>
      <c r="F951" s="5">
        <v>45825</v>
      </c>
      <c r="G951" s="4" t="s">
        <v>11</v>
      </c>
      <c r="H951" s="4">
        <v>19</v>
      </c>
      <c r="I951" s="2">
        <v>19</v>
      </c>
      <c r="J951">
        <f t="shared" si="70"/>
        <v>17</v>
      </c>
      <c r="K951">
        <f t="shared" si="71"/>
        <v>9</v>
      </c>
      <c r="L951" t="str">
        <f t="shared" si="72"/>
        <v>No</v>
      </c>
      <c r="M951" t="str">
        <f t="shared" si="74"/>
        <v>Yes</v>
      </c>
      <c r="N951" t="str">
        <f t="shared" si="73"/>
        <v>No</v>
      </c>
    </row>
    <row r="952" spans="1:14" x14ac:dyDescent="0.3">
      <c r="A952" s="2" t="s">
        <v>1921</v>
      </c>
      <c r="B952" s="2" t="s">
        <v>1922</v>
      </c>
      <c r="C952" s="2" t="s">
        <v>72</v>
      </c>
      <c r="D952" s="3">
        <v>45809</v>
      </c>
      <c r="E952" s="3">
        <v>45813</v>
      </c>
      <c r="F952" s="3">
        <v>45824</v>
      </c>
      <c r="G952" s="2" t="s">
        <v>22</v>
      </c>
      <c r="H952" s="2">
        <v>22</v>
      </c>
      <c r="I952" s="2">
        <v>26</v>
      </c>
      <c r="J952">
        <f t="shared" si="70"/>
        <v>15</v>
      </c>
      <c r="K952">
        <f t="shared" si="71"/>
        <v>11</v>
      </c>
      <c r="L952" t="str">
        <f t="shared" si="72"/>
        <v>No</v>
      </c>
      <c r="M952" t="str">
        <f t="shared" si="74"/>
        <v>No</v>
      </c>
      <c r="N952" t="str">
        <f t="shared" si="73"/>
        <v>No</v>
      </c>
    </row>
    <row r="953" spans="1:14" x14ac:dyDescent="0.3">
      <c r="A953" s="4" t="s">
        <v>1923</v>
      </c>
      <c r="B953" s="4" t="s">
        <v>1924</v>
      </c>
      <c r="C953" s="4" t="s">
        <v>10</v>
      </c>
      <c r="D953" s="5">
        <v>45810</v>
      </c>
      <c r="E953" s="5">
        <v>45812</v>
      </c>
      <c r="F953" s="5">
        <v>45819</v>
      </c>
      <c r="G953" s="4" t="s">
        <v>11</v>
      </c>
      <c r="H953" s="4">
        <v>10</v>
      </c>
      <c r="I953" s="2">
        <v>18</v>
      </c>
      <c r="J953">
        <f t="shared" si="70"/>
        <v>9</v>
      </c>
      <c r="K953">
        <f t="shared" si="71"/>
        <v>7</v>
      </c>
      <c r="L953" t="str">
        <f t="shared" si="72"/>
        <v>No</v>
      </c>
      <c r="M953" t="str">
        <f t="shared" si="74"/>
        <v>No</v>
      </c>
      <c r="N953" t="str">
        <f t="shared" si="73"/>
        <v>No</v>
      </c>
    </row>
    <row r="954" spans="1:14" x14ac:dyDescent="0.3">
      <c r="A954" s="2" t="s">
        <v>1925</v>
      </c>
      <c r="B954" s="2" t="s">
        <v>1926</v>
      </c>
      <c r="C954" s="2" t="s">
        <v>59</v>
      </c>
      <c r="D954" s="3">
        <v>45810</v>
      </c>
      <c r="E954" s="3">
        <v>45817</v>
      </c>
      <c r="F954" s="3">
        <v>45815</v>
      </c>
      <c r="G954" s="2" t="s">
        <v>11</v>
      </c>
      <c r="H954" s="2">
        <v>10</v>
      </c>
      <c r="I954" s="2">
        <v>10</v>
      </c>
      <c r="J954">
        <f t="shared" si="70"/>
        <v>5</v>
      </c>
      <c r="K954">
        <f t="shared" si="71"/>
        <v>-2</v>
      </c>
      <c r="L954" t="str">
        <f t="shared" si="72"/>
        <v>Yes</v>
      </c>
      <c r="M954" t="str">
        <f t="shared" si="74"/>
        <v>Yes</v>
      </c>
      <c r="N954" t="str">
        <f t="shared" si="73"/>
        <v>Yes</v>
      </c>
    </row>
    <row r="955" spans="1:14" x14ac:dyDescent="0.3">
      <c r="A955" s="4" t="s">
        <v>1927</v>
      </c>
      <c r="B955" s="4" t="s">
        <v>1928</v>
      </c>
      <c r="C955" s="4" t="s">
        <v>59</v>
      </c>
      <c r="D955" s="5">
        <v>45810</v>
      </c>
      <c r="E955" s="5">
        <v>45812</v>
      </c>
      <c r="F955" s="5">
        <v>45814</v>
      </c>
      <c r="G955" s="4" t="s">
        <v>40</v>
      </c>
      <c r="H955" s="4">
        <v>36</v>
      </c>
      <c r="I955" s="2">
        <v>36</v>
      </c>
      <c r="J955">
        <f t="shared" si="70"/>
        <v>4</v>
      </c>
      <c r="K955">
        <f t="shared" si="71"/>
        <v>2</v>
      </c>
      <c r="L955" t="str">
        <f t="shared" si="72"/>
        <v>No</v>
      </c>
      <c r="M955" t="str">
        <f t="shared" si="74"/>
        <v>Yes</v>
      </c>
      <c r="N955" t="str">
        <f t="shared" si="73"/>
        <v>No</v>
      </c>
    </row>
    <row r="956" spans="1:14" x14ac:dyDescent="0.3">
      <c r="A956" s="2" t="s">
        <v>1929</v>
      </c>
      <c r="B956" s="2" t="s">
        <v>1930</v>
      </c>
      <c r="C956" s="2" t="s">
        <v>21</v>
      </c>
      <c r="D956" s="3">
        <v>45808</v>
      </c>
      <c r="E956" s="3">
        <v>45815</v>
      </c>
      <c r="F956" s="3">
        <v>45814</v>
      </c>
      <c r="G956" s="2" t="s">
        <v>22</v>
      </c>
      <c r="H956" s="2">
        <v>15</v>
      </c>
      <c r="I956" s="2">
        <v>15</v>
      </c>
      <c r="J956">
        <f t="shared" si="70"/>
        <v>6</v>
      </c>
      <c r="K956">
        <f t="shared" si="71"/>
        <v>-1</v>
      </c>
      <c r="L956" t="str">
        <f t="shared" si="72"/>
        <v>Yes</v>
      </c>
      <c r="M956" t="str">
        <f t="shared" si="74"/>
        <v>Yes</v>
      </c>
      <c r="N956" t="str">
        <f t="shared" si="73"/>
        <v>Yes</v>
      </c>
    </row>
    <row r="957" spans="1:14" x14ac:dyDescent="0.3">
      <c r="A957" s="4" t="s">
        <v>1931</v>
      </c>
      <c r="B957" s="4" t="s">
        <v>1932</v>
      </c>
      <c r="C957" s="4" t="s">
        <v>21</v>
      </c>
      <c r="D957" s="5">
        <v>45808</v>
      </c>
      <c r="E957" s="5">
        <v>45818</v>
      </c>
      <c r="F957" s="5">
        <v>45814</v>
      </c>
      <c r="G957" s="4" t="s">
        <v>15</v>
      </c>
      <c r="H957" s="4">
        <v>28</v>
      </c>
      <c r="I957" s="2">
        <v>34</v>
      </c>
      <c r="J957">
        <f t="shared" si="70"/>
        <v>6</v>
      </c>
      <c r="K957">
        <f t="shared" si="71"/>
        <v>-4</v>
      </c>
      <c r="L957" t="str">
        <f t="shared" si="72"/>
        <v>Yes</v>
      </c>
      <c r="M957" t="str">
        <f t="shared" si="74"/>
        <v>No</v>
      </c>
      <c r="N957" t="str">
        <f t="shared" si="73"/>
        <v>No</v>
      </c>
    </row>
    <row r="958" spans="1:14" x14ac:dyDescent="0.3">
      <c r="A958" s="2" t="s">
        <v>1933</v>
      </c>
      <c r="B958" s="2" t="s">
        <v>1934</v>
      </c>
      <c r="C958" s="2" t="s">
        <v>27</v>
      </c>
      <c r="D958" s="3">
        <v>45808</v>
      </c>
      <c r="E958" s="3">
        <v>45811</v>
      </c>
      <c r="F958" s="3">
        <v>45822</v>
      </c>
      <c r="G958" s="2" t="s">
        <v>18</v>
      </c>
      <c r="H958" s="2">
        <v>13</v>
      </c>
      <c r="I958" s="2">
        <v>13</v>
      </c>
      <c r="J958">
        <f t="shared" si="70"/>
        <v>14</v>
      </c>
      <c r="K958">
        <f t="shared" si="71"/>
        <v>11</v>
      </c>
      <c r="L958" t="str">
        <f t="shared" si="72"/>
        <v>No</v>
      </c>
      <c r="M958" t="str">
        <f t="shared" si="74"/>
        <v>Yes</v>
      </c>
      <c r="N958" t="str">
        <f t="shared" si="73"/>
        <v>No</v>
      </c>
    </row>
    <row r="959" spans="1:14" x14ac:dyDescent="0.3">
      <c r="A959" s="4" t="s">
        <v>1935</v>
      </c>
      <c r="B959" s="4" t="s">
        <v>1936</v>
      </c>
      <c r="C959" s="4" t="s">
        <v>27</v>
      </c>
      <c r="D959" s="5">
        <v>45810</v>
      </c>
      <c r="E959" s="5">
        <v>45817</v>
      </c>
      <c r="F959" s="5">
        <v>45823</v>
      </c>
      <c r="G959" s="4" t="s">
        <v>15</v>
      </c>
      <c r="H959" s="4">
        <v>1</v>
      </c>
      <c r="I959" s="2">
        <v>6</v>
      </c>
      <c r="J959">
        <f t="shared" si="70"/>
        <v>13</v>
      </c>
      <c r="K959">
        <f t="shared" si="71"/>
        <v>6</v>
      </c>
      <c r="L959" t="str">
        <f t="shared" si="72"/>
        <v>No</v>
      </c>
      <c r="M959" t="str">
        <f t="shared" si="74"/>
        <v>No</v>
      </c>
      <c r="N959" t="str">
        <f t="shared" si="73"/>
        <v>No</v>
      </c>
    </row>
    <row r="960" spans="1:14" x14ac:dyDescent="0.3">
      <c r="A960" s="2" t="s">
        <v>1937</v>
      </c>
      <c r="B960" s="2" t="s">
        <v>1938</v>
      </c>
      <c r="C960" s="2" t="s">
        <v>27</v>
      </c>
      <c r="D960" s="3">
        <v>45808</v>
      </c>
      <c r="E960" s="3">
        <v>45818</v>
      </c>
      <c r="F960" s="3">
        <v>45822</v>
      </c>
      <c r="G960" s="2" t="s">
        <v>18</v>
      </c>
      <c r="H960" s="2">
        <v>8</v>
      </c>
      <c r="I960" s="2">
        <v>8</v>
      </c>
      <c r="J960">
        <f t="shared" si="70"/>
        <v>14</v>
      </c>
      <c r="K960">
        <f t="shared" si="71"/>
        <v>4</v>
      </c>
      <c r="L960" t="str">
        <f t="shared" si="72"/>
        <v>No</v>
      </c>
      <c r="M960" t="str">
        <f t="shared" si="74"/>
        <v>Yes</v>
      </c>
      <c r="N960" t="str">
        <f t="shared" si="73"/>
        <v>No</v>
      </c>
    </row>
    <row r="961" spans="1:14" x14ac:dyDescent="0.3">
      <c r="A961" s="4" t="s">
        <v>1939</v>
      </c>
      <c r="B961" s="4" t="s">
        <v>1940</v>
      </c>
      <c r="C961" s="4" t="s">
        <v>37</v>
      </c>
      <c r="D961" s="5">
        <v>45810</v>
      </c>
      <c r="E961" s="5">
        <v>45819</v>
      </c>
      <c r="F961" s="5">
        <v>45824</v>
      </c>
      <c r="G961" s="4" t="s">
        <v>11</v>
      </c>
      <c r="H961" s="4">
        <v>44</v>
      </c>
      <c r="I961" s="2">
        <v>44</v>
      </c>
      <c r="J961">
        <f t="shared" si="70"/>
        <v>14</v>
      </c>
      <c r="K961">
        <f t="shared" si="71"/>
        <v>5</v>
      </c>
      <c r="L961" t="str">
        <f t="shared" si="72"/>
        <v>No</v>
      </c>
      <c r="M961" t="str">
        <f t="shared" si="74"/>
        <v>Yes</v>
      </c>
      <c r="N961" t="str">
        <f t="shared" si="73"/>
        <v>No</v>
      </c>
    </row>
    <row r="962" spans="1:14" x14ac:dyDescent="0.3">
      <c r="A962" s="2" t="s">
        <v>1941</v>
      </c>
      <c r="B962" s="2" t="s">
        <v>1942</v>
      </c>
      <c r="C962" s="2" t="s">
        <v>34</v>
      </c>
      <c r="D962" s="3">
        <v>45810</v>
      </c>
      <c r="E962" s="3">
        <v>45818</v>
      </c>
      <c r="F962" s="3">
        <v>45818</v>
      </c>
      <c r="G962" s="2" t="s">
        <v>22</v>
      </c>
      <c r="H962" s="2">
        <v>38</v>
      </c>
      <c r="I962" s="2">
        <v>46</v>
      </c>
      <c r="J962">
        <f t="shared" si="70"/>
        <v>8</v>
      </c>
      <c r="K962">
        <f t="shared" si="71"/>
        <v>0</v>
      </c>
      <c r="L962" t="str">
        <f t="shared" si="72"/>
        <v>Yes</v>
      </c>
      <c r="M962" t="str">
        <f t="shared" si="74"/>
        <v>No</v>
      </c>
      <c r="N962" t="str">
        <f t="shared" si="73"/>
        <v>No</v>
      </c>
    </row>
    <row r="963" spans="1:14" x14ac:dyDescent="0.3">
      <c r="A963" s="4" t="s">
        <v>1943</v>
      </c>
      <c r="B963" s="4" t="s">
        <v>1944</v>
      </c>
      <c r="C963" s="4" t="s">
        <v>10</v>
      </c>
      <c r="D963" s="5">
        <v>45811</v>
      </c>
      <c r="E963" s="5">
        <v>45813</v>
      </c>
      <c r="F963" s="5">
        <v>45816</v>
      </c>
      <c r="G963" s="4" t="s">
        <v>22</v>
      </c>
      <c r="H963" s="4">
        <v>1</v>
      </c>
      <c r="I963" s="2">
        <v>2</v>
      </c>
      <c r="J963">
        <f t="shared" ref="J963:J1026" si="75">F963-D963</f>
        <v>5</v>
      </c>
      <c r="K963">
        <f t="shared" ref="K963:K1026" si="76">F963-E963</f>
        <v>3</v>
      </c>
      <c r="L963" t="str">
        <f t="shared" ref="L963:L1026" si="77">IF(K963&lt;=0,"Yes","No")</f>
        <v>No</v>
      </c>
      <c r="M963" t="str">
        <f t="shared" si="74"/>
        <v>No</v>
      </c>
      <c r="N963" t="str">
        <f t="shared" ref="N963:N1026" si="78">IF(AND(L963="Yes",M963="Yes"),"Yes","No")</f>
        <v>No</v>
      </c>
    </row>
    <row r="964" spans="1:14" x14ac:dyDescent="0.3">
      <c r="A964" s="2" t="s">
        <v>1945</v>
      </c>
      <c r="B964" s="2" t="s">
        <v>1946</v>
      </c>
      <c r="C964" s="2" t="s">
        <v>10</v>
      </c>
      <c r="D964" s="3">
        <v>45811</v>
      </c>
      <c r="E964" s="3">
        <v>45817</v>
      </c>
      <c r="F964" s="3">
        <v>45820</v>
      </c>
      <c r="G964" s="2" t="s">
        <v>11</v>
      </c>
      <c r="H964" s="2">
        <v>39</v>
      </c>
      <c r="I964" s="2">
        <v>39</v>
      </c>
      <c r="J964">
        <f t="shared" si="75"/>
        <v>9</v>
      </c>
      <c r="K964">
        <f t="shared" si="76"/>
        <v>3</v>
      </c>
      <c r="L964" t="str">
        <f t="shared" si="77"/>
        <v>No</v>
      </c>
      <c r="M964" t="str">
        <f t="shared" ref="M964:M1027" si="79">IF(H964=I964,"Yes","No")</f>
        <v>Yes</v>
      </c>
      <c r="N964" t="str">
        <f t="shared" si="78"/>
        <v>No</v>
      </c>
    </row>
    <row r="965" spans="1:14" x14ac:dyDescent="0.3">
      <c r="A965" s="4" t="s">
        <v>1947</v>
      </c>
      <c r="B965" s="4" t="s">
        <v>1948</v>
      </c>
      <c r="C965" s="4" t="s">
        <v>10</v>
      </c>
      <c r="D965" s="5">
        <v>45809</v>
      </c>
      <c r="E965" s="5">
        <v>45818</v>
      </c>
      <c r="F965" s="5">
        <v>45814</v>
      </c>
      <c r="G965" s="4" t="s">
        <v>11</v>
      </c>
      <c r="H965" s="4">
        <v>13</v>
      </c>
      <c r="I965" s="2">
        <v>13</v>
      </c>
      <c r="J965">
        <f t="shared" si="75"/>
        <v>5</v>
      </c>
      <c r="K965">
        <f t="shared" si="76"/>
        <v>-4</v>
      </c>
      <c r="L965" t="str">
        <f t="shared" si="77"/>
        <v>Yes</v>
      </c>
      <c r="M965" t="str">
        <f t="shared" si="79"/>
        <v>Yes</v>
      </c>
      <c r="N965" t="str">
        <f t="shared" si="78"/>
        <v>Yes</v>
      </c>
    </row>
    <row r="966" spans="1:14" x14ac:dyDescent="0.3">
      <c r="A966" s="2" t="s">
        <v>1949</v>
      </c>
      <c r="B966" s="2" t="s">
        <v>1950</v>
      </c>
      <c r="C966" s="2" t="s">
        <v>14</v>
      </c>
      <c r="D966" s="3">
        <v>45810</v>
      </c>
      <c r="E966" s="3">
        <v>45814</v>
      </c>
      <c r="F966" s="3">
        <v>45825</v>
      </c>
      <c r="G966" s="2" t="s">
        <v>22</v>
      </c>
      <c r="H966" s="2">
        <v>7</v>
      </c>
      <c r="I966" s="2">
        <v>7</v>
      </c>
      <c r="J966">
        <f t="shared" si="75"/>
        <v>15</v>
      </c>
      <c r="K966">
        <f t="shared" si="76"/>
        <v>11</v>
      </c>
      <c r="L966" t="str">
        <f t="shared" si="77"/>
        <v>No</v>
      </c>
      <c r="M966" t="str">
        <f t="shared" si="79"/>
        <v>Yes</v>
      </c>
      <c r="N966" t="str">
        <f t="shared" si="78"/>
        <v>No</v>
      </c>
    </row>
    <row r="967" spans="1:14" x14ac:dyDescent="0.3">
      <c r="A967" s="4" t="s">
        <v>1951</v>
      </c>
      <c r="B967" s="4" t="s">
        <v>1952</v>
      </c>
      <c r="C967" s="4" t="s">
        <v>14</v>
      </c>
      <c r="D967" s="5">
        <v>45810</v>
      </c>
      <c r="E967" s="5">
        <v>45819</v>
      </c>
      <c r="F967" s="5">
        <v>45825</v>
      </c>
      <c r="G967" s="4" t="s">
        <v>15</v>
      </c>
      <c r="H967" s="4">
        <v>16</v>
      </c>
      <c r="I967" s="2">
        <v>16</v>
      </c>
      <c r="J967">
        <f t="shared" si="75"/>
        <v>15</v>
      </c>
      <c r="K967">
        <f t="shared" si="76"/>
        <v>6</v>
      </c>
      <c r="L967" t="str">
        <f t="shared" si="77"/>
        <v>No</v>
      </c>
      <c r="M967" t="str">
        <f t="shared" si="79"/>
        <v>Yes</v>
      </c>
      <c r="N967" t="str">
        <f t="shared" si="78"/>
        <v>No</v>
      </c>
    </row>
    <row r="968" spans="1:14" x14ac:dyDescent="0.3">
      <c r="A968" s="2" t="s">
        <v>1953</v>
      </c>
      <c r="B968" s="2" t="s">
        <v>1954</v>
      </c>
      <c r="C968" s="2" t="s">
        <v>21</v>
      </c>
      <c r="D968" s="3">
        <v>45810</v>
      </c>
      <c r="E968" s="3">
        <v>45812</v>
      </c>
      <c r="F968" s="3">
        <v>45816</v>
      </c>
      <c r="G968" s="2" t="s">
        <v>22</v>
      </c>
      <c r="H968" s="2">
        <v>24</v>
      </c>
      <c r="I968" s="2">
        <v>24</v>
      </c>
      <c r="J968">
        <f t="shared" si="75"/>
        <v>6</v>
      </c>
      <c r="K968">
        <f t="shared" si="76"/>
        <v>4</v>
      </c>
      <c r="L968" t="str">
        <f t="shared" si="77"/>
        <v>No</v>
      </c>
      <c r="M968" t="str">
        <f t="shared" si="79"/>
        <v>Yes</v>
      </c>
      <c r="N968" t="str">
        <f t="shared" si="78"/>
        <v>No</v>
      </c>
    </row>
    <row r="969" spans="1:14" x14ac:dyDescent="0.3">
      <c r="A969" s="4" t="s">
        <v>1955</v>
      </c>
      <c r="B969" s="4" t="s">
        <v>1956</v>
      </c>
      <c r="C969" s="4" t="s">
        <v>21</v>
      </c>
      <c r="D969" s="5">
        <v>45809</v>
      </c>
      <c r="E969" s="5">
        <v>45819</v>
      </c>
      <c r="F969" s="5">
        <v>45819</v>
      </c>
      <c r="G969" s="4" t="s">
        <v>22</v>
      </c>
      <c r="H969" s="4">
        <v>22</v>
      </c>
      <c r="I969" s="2">
        <v>22</v>
      </c>
      <c r="J969">
        <f t="shared" si="75"/>
        <v>10</v>
      </c>
      <c r="K969">
        <f t="shared" si="76"/>
        <v>0</v>
      </c>
      <c r="L969" t="str">
        <f t="shared" si="77"/>
        <v>Yes</v>
      </c>
      <c r="M969" t="str">
        <f t="shared" si="79"/>
        <v>Yes</v>
      </c>
      <c r="N969" t="str">
        <f t="shared" si="78"/>
        <v>Yes</v>
      </c>
    </row>
    <row r="970" spans="1:14" x14ac:dyDescent="0.3">
      <c r="A970" s="2" t="s">
        <v>1957</v>
      </c>
      <c r="B970" s="2" t="s">
        <v>1958</v>
      </c>
      <c r="C970" s="2" t="s">
        <v>27</v>
      </c>
      <c r="D970" s="3">
        <v>45810</v>
      </c>
      <c r="E970" s="3">
        <v>45815</v>
      </c>
      <c r="F970" s="3">
        <v>45824</v>
      </c>
      <c r="G970" s="2" t="s">
        <v>15</v>
      </c>
      <c r="H970" s="2">
        <v>12</v>
      </c>
      <c r="I970" s="2">
        <v>12</v>
      </c>
      <c r="J970">
        <f t="shared" si="75"/>
        <v>14</v>
      </c>
      <c r="K970">
        <f t="shared" si="76"/>
        <v>9</v>
      </c>
      <c r="L970" t="str">
        <f t="shared" si="77"/>
        <v>No</v>
      </c>
      <c r="M970" t="str">
        <f t="shared" si="79"/>
        <v>Yes</v>
      </c>
      <c r="N970" t="str">
        <f t="shared" si="78"/>
        <v>No</v>
      </c>
    </row>
    <row r="971" spans="1:14" x14ac:dyDescent="0.3">
      <c r="A971" s="4" t="s">
        <v>1959</v>
      </c>
      <c r="B971" s="4" t="s">
        <v>1960</v>
      </c>
      <c r="C971" s="4" t="s">
        <v>37</v>
      </c>
      <c r="D971" s="5">
        <v>45811</v>
      </c>
      <c r="E971" s="5">
        <v>45820</v>
      </c>
      <c r="F971" s="5">
        <v>45824</v>
      </c>
      <c r="G971" s="4" t="s">
        <v>40</v>
      </c>
      <c r="H971" s="4">
        <v>36</v>
      </c>
      <c r="I971" s="2">
        <v>36</v>
      </c>
      <c r="J971">
        <f t="shared" si="75"/>
        <v>13</v>
      </c>
      <c r="K971">
        <f t="shared" si="76"/>
        <v>4</v>
      </c>
      <c r="L971" t="str">
        <f t="shared" si="77"/>
        <v>No</v>
      </c>
      <c r="M971" t="str">
        <f t="shared" si="79"/>
        <v>Yes</v>
      </c>
      <c r="N971" t="str">
        <f t="shared" si="78"/>
        <v>No</v>
      </c>
    </row>
    <row r="972" spans="1:14" x14ac:dyDescent="0.3">
      <c r="A972" s="2" t="s">
        <v>1961</v>
      </c>
      <c r="B972" s="2" t="s">
        <v>1962</v>
      </c>
      <c r="C972" s="2" t="s">
        <v>59</v>
      </c>
      <c r="D972" s="3">
        <v>45810</v>
      </c>
      <c r="E972" s="3">
        <v>45817</v>
      </c>
      <c r="F972" s="3">
        <v>45815</v>
      </c>
      <c r="G972" s="2" t="s">
        <v>40</v>
      </c>
      <c r="H972" s="2">
        <v>18</v>
      </c>
      <c r="I972" s="2">
        <v>22</v>
      </c>
      <c r="J972">
        <f t="shared" si="75"/>
        <v>5</v>
      </c>
      <c r="K972">
        <f t="shared" si="76"/>
        <v>-2</v>
      </c>
      <c r="L972" t="str">
        <f t="shared" si="77"/>
        <v>Yes</v>
      </c>
      <c r="M972" t="str">
        <f t="shared" si="79"/>
        <v>No</v>
      </c>
      <c r="N972" t="str">
        <f t="shared" si="78"/>
        <v>No</v>
      </c>
    </row>
    <row r="973" spans="1:14" x14ac:dyDescent="0.3">
      <c r="A973" s="4" t="s">
        <v>1963</v>
      </c>
      <c r="B973" s="4" t="s">
        <v>1964</v>
      </c>
      <c r="C973" s="4" t="s">
        <v>14</v>
      </c>
      <c r="D973" s="5">
        <v>45811</v>
      </c>
      <c r="E973" s="5">
        <v>45820</v>
      </c>
      <c r="F973" s="5">
        <v>45830</v>
      </c>
      <c r="G973" s="4" t="s">
        <v>11</v>
      </c>
      <c r="H973" s="4">
        <v>11</v>
      </c>
      <c r="I973" s="2">
        <v>19</v>
      </c>
      <c r="J973">
        <f t="shared" si="75"/>
        <v>19</v>
      </c>
      <c r="K973">
        <f t="shared" si="76"/>
        <v>10</v>
      </c>
      <c r="L973" t="str">
        <f t="shared" si="77"/>
        <v>No</v>
      </c>
      <c r="M973" t="str">
        <f t="shared" si="79"/>
        <v>No</v>
      </c>
      <c r="N973" t="str">
        <f t="shared" si="78"/>
        <v>No</v>
      </c>
    </row>
    <row r="974" spans="1:14" x14ac:dyDescent="0.3">
      <c r="A974" s="2" t="s">
        <v>1965</v>
      </c>
      <c r="B974" s="2" t="s">
        <v>1966</v>
      </c>
      <c r="C974" s="2" t="s">
        <v>21</v>
      </c>
      <c r="D974" s="3">
        <v>45811</v>
      </c>
      <c r="E974" s="3">
        <v>45818</v>
      </c>
      <c r="F974" s="3">
        <v>45817</v>
      </c>
      <c r="G974" s="2" t="s">
        <v>11</v>
      </c>
      <c r="H974" s="2">
        <v>50</v>
      </c>
      <c r="I974" s="2">
        <v>50</v>
      </c>
      <c r="J974">
        <f t="shared" si="75"/>
        <v>6</v>
      </c>
      <c r="K974">
        <f t="shared" si="76"/>
        <v>-1</v>
      </c>
      <c r="L974" t="str">
        <f t="shared" si="77"/>
        <v>Yes</v>
      </c>
      <c r="M974" t="str">
        <f t="shared" si="79"/>
        <v>Yes</v>
      </c>
      <c r="N974" t="str">
        <f t="shared" si="78"/>
        <v>Yes</v>
      </c>
    </row>
    <row r="975" spans="1:14" x14ac:dyDescent="0.3">
      <c r="A975" s="4" t="s">
        <v>1967</v>
      </c>
      <c r="B975" s="4" t="s">
        <v>1968</v>
      </c>
      <c r="C975" s="4" t="s">
        <v>21</v>
      </c>
      <c r="D975" s="5">
        <v>45812</v>
      </c>
      <c r="E975" s="5">
        <v>45814</v>
      </c>
      <c r="F975" s="5">
        <v>45818</v>
      </c>
      <c r="G975" s="4" t="s">
        <v>11</v>
      </c>
      <c r="H975" s="4">
        <v>42</v>
      </c>
      <c r="I975" s="2">
        <v>42</v>
      </c>
      <c r="J975">
        <f t="shared" si="75"/>
        <v>6</v>
      </c>
      <c r="K975">
        <f t="shared" si="76"/>
        <v>4</v>
      </c>
      <c r="L975" t="str">
        <f t="shared" si="77"/>
        <v>No</v>
      </c>
      <c r="M975" t="str">
        <f t="shared" si="79"/>
        <v>Yes</v>
      </c>
      <c r="N975" t="str">
        <f t="shared" si="78"/>
        <v>No</v>
      </c>
    </row>
    <row r="976" spans="1:14" x14ac:dyDescent="0.3">
      <c r="A976" s="2" t="s">
        <v>1969</v>
      </c>
      <c r="B976" s="2" t="s">
        <v>1970</v>
      </c>
      <c r="C976" s="2" t="s">
        <v>27</v>
      </c>
      <c r="D976" s="3">
        <v>45810</v>
      </c>
      <c r="E976" s="3">
        <v>45818</v>
      </c>
      <c r="F976" s="3">
        <v>45827</v>
      </c>
      <c r="G976" s="2" t="s">
        <v>40</v>
      </c>
      <c r="H976" s="2">
        <v>38</v>
      </c>
      <c r="I976" s="2">
        <v>38</v>
      </c>
      <c r="J976">
        <f t="shared" si="75"/>
        <v>17</v>
      </c>
      <c r="K976">
        <f t="shared" si="76"/>
        <v>9</v>
      </c>
      <c r="L976" t="str">
        <f t="shared" si="77"/>
        <v>No</v>
      </c>
      <c r="M976" t="str">
        <f t="shared" si="79"/>
        <v>Yes</v>
      </c>
      <c r="N976" t="str">
        <f t="shared" si="78"/>
        <v>No</v>
      </c>
    </row>
    <row r="977" spans="1:14" x14ac:dyDescent="0.3">
      <c r="A977" s="4" t="s">
        <v>1971</v>
      </c>
      <c r="B977" s="4" t="s">
        <v>1972</v>
      </c>
      <c r="C977" s="4" t="s">
        <v>27</v>
      </c>
      <c r="D977" s="5">
        <v>45811</v>
      </c>
      <c r="E977" s="5">
        <v>45818</v>
      </c>
      <c r="F977" s="5">
        <v>45823</v>
      </c>
      <c r="G977" s="4" t="s">
        <v>22</v>
      </c>
      <c r="H977" s="4">
        <v>8</v>
      </c>
      <c r="I977" s="2">
        <v>8</v>
      </c>
      <c r="J977">
        <f t="shared" si="75"/>
        <v>12</v>
      </c>
      <c r="K977">
        <f t="shared" si="76"/>
        <v>5</v>
      </c>
      <c r="L977" t="str">
        <f t="shared" si="77"/>
        <v>No</v>
      </c>
      <c r="M977" t="str">
        <f t="shared" si="79"/>
        <v>Yes</v>
      </c>
      <c r="N977" t="str">
        <f t="shared" si="78"/>
        <v>No</v>
      </c>
    </row>
    <row r="978" spans="1:14" x14ac:dyDescent="0.3">
      <c r="A978" s="2" t="s">
        <v>1973</v>
      </c>
      <c r="B978" s="2" t="s">
        <v>1974</v>
      </c>
      <c r="C978" s="2" t="s">
        <v>37</v>
      </c>
      <c r="D978" s="3">
        <v>45812</v>
      </c>
      <c r="E978" s="3">
        <v>45821</v>
      </c>
      <c r="F978" s="3">
        <v>45825</v>
      </c>
      <c r="G978" s="2" t="s">
        <v>40</v>
      </c>
      <c r="H978" s="2">
        <v>22</v>
      </c>
      <c r="I978" s="2">
        <v>22</v>
      </c>
      <c r="J978">
        <f t="shared" si="75"/>
        <v>13</v>
      </c>
      <c r="K978">
        <f t="shared" si="76"/>
        <v>4</v>
      </c>
      <c r="L978" t="str">
        <f t="shared" si="77"/>
        <v>No</v>
      </c>
      <c r="M978" t="str">
        <f t="shared" si="79"/>
        <v>Yes</v>
      </c>
      <c r="N978" t="str">
        <f t="shared" si="78"/>
        <v>No</v>
      </c>
    </row>
    <row r="979" spans="1:14" x14ac:dyDescent="0.3">
      <c r="A979" s="4" t="s">
        <v>1975</v>
      </c>
      <c r="B979" s="4" t="s">
        <v>1976</v>
      </c>
      <c r="C979" s="4" t="s">
        <v>37</v>
      </c>
      <c r="D979" s="5">
        <v>45811</v>
      </c>
      <c r="E979" s="5">
        <v>45817</v>
      </c>
      <c r="F979" s="5">
        <v>45826</v>
      </c>
      <c r="G979" s="4" t="s">
        <v>18</v>
      </c>
      <c r="H979" s="4">
        <v>34</v>
      </c>
      <c r="I979" s="2">
        <v>34</v>
      </c>
      <c r="J979">
        <f t="shared" si="75"/>
        <v>15</v>
      </c>
      <c r="K979">
        <f t="shared" si="76"/>
        <v>9</v>
      </c>
      <c r="L979" t="str">
        <f t="shared" si="77"/>
        <v>No</v>
      </c>
      <c r="M979" t="str">
        <f t="shared" si="79"/>
        <v>Yes</v>
      </c>
      <c r="N979" t="str">
        <f t="shared" si="78"/>
        <v>No</v>
      </c>
    </row>
    <row r="980" spans="1:14" x14ac:dyDescent="0.3">
      <c r="A980" s="2" t="s">
        <v>1977</v>
      </c>
      <c r="B980" s="2" t="s">
        <v>1978</v>
      </c>
      <c r="C980" s="2" t="s">
        <v>27</v>
      </c>
      <c r="D980" s="3">
        <v>45811</v>
      </c>
      <c r="E980" s="3">
        <v>45816</v>
      </c>
      <c r="F980" s="3">
        <v>45826</v>
      </c>
      <c r="G980" s="2" t="s">
        <v>40</v>
      </c>
      <c r="H980" s="2">
        <v>29</v>
      </c>
      <c r="I980" s="2">
        <v>29</v>
      </c>
      <c r="J980">
        <f t="shared" si="75"/>
        <v>15</v>
      </c>
      <c r="K980">
        <f t="shared" si="76"/>
        <v>10</v>
      </c>
      <c r="L980" t="str">
        <f t="shared" si="77"/>
        <v>No</v>
      </c>
      <c r="M980" t="str">
        <f t="shared" si="79"/>
        <v>Yes</v>
      </c>
      <c r="N980" t="str">
        <f t="shared" si="78"/>
        <v>No</v>
      </c>
    </row>
    <row r="981" spans="1:14" x14ac:dyDescent="0.3">
      <c r="A981" s="4" t="s">
        <v>1979</v>
      </c>
      <c r="B981" s="4" t="s">
        <v>1980</v>
      </c>
      <c r="C981" s="4" t="s">
        <v>27</v>
      </c>
      <c r="D981" s="5">
        <v>45811</v>
      </c>
      <c r="E981" s="5">
        <v>45819</v>
      </c>
      <c r="F981" s="5">
        <v>45828</v>
      </c>
      <c r="G981" s="4" t="s">
        <v>40</v>
      </c>
      <c r="H981" s="4">
        <v>1</v>
      </c>
      <c r="I981" s="2">
        <v>6</v>
      </c>
      <c r="J981">
        <f t="shared" si="75"/>
        <v>17</v>
      </c>
      <c r="K981">
        <f t="shared" si="76"/>
        <v>9</v>
      </c>
      <c r="L981" t="str">
        <f t="shared" si="77"/>
        <v>No</v>
      </c>
      <c r="M981" t="str">
        <f t="shared" si="79"/>
        <v>No</v>
      </c>
      <c r="N981" t="str">
        <f t="shared" si="78"/>
        <v>No</v>
      </c>
    </row>
    <row r="982" spans="1:14" x14ac:dyDescent="0.3">
      <c r="A982" s="2" t="s">
        <v>1981</v>
      </c>
      <c r="B982" s="2" t="s">
        <v>1982</v>
      </c>
      <c r="C982" s="2" t="s">
        <v>37</v>
      </c>
      <c r="D982" s="3">
        <v>45814</v>
      </c>
      <c r="E982" s="3">
        <v>45816</v>
      </c>
      <c r="F982" s="3">
        <v>45827</v>
      </c>
      <c r="G982" s="2" t="s">
        <v>15</v>
      </c>
      <c r="H982" s="2">
        <v>34</v>
      </c>
      <c r="I982" s="2">
        <v>34</v>
      </c>
      <c r="J982">
        <f t="shared" si="75"/>
        <v>13</v>
      </c>
      <c r="K982">
        <f t="shared" si="76"/>
        <v>11</v>
      </c>
      <c r="L982" t="str">
        <f t="shared" si="77"/>
        <v>No</v>
      </c>
      <c r="M982" t="str">
        <f t="shared" si="79"/>
        <v>Yes</v>
      </c>
      <c r="N982" t="str">
        <f t="shared" si="78"/>
        <v>No</v>
      </c>
    </row>
    <row r="983" spans="1:14" x14ac:dyDescent="0.3">
      <c r="A983" s="4" t="s">
        <v>1983</v>
      </c>
      <c r="B983" s="4" t="s">
        <v>1984</v>
      </c>
      <c r="C983" s="4" t="s">
        <v>72</v>
      </c>
      <c r="D983" s="5">
        <v>45814</v>
      </c>
      <c r="E983" s="5">
        <v>45818</v>
      </c>
      <c r="F983" s="5">
        <v>45830</v>
      </c>
      <c r="G983" s="4" t="s">
        <v>40</v>
      </c>
      <c r="H983" s="4">
        <v>25</v>
      </c>
      <c r="I983" s="2">
        <v>25</v>
      </c>
      <c r="J983">
        <f t="shared" si="75"/>
        <v>16</v>
      </c>
      <c r="K983">
        <f t="shared" si="76"/>
        <v>12</v>
      </c>
      <c r="L983" t="str">
        <f t="shared" si="77"/>
        <v>No</v>
      </c>
      <c r="M983" t="str">
        <f t="shared" si="79"/>
        <v>Yes</v>
      </c>
      <c r="N983" t="str">
        <f t="shared" si="78"/>
        <v>No</v>
      </c>
    </row>
    <row r="984" spans="1:14" x14ac:dyDescent="0.3">
      <c r="A984" s="2" t="s">
        <v>1985</v>
      </c>
      <c r="B984" s="2" t="s">
        <v>1986</v>
      </c>
      <c r="C984" s="2" t="s">
        <v>72</v>
      </c>
      <c r="D984" s="3">
        <v>45814</v>
      </c>
      <c r="E984" s="3">
        <v>45816</v>
      </c>
      <c r="F984" s="3">
        <v>45828</v>
      </c>
      <c r="G984" s="2" t="s">
        <v>11</v>
      </c>
      <c r="H984" s="2">
        <v>19</v>
      </c>
      <c r="I984" s="2">
        <v>19</v>
      </c>
      <c r="J984">
        <f t="shared" si="75"/>
        <v>14</v>
      </c>
      <c r="K984">
        <f t="shared" si="76"/>
        <v>12</v>
      </c>
      <c r="L984" t="str">
        <f t="shared" si="77"/>
        <v>No</v>
      </c>
      <c r="M984" t="str">
        <f t="shared" si="79"/>
        <v>Yes</v>
      </c>
      <c r="N984" t="str">
        <f t="shared" si="78"/>
        <v>No</v>
      </c>
    </row>
    <row r="985" spans="1:14" x14ac:dyDescent="0.3">
      <c r="A985" s="4" t="s">
        <v>1987</v>
      </c>
      <c r="B985" s="4" t="s">
        <v>1988</v>
      </c>
      <c r="C985" s="4" t="s">
        <v>14</v>
      </c>
      <c r="D985" s="5">
        <v>45812</v>
      </c>
      <c r="E985" s="5">
        <v>45816</v>
      </c>
      <c r="F985" s="5">
        <v>45827</v>
      </c>
      <c r="G985" s="4" t="s">
        <v>11</v>
      </c>
      <c r="H985" s="4">
        <v>18</v>
      </c>
      <c r="I985" s="2">
        <v>18</v>
      </c>
      <c r="J985">
        <f t="shared" si="75"/>
        <v>15</v>
      </c>
      <c r="K985">
        <f t="shared" si="76"/>
        <v>11</v>
      </c>
      <c r="L985" t="str">
        <f t="shared" si="77"/>
        <v>No</v>
      </c>
      <c r="M985" t="str">
        <f t="shared" si="79"/>
        <v>Yes</v>
      </c>
      <c r="N985" t="str">
        <f t="shared" si="78"/>
        <v>No</v>
      </c>
    </row>
    <row r="986" spans="1:14" x14ac:dyDescent="0.3">
      <c r="A986" s="2" t="s">
        <v>1989</v>
      </c>
      <c r="B986" s="2" t="s">
        <v>1990</v>
      </c>
      <c r="C986" s="2" t="s">
        <v>21</v>
      </c>
      <c r="D986" s="3">
        <v>45814</v>
      </c>
      <c r="E986" s="3">
        <v>45816</v>
      </c>
      <c r="F986" s="3">
        <v>45824</v>
      </c>
      <c r="G986" s="2" t="s">
        <v>11</v>
      </c>
      <c r="H986" s="2">
        <v>25</v>
      </c>
      <c r="I986" s="2">
        <v>25</v>
      </c>
      <c r="J986">
        <f t="shared" si="75"/>
        <v>10</v>
      </c>
      <c r="K986">
        <f t="shared" si="76"/>
        <v>8</v>
      </c>
      <c r="L986" t="str">
        <f t="shared" si="77"/>
        <v>No</v>
      </c>
      <c r="M986" t="str">
        <f t="shared" si="79"/>
        <v>Yes</v>
      </c>
      <c r="N986" t="str">
        <f t="shared" si="78"/>
        <v>No</v>
      </c>
    </row>
    <row r="987" spans="1:14" x14ac:dyDescent="0.3">
      <c r="A987" s="4" t="s">
        <v>1991</v>
      </c>
      <c r="B987" s="4" t="s">
        <v>1992</v>
      </c>
      <c r="C987" s="4" t="s">
        <v>27</v>
      </c>
      <c r="D987" s="5">
        <v>45813</v>
      </c>
      <c r="E987" s="5">
        <v>45820</v>
      </c>
      <c r="F987" s="5">
        <v>45825</v>
      </c>
      <c r="G987" s="4" t="s">
        <v>11</v>
      </c>
      <c r="H987" s="4">
        <v>6</v>
      </c>
      <c r="I987" s="2">
        <v>6</v>
      </c>
      <c r="J987">
        <f t="shared" si="75"/>
        <v>12</v>
      </c>
      <c r="K987">
        <f t="shared" si="76"/>
        <v>5</v>
      </c>
      <c r="L987" t="str">
        <f t="shared" si="77"/>
        <v>No</v>
      </c>
      <c r="M987" t="str">
        <f t="shared" si="79"/>
        <v>Yes</v>
      </c>
      <c r="N987" t="str">
        <f t="shared" si="78"/>
        <v>No</v>
      </c>
    </row>
    <row r="988" spans="1:14" x14ac:dyDescent="0.3">
      <c r="A988" s="2" t="s">
        <v>1993</v>
      </c>
      <c r="B988" s="2" t="s">
        <v>1994</v>
      </c>
      <c r="C988" s="2" t="s">
        <v>27</v>
      </c>
      <c r="D988" s="3">
        <v>45813</v>
      </c>
      <c r="E988" s="3">
        <v>45820</v>
      </c>
      <c r="F988" s="3">
        <v>45827</v>
      </c>
      <c r="G988" s="2" t="s">
        <v>22</v>
      </c>
      <c r="H988" s="2">
        <v>7</v>
      </c>
      <c r="I988" s="2">
        <v>9</v>
      </c>
      <c r="J988">
        <f t="shared" si="75"/>
        <v>14</v>
      </c>
      <c r="K988">
        <f t="shared" si="76"/>
        <v>7</v>
      </c>
      <c r="L988" t="str">
        <f t="shared" si="77"/>
        <v>No</v>
      </c>
      <c r="M988" t="str">
        <f t="shared" si="79"/>
        <v>No</v>
      </c>
      <c r="N988" t="str">
        <f t="shared" si="78"/>
        <v>No</v>
      </c>
    </row>
    <row r="989" spans="1:14" x14ac:dyDescent="0.3">
      <c r="A989" s="4" t="s">
        <v>1995</v>
      </c>
      <c r="B989" s="4" t="s">
        <v>1996</v>
      </c>
      <c r="C989" s="4" t="s">
        <v>72</v>
      </c>
      <c r="D989" s="5">
        <v>45813</v>
      </c>
      <c r="E989" s="5">
        <v>45816</v>
      </c>
      <c r="F989" s="5">
        <v>45828</v>
      </c>
      <c r="G989" s="4" t="s">
        <v>22</v>
      </c>
      <c r="H989" s="4">
        <v>19</v>
      </c>
      <c r="I989" s="2">
        <v>19</v>
      </c>
      <c r="J989">
        <f t="shared" si="75"/>
        <v>15</v>
      </c>
      <c r="K989">
        <f t="shared" si="76"/>
        <v>12</v>
      </c>
      <c r="L989" t="str">
        <f t="shared" si="77"/>
        <v>No</v>
      </c>
      <c r="M989" t="str">
        <f t="shared" si="79"/>
        <v>Yes</v>
      </c>
      <c r="N989" t="str">
        <f t="shared" si="78"/>
        <v>No</v>
      </c>
    </row>
    <row r="990" spans="1:14" x14ac:dyDescent="0.3">
      <c r="A990" s="2" t="s">
        <v>1997</v>
      </c>
      <c r="B990" s="2" t="s">
        <v>1998</v>
      </c>
      <c r="C990" s="2" t="s">
        <v>14</v>
      </c>
      <c r="D990" s="3">
        <v>45814</v>
      </c>
      <c r="E990" s="3">
        <v>45817</v>
      </c>
      <c r="F990" s="3">
        <v>45830</v>
      </c>
      <c r="G990" s="2" t="s">
        <v>15</v>
      </c>
      <c r="H990" s="2">
        <v>32</v>
      </c>
      <c r="I990" s="2">
        <v>40</v>
      </c>
      <c r="J990">
        <f t="shared" si="75"/>
        <v>16</v>
      </c>
      <c r="K990">
        <f t="shared" si="76"/>
        <v>13</v>
      </c>
      <c r="L990" t="str">
        <f t="shared" si="77"/>
        <v>No</v>
      </c>
      <c r="M990" t="str">
        <f t="shared" si="79"/>
        <v>No</v>
      </c>
      <c r="N990" t="str">
        <f t="shared" si="78"/>
        <v>No</v>
      </c>
    </row>
    <row r="991" spans="1:14" x14ac:dyDescent="0.3">
      <c r="A991" s="4" t="s">
        <v>1999</v>
      </c>
      <c r="B991" s="4" t="s">
        <v>2000</v>
      </c>
      <c r="C991" s="4" t="s">
        <v>14</v>
      </c>
      <c r="D991" s="5">
        <v>45814</v>
      </c>
      <c r="E991" s="5">
        <v>45818</v>
      </c>
      <c r="F991" s="5">
        <v>45829</v>
      </c>
      <c r="G991" s="4" t="s">
        <v>11</v>
      </c>
      <c r="H991" s="4">
        <v>19</v>
      </c>
      <c r="I991" s="2">
        <v>19</v>
      </c>
      <c r="J991">
        <f t="shared" si="75"/>
        <v>15</v>
      </c>
      <c r="K991">
        <f t="shared" si="76"/>
        <v>11</v>
      </c>
      <c r="L991" t="str">
        <f t="shared" si="77"/>
        <v>No</v>
      </c>
      <c r="M991" t="str">
        <f t="shared" si="79"/>
        <v>Yes</v>
      </c>
      <c r="N991" t="str">
        <f t="shared" si="78"/>
        <v>No</v>
      </c>
    </row>
    <row r="992" spans="1:14" x14ac:dyDescent="0.3">
      <c r="A992" s="2" t="s">
        <v>2001</v>
      </c>
      <c r="B992" s="2" t="s">
        <v>2002</v>
      </c>
      <c r="C992" s="2" t="s">
        <v>21</v>
      </c>
      <c r="D992" s="3">
        <v>45814</v>
      </c>
      <c r="E992" s="3">
        <v>45819</v>
      </c>
      <c r="F992" s="3">
        <v>45824</v>
      </c>
      <c r="G992" s="2" t="s">
        <v>18</v>
      </c>
      <c r="H992" s="2">
        <v>22</v>
      </c>
      <c r="I992" s="2">
        <v>30</v>
      </c>
      <c r="J992">
        <f t="shared" si="75"/>
        <v>10</v>
      </c>
      <c r="K992">
        <f t="shared" si="76"/>
        <v>5</v>
      </c>
      <c r="L992" t="str">
        <f t="shared" si="77"/>
        <v>No</v>
      </c>
      <c r="M992" t="str">
        <f t="shared" si="79"/>
        <v>No</v>
      </c>
      <c r="N992" t="str">
        <f t="shared" si="78"/>
        <v>No</v>
      </c>
    </row>
    <row r="993" spans="1:14" x14ac:dyDescent="0.3">
      <c r="A993" s="4" t="s">
        <v>2003</v>
      </c>
      <c r="B993" s="4" t="s">
        <v>2004</v>
      </c>
      <c r="C993" s="4" t="s">
        <v>21</v>
      </c>
      <c r="D993" s="5">
        <v>45813</v>
      </c>
      <c r="E993" s="5">
        <v>45821</v>
      </c>
      <c r="F993" s="5">
        <v>45823</v>
      </c>
      <c r="G993" s="4" t="s">
        <v>15</v>
      </c>
      <c r="H993" s="4">
        <v>49</v>
      </c>
      <c r="I993" s="2">
        <v>49</v>
      </c>
      <c r="J993">
        <f t="shared" si="75"/>
        <v>10</v>
      </c>
      <c r="K993">
        <f t="shared" si="76"/>
        <v>2</v>
      </c>
      <c r="L993" t="str">
        <f t="shared" si="77"/>
        <v>No</v>
      </c>
      <c r="M993" t="str">
        <f t="shared" si="79"/>
        <v>Yes</v>
      </c>
      <c r="N993" t="str">
        <f t="shared" si="78"/>
        <v>No</v>
      </c>
    </row>
    <row r="994" spans="1:14" x14ac:dyDescent="0.3">
      <c r="A994" s="2" t="s">
        <v>2005</v>
      </c>
      <c r="B994" s="2" t="s">
        <v>2006</v>
      </c>
      <c r="C994" s="2" t="s">
        <v>21</v>
      </c>
      <c r="D994" s="3">
        <v>45814</v>
      </c>
      <c r="E994" s="3">
        <v>45820</v>
      </c>
      <c r="F994" s="3">
        <v>45821</v>
      </c>
      <c r="G994" s="2" t="s">
        <v>18</v>
      </c>
      <c r="H994" s="2">
        <v>36</v>
      </c>
      <c r="I994" s="2">
        <v>36</v>
      </c>
      <c r="J994">
        <f t="shared" si="75"/>
        <v>7</v>
      </c>
      <c r="K994">
        <f t="shared" si="76"/>
        <v>1</v>
      </c>
      <c r="L994" t="str">
        <f t="shared" si="77"/>
        <v>No</v>
      </c>
      <c r="M994" t="str">
        <f t="shared" si="79"/>
        <v>Yes</v>
      </c>
      <c r="N994" t="str">
        <f t="shared" si="78"/>
        <v>No</v>
      </c>
    </row>
    <row r="995" spans="1:14" x14ac:dyDescent="0.3">
      <c r="A995" s="4" t="s">
        <v>2007</v>
      </c>
      <c r="B995" s="4" t="s">
        <v>2008</v>
      </c>
      <c r="C995" s="4" t="s">
        <v>27</v>
      </c>
      <c r="D995" s="5">
        <v>45813</v>
      </c>
      <c r="E995" s="5">
        <v>45823</v>
      </c>
      <c r="F995" s="5">
        <v>45826</v>
      </c>
      <c r="G995" s="4" t="s">
        <v>18</v>
      </c>
      <c r="H995" s="4">
        <v>37</v>
      </c>
      <c r="I995" s="2">
        <v>37</v>
      </c>
      <c r="J995">
        <f t="shared" si="75"/>
        <v>13</v>
      </c>
      <c r="K995">
        <f t="shared" si="76"/>
        <v>3</v>
      </c>
      <c r="L995" t="str">
        <f t="shared" si="77"/>
        <v>No</v>
      </c>
      <c r="M995" t="str">
        <f t="shared" si="79"/>
        <v>Yes</v>
      </c>
      <c r="N995" t="str">
        <f t="shared" si="78"/>
        <v>No</v>
      </c>
    </row>
    <row r="996" spans="1:14" x14ac:dyDescent="0.3">
      <c r="A996" s="2" t="s">
        <v>2009</v>
      </c>
      <c r="B996" s="2" t="s">
        <v>2010</v>
      </c>
      <c r="C996" s="2" t="s">
        <v>27</v>
      </c>
      <c r="D996" s="3">
        <v>45813</v>
      </c>
      <c r="E996" s="3">
        <v>45823</v>
      </c>
      <c r="F996" s="3">
        <v>45826</v>
      </c>
      <c r="G996" s="2" t="s">
        <v>18</v>
      </c>
      <c r="H996" s="2">
        <v>5</v>
      </c>
      <c r="I996" s="2">
        <v>5</v>
      </c>
      <c r="J996">
        <f t="shared" si="75"/>
        <v>13</v>
      </c>
      <c r="K996">
        <f t="shared" si="76"/>
        <v>3</v>
      </c>
      <c r="L996" t="str">
        <f t="shared" si="77"/>
        <v>No</v>
      </c>
      <c r="M996" t="str">
        <f t="shared" si="79"/>
        <v>Yes</v>
      </c>
      <c r="N996" t="str">
        <f t="shared" si="78"/>
        <v>No</v>
      </c>
    </row>
    <row r="997" spans="1:14" x14ac:dyDescent="0.3">
      <c r="A997" s="4" t="s">
        <v>2011</v>
      </c>
      <c r="B997" s="4" t="s">
        <v>2012</v>
      </c>
      <c r="C997" s="4" t="s">
        <v>27</v>
      </c>
      <c r="D997" s="5">
        <v>45813</v>
      </c>
      <c r="E997" s="5">
        <v>45822</v>
      </c>
      <c r="F997" s="5">
        <v>45826</v>
      </c>
      <c r="G997" s="4" t="s">
        <v>15</v>
      </c>
      <c r="H997" s="4">
        <v>3</v>
      </c>
      <c r="I997" s="2">
        <v>7</v>
      </c>
      <c r="J997">
        <f t="shared" si="75"/>
        <v>13</v>
      </c>
      <c r="K997">
        <f t="shared" si="76"/>
        <v>4</v>
      </c>
      <c r="L997" t="str">
        <f t="shared" si="77"/>
        <v>No</v>
      </c>
      <c r="M997" t="str">
        <f t="shared" si="79"/>
        <v>No</v>
      </c>
      <c r="N997" t="str">
        <f t="shared" si="78"/>
        <v>No</v>
      </c>
    </row>
    <row r="998" spans="1:14" x14ac:dyDescent="0.3">
      <c r="A998" s="2" t="s">
        <v>2013</v>
      </c>
      <c r="B998" s="2" t="s">
        <v>2014</v>
      </c>
      <c r="C998" s="2" t="s">
        <v>10</v>
      </c>
      <c r="D998" s="3">
        <v>45814</v>
      </c>
      <c r="E998" s="3">
        <v>45818</v>
      </c>
      <c r="F998" s="3">
        <v>45821</v>
      </c>
      <c r="G998" s="2" t="s">
        <v>18</v>
      </c>
      <c r="H998" s="2">
        <v>21</v>
      </c>
      <c r="I998" s="2">
        <v>21</v>
      </c>
      <c r="J998">
        <f t="shared" si="75"/>
        <v>7</v>
      </c>
      <c r="K998">
        <f t="shared" si="76"/>
        <v>3</v>
      </c>
      <c r="L998" t="str">
        <f t="shared" si="77"/>
        <v>No</v>
      </c>
      <c r="M998" t="str">
        <f t="shared" si="79"/>
        <v>Yes</v>
      </c>
      <c r="N998" t="str">
        <f t="shared" si="78"/>
        <v>No</v>
      </c>
    </row>
    <row r="999" spans="1:14" x14ac:dyDescent="0.3">
      <c r="A999" s="4" t="s">
        <v>2015</v>
      </c>
      <c r="B999" s="4" t="s">
        <v>2016</v>
      </c>
      <c r="C999" s="4" t="s">
        <v>59</v>
      </c>
      <c r="D999" s="5">
        <v>45815</v>
      </c>
      <c r="E999" s="5">
        <v>45823</v>
      </c>
      <c r="F999" s="5">
        <v>45818</v>
      </c>
      <c r="G999" s="4" t="s">
        <v>18</v>
      </c>
      <c r="H999" s="4">
        <v>14</v>
      </c>
      <c r="I999" s="2">
        <v>14</v>
      </c>
      <c r="J999">
        <f t="shared" si="75"/>
        <v>3</v>
      </c>
      <c r="K999">
        <f t="shared" si="76"/>
        <v>-5</v>
      </c>
      <c r="L999" t="str">
        <f t="shared" si="77"/>
        <v>Yes</v>
      </c>
      <c r="M999" t="str">
        <f t="shared" si="79"/>
        <v>Yes</v>
      </c>
      <c r="N999" t="str">
        <f t="shared" si="78"/>
        <v>Yes</v>
      </c>
    </row>
    <row r="1000" spans="1:14" x14ac:dyDescent="0.3">
      <c r="A1000" s="2" t="s">
        <v>2017</v>
      </c>
      <c r="B1000" s="2" t="s">
        <v>2018</v>
      </c>
      <c r="C1000" s="2" t="s">
        <v>21</v>
      </c>
      <c r="D1000" s="3">
        <v>45816</v>
      </c>
      <c r="E1000" s="3">
        <v>45820</v>
      </c>
      <c r="F1000" s="3">
        <v>45821</v>
      </c>
      <c r="G1000" s="2" t="s">
        <v>40</v>
      </c>
      <c r="H1000" s="2">
        <v>32</v>
      </c>
      <c r="I1000" s="2">
        <v>32</v>
      </c>
      <c r="J1000">
        <f t="shared" si="75"/>
        <v>5</v>
      </c>
      <c r="K1000">
        <f t="shared" si="76"/>
        <v>1</v>
      </c>
      <c r="L1000" t="str">
        <f t="shared" si="77"/>
        <v>No</v>
      </c>
      <c r="M1000" t="str">
        <f t="shared" si="79"/>
        <v>Yes</v>
      </c>
      <c r="N1000" t="str">
        <f t="shared" si="78"/>
        <v>No</v>
      </c>
    </row>
    <row r="1001" spans="1:14" x14ac:dyDescent="0.3">
      <c r="A1001" s="4" t="s">
        <v>2019</v>
      </c>
      <c r="B1001" s="4" t="s">
        <v>2020</v>
      </c>
      <c r="C1001" s="4" t="s">
        <v>21</v>
      </c>
      <c r="D1001" s="5">
        <v>45816</v>
      </c>
      <c r="E1001" s="5">
        <v>45823</v>
      </c>
      <c r="F1001" s="5">
        <v>45822</v>
      </c>
      <c r="G1001" s="4" t="s">
        <v>11</v>
      </c>
      <c r="H1001" s="4">
        <v>45</v>
      </c>
      <c r="I1001" s="2">
        <v>45</v>
      </c>
      <c r="J1001">
        <f t="shared" si="75"/>
        <v>6</v>
      </c>
      <c r="K1001">
        <f t="shared" si="76"/>
        <v>-1</v>
      </c>
      <c r="L1001" t="str">
        <f t="shared" si="77"/>
        <v>Yes</v>
      </c>
      <c r="M1001" t="str">
        <f t="shared" si="79"/>
        <v>Yes</v>
      </c>
      <c r="N1001" t="str">
        <f t="shared" si="78"/>
        <v>Yes</v>
      </c>
    </row>
    <row r="1002" spans="1:14" x14ac:dyDescent="0.3">
      <c r="A1002" s="2" t="s">
        <v>2021</v>
      </c>
      <c r="B1002" s="2" t="s">
        <v>2022</v>
      </c>
      <c r="C1002" s="2" t="s">
        <v>21</v>
      </c>
      <c r="D1002" s="3">
        <v>45814</v>
      </c>
      <c r="E1002" s="3">
        <v>45821</v>
      </c>
      <c r="F1002" s="3">
        <v>45820</v>
      </c>
      <c r="G1002" s="2" t="s">
        <v>11</v>
      </c>
      <c r="H1002" s="2">
        <v>23</v>
      </c>
      <c r="I1002" s="2">
        <v>23</v>
      </c>
      <c r="J1002">
        <f t="shared" si="75"/>
        <v>6</v>
      </c>
      <c r="K1002">
        <f t="shared" si="76"/>
        <v>-1</v>
      </c>
      <c r="L1002" t="str">
        <f t="shared" si="77"/>
        <v>Yes</v>
      </c>
      <c r="M1002" t="str">
        <f t="shared" si="79"/>
        <v>Yes</v>
      </c>
      <c r="N1002" t="str">
        <f t="shared" si="78"/>
        <v>Yes</v>
      </c>
    </row>
    <row r="1003" spans="1:14" x14ac:dyDescent="0.3">
      <c r="A1003" s="4" t="s">
        <v>2023</v>
      </c>
      <c r="B1003" s="4" t="s">
        <v>2024</v>
      </c>
      <c r="C1003" s="4" t="s">
        <v>27</v>
      </c>
      <c r="D1003" s="5">
        <v>45814</v>
      </c>
      <c r="E1003" s="5">
        <v>45823</v>
      </c>
      <c r="F1003" s="5">
        <v>45827</v>
      </c>
      <c r="G1003" s="4" t="s">
        <v>15</v>
      </c>
      <c r="H1003" s="4">
        <v>14</v>
      </c>
      <c r="I1003" s="2">
        <v>14</v>
      </c>
      <c r="J1003">
        <f t="shared" si="75"/>
        <v>13</v>
      </c>
      <c r="K1003">
        <f t="shared" si="76"/>
        <v>4</v>
      </c>
      <c r="L1003" t="str">
        <f t="shared" si="77"/>
        <v>No</v>
      </c>
      <c r="M1003" t="str">
        <f t="shared" si="79"/>
        <v>Yes</v>
      </c>
      <c r="N1003" t="str">
        <f t="shared" si="78"/>
        <v>No</v>
      </c>
    </row>
    <row r="1004" spans="1:14" x14ac:dyDescent="0.3">
      <c r="A1004" s="2" t="s">
        <v>2025</v>
      </c>
      <c r="B1004" s="2" t="s">
        <v>2026</v>
      </c>
      <c r="C1004" s="2" t="s">
        <v>27</v>
      </c>
      <c r="D1004" s="3">
        <v>45816</v>
      </c>
      <c r="E1004" s="3">
        <v>45824</v>
      </c>
      <c r="F1004" s="3">
        <v>45829</v>
      </c>
      <c r="G1004" s="2" t="s">
        <v>40</v>
      </c>
      <c r="H1004" s="2">
        <v>5</v>
      </c>
      <c r="I1004" s="2">
        <v>5</v>
      </c>
      <c r="J1004">
        <f t="shared" si="75"/>
        <v>13</v>
      </c>
      <c r="K1004">
        <f t="shared" si="76"/>
        <v>5</v>
      </c>
      <c r="L1004" t="str">
        <f t="shared" si="77"/>
        <v>No</v>
      </c>
      <c r="M1004" t="str">
        <f t="shared" si="79"/>
        <v>Yes</v>
      </c>
      <c r="N1004" t="str">
        <f t="shared" si="78"/>
        <v>No</v>
      </c>
    </row>
    <row r="1005" spans="1:14" x14ac:dyDescent="0.3">
      <c r="A1005" s="4" t="s">
        <v>2027</v>
      </c>
      <c r="B1005" s="4" t="s">
        <v>2028</v>
      </c>
      <c r="C1005" s="4" t="s">
        <v>34</v>
      </c>
      <c r="D1005" s="5">
        <v>45817</v>
      </c>
      <c r="E1005" s="5">
        <v>45819</v>
      </c>
      <c r="F1005" s="5">
        <v>45823</v>
      </c>
      <c r="G1005" s="4" t="s">
        <v>11</v>
      </c>
      <c r="H1005" s="4">
        <v>33</v>
      </c>
      <c r="I1005" s="2">
        <v>35</v>
      </c>
      <c r="J1005">
        <f t="shared" si="75"/>
        <v>6</v>
      </c>
      <c r="K1005">
        <f t="shared" si="76"/>
        <v>4</v>
      </c>
      <c r="L1005" t="str">
        <f t="shared" si="77"/>
        <v>No</v>
      </c>
      <c r="M1005" t="str">
        <f t="shared" si="79"/>
        <v>No</v>
      </c>
      <c r="N1005" t="str">
        <f t="shared" si="78"/>
        <v>No</v>
      </c>
    </row>
    <row r="1006" spans="1:14" x14ac:dyDescent="0.3">
      <c r="A1006" s="2" t="s">
        <v>2029</v>
      </c>
      <c r="B1006" s="2" t="s">
        <v>2030</v>
      </c>
      <c r="C1006" s="2" t="s">
        <v>72</v>
      </c>
      <c r="D1006" s="3">
        <v>45817</v>
      </c>
      <c r="E1006" s="3">
        <v>45823</v>
      </c>
      <c r="F1006" s="3">
        <v>45831</v>
      </c>
      <c r="G1006" s="2" t="s">
        <v>11</v>
      </c>
      <c r="H1006" s="2">
        <v>16</v>
      </c>
      <c r="I1006" s="2">
        <v>16</v>
      </c>
      <c r="J1006">
        <f t="shared" si="75"/>
        <v>14</v>
      </c>
      <c r="K1006">
        <f t="shared" si="76"/>
        <v>8</v>
      </c>
      <c r="L1006" t="str">
        <f t="shared" si="77"/>
        <v>No</v>
      </c>
      <c r="M1006" t="str">
        <f t="shared" si="79"/>
        <v>Yes</v>
      </c>
      <c r="N1006" t="str">
        <f t="shared" si="78"/>
        <v>No</v>
      </c>
    </row>
    <row r="1007" spans="1:14" x14ac:dyDescent="0.3">
      <c r="A1007" s="4" t="s">
        <v>2031</v>
      </c>
      <c r="B1007" s="4" t="s">
        <v>2032</v>
      </c>
      <c r="C1007" s="4" t="s">
        <v>72</v>
      </c>
      <c r="D1007" s="5">
        <v>45816</v>
      </c>
      <c r="E1007" s="5">
        <v>45819</v>
      </c>
      <c r="F1007" s="5">
        <v>45829</v>
      </c>
      <c r="G1007" s="4" t="s">
        <v>15</v>
      </c>
      <c r="H1007" s="4">
        <v>19</v>
      </c>
      <c r="I1007" s="2">
        <v>19</v>
      </c>
      <c r="J1007">
        <f t="shared" si="75"/>
        <v>13</v>
      </c>
      <c r="K1007">
        <f t="shared" si="76"/>
        <v>10</v>
      </c>
      <c r="L1007" t="str">
        <f t="shared" si="77"/>
        <v>No</v>
      </c>
      <c r="M1007" t="str">
        <f t="shared" si="79"/>
        <v>Yes</v>
      </c>
      <c r="N1007" t="str">
        <f t="shared" si="78"/>
        <v>No</v>
      </c>
    </row>
    <row r="1008" spans="1:14" x14ac:dyDescent="0.3">
      <c r="A1008" s="2" t="s">
        <v>2033</v>
      </c>
      <c r="B1008" s="2" t="s">
        <v>2034</v>
      </c>
      <c r="C1008" s="2" t="s">
        <v>14</v>
      </c>
      <c r="D1008" s="3">
        <v>45815</v>
      </c>
      <c r="E1008" s="3">
        <v>45822</v>
      </c>
      <c r="F1008" s="3">
        <v>45831</v>
      </c>
      <c r="G1008" s="2" t="s">
        <v>18</v>
      </c>
      <c r="H1008" s="2">
        <v>31</v>
      </c>
      <c r="I1008" s="2">
        <v>31</v>
      </c>
      <c r="J1008">
        <f t="shared" si="75"/>
        <v>16</v>
      </c>
      <c r="K1008">
        <f t="shared" si="76"/>
        <v>9</v>
      </c>
      <c r="L1008" t="str">
        <f t="shared" si="77"/>
        <v>No</v>
      </c>
      <c r="M1008" t="str">
        <f t="shared" si="79"/>
        <v>Yes</v>
      </c>
      <c r="N1008" t="str">
        <f t="shared" si="78"/>
        <v>No</v>
      </c>
    </row>
    <row r="1009" spans="1:14" x14ac:dyDescent="0.3">
      <c r="A1009" s="4" t="s">
        <v>2035</v>
      </c>
      <c r="B1009" s="4" t="s">
        <v>2036</v>
      </c>
      <c r="C1009" s="4" t="s">
        <v>21</v>
      </c>
      <c r="D1009" s="5">
        <v>45816</v>
      </c>
      <c r="E1009" s="5">
        <v>45818</v>
      </c>
      <c r="F1009" s="5">
        <v>45822</v>
      </c>
      <c r="G1009" s="4" t="s">
        <v>15</v>
      </c>
      <c r="H1009" s="4">
        <v>25</v>
      </c>
      <c r="I1009" s="2">
        <v>25</v>
      </c>
      <c r="J1009">
        <f t="shared" si="75"/>
        <v>6</v>
      </c>
      <c r="K1009">
        <f t="shared" si="76"/>
        <v>4</v>
      </c>
      <c r="L1009" t="str">
        <f t="shared" si="77"/>
        <v>No</v>
      </c>
      <c r="M1009" t="str">
        <f t="shared" si="79"/>
        <v>Yes</v>
      </c>
      <c r="N1009" t="str">
        <f t="shared" si="78"/>
        <v>No</v>
      </c>
    </row>
    <row r="1010" spans="1:14" x14ac:dyDescent="0.3">
      <c r="A1010" s="2" t="s">
        <v>2037</v>
      </c>
      <c r="B1010" s="2" t="s">
        <v>2038</v>
      </c>
      <c r="C1010" s="2" t="s">
        <v>21</v>
      </c>
      <c r="D1010" s="3">
        <v>45817</v>
      </c>
      <c r="E1010" s="3">
        <v>45825</v>
      </c>
      <c r="F1010" s="3">
        <v>45824</v>
      </c>
      <c r="G1010" s="2" t="s">
        <v>15</v>
      </c>
      <c r="H1010" s="2">
        <v>22</v>
      </c>
      <c r="I1010" s="2">
        <v>22</v>
      </c>
      <c r="J1010">
        <f t="shared" si="75"/>
        <v>7</v>
      </c>
      <c r="K1010">
        <f t="shared" si="76"/>
        <v>-1</v>
      </c>
      <c r="L1010" t="str">
        <f t="shared" si="77"/>
        <v>Yes</v>
      </c>
      <c r="M1010" t="str">
        <f t="shared" si="79"/>
        <v>Yes</v>
      </c>
      <c r="N1010" t="str">
        <f t="shared" si="78"/>
        <v>Yes</v>
      </c>
    </row>
    <row r="1011" spans="1:14" x14ac:dyDescent="0.3">
      <c r="A1011" s="4" t="s">
        <v>2039</v>
      </c>
      <c r="B1011" s="4" t="s">
        <v>2040</v>
      </c>
      <c r="C1011" s="4" t="s">
        <v>27</v>
      </c>
      <c r="D1011" s="5">
        <v>45816</v>
      </c>
      <c r="E1011" s="5">
        <v>45822</v>
      </c>
      <c r="F1011" s="5">
        <v>45829</v>
      </c>
      <c r="G1011" s="4" t="s">
        <v>22</v>
      </c>
      <c r="H1011" s="4">
        <v>33</v>
      </c>
      <c r="I1011" s="2">
        <v>34</v>
      </c>
      <c r="J1011">
        <f t="shared" si="75"/>
        <v>13</v>
      </c>
      <c r="K1011">
        <f t="shared" si="76"/>
        <v>7</v>
      </c>
      <c r="L1011" t="str">
        <f t="shared" si="77"/>
        <v>No</v>
      </c>
      <c r="M1011" t="str">
        <f t="shared" si="79"/>
        <v>No</v>
      </c>
      <c r="N1011" t="str">
        <f t="shared" si="78"/>
        <v>No</v>
      </c>
    </row>
    <row r="1012" spans="1:14" x14ac:dyDescent="0.3">
      <c r="A1012" s="2" t="s">
        <v>2041</v>
      </c>
      <c r="B1012" s="2" t="s">
        <v>2042</v>
      </c>
      <c r="C1012" s="2" t="s">
        <v>27</v>
      </c>
      <c r="D1012" s="3">
        <v>45815</v>
      </c>
      <c r="E1012" s="3">
        <v>45819</v>
      </c>
      <c r="F1012" s="3">
        <v>45829</v>
      </c>
      <c r="G1012" s="2" t="s">
        <v>11</v>
      </c>
      <c r="H1012" s="2">
        <v>8</v>
      </c>
      <c r="I1012" s="2">
        <v>8</v>
      </c>
      <c r="J1012">
        <f t="shared" si="75"/>
        <v>14</v>
      </c>
      <c r="K1012">
        <f t="shared" si="76"/>
        <v>10</v>
      </c>
      <c r="L1012" t="str">
        <f t="shared" si="77"/>
        <v>No</v>
      </c>
      <c r="M1012" t="str">
        <f t="shared" si="79"/>
        <v>Yes</v>
      </c>
      <c r="N1012" t="str">
        <f t="shared" si="78"/>
        <v>No</v>
      </c>
    </row>
    <row r="1013" spans="1:14" x14ac:dyDescent="0.3">
      <c r="A1013" s="4" t="s">
        <v>2043</v>
      </c>
      <c r="B1013" s="4" t="s">
        <v>2044</v>
      </c>
      <c r="C1013" s="4" t="s">
        <v>14</v>
      </c>
      <c r="D1013" s="5">
        <v>45816</v>
      </c>
      <c r="E1013" s="5">
        <v>45826</v>
      </c>
      <c r="F1013" s="5">
        <v>45832</v>
      </c>
      <c r="G1013" s="4" t="s">
        <v>11</v>
      </c>
      <c r="H1013" s="4">
        <v>4</v>
      </c>
      <c r="I1013" s="2">
        <v>8</v>
      </c>
      <c r="J1013">
        <f t="shared" si="75"/>
        <v>16</v>
      </c>
      <c r="K1013">
        <f t="shared" si="76"/>
        <v>6</v>
      </c>
      <c r="L1013" t="str">
        <f t="shared" si="77"/>
        <v>No</v>
      </c>
      <c r="M1013" t="str">
        <f t="shared" si="79"/>
        <v>No</v>
      </c>
      <c r="N1013" t="str">
        <f t="shared" si="78"/>
        <v>No</v>
      </c>
    </row>
    <row r="1014" spans="1:14" x14ac:dyDescent="0.3">
      <c r="A1014" s="2" t="s">
        <v>2045</v>
      </c>
      <c r="B1014" s="2" t="s">
        <v>2046</v>
      </c>
      <c r="C1014" s="2" t="s">
        <v>59</v>
      </c>
      <c r="D1014" s="3">
        <v>45816</v>
      </c>
      <c r="E1014" s="3">
        <v>45819</v>
      </c>
      <c r="F1014" s="3">
        <v>45822</v>
      </c>
      <c r="G1014" s="2" t="s">
        <v>18</v>
      </c>
      <c r="H1014" s="2">
        <v>18</v>
      </c>
      <c r="I1014" s="2">
        <v>25</v>
      </c>
      <c r="J1014">
        <f t="shared" si="75"/>
        <v>6</v>
      </c>
      <c r="K1014">
        <f t="shared" si="76"/>
        <v>3</v>
      </c>
      <c r="L1014" t="str">
        <f t="shared" si="77"/>
        <v>No</v>
      </c>
      <c r="M1014" t="str">
        <f t="shared" si="79"/>
        <v>No</v>
      </c>
      <c r="N1014" t="str">
        <f t="shared" si="78"/>
        <v>No</v>
      </c>
    </row>
    <row r="1015" spans="1:14" x14ac:dyDescent="0.3">
      <c r="A1015" s="4" t="s">
        <v>2047</v>
      </c>
      <c r="B1015" s="4" t="s">
        <v>2048</v>
      </c>
      <c r="C1015" s="4" t="s">
        <v>21</v>
      </c>
      <c r="D1015" s="5">
        <v>45817</v>
      </c>
      <c r="E1015" s="5">
        <v>45824</v>
      </c>
      <c r="F1015" s="5">
        <v>45823</v>
      </c>
      <c r="G1015" s="4" t="s">
        <v>15</v>
      </c>
      <c r="H1015" s="4">
        <v>36</v>
      </c>
      <c r="I1015" s="2">
        <v>36</v>
      </c>
      <c r="J1015">
        <f t="shared" si="75"/>
        <v>6</v>
      </c>
      <c r="K1015">
        <f t="shared" si="76"/>
        <v>-1</v>
      </c>
      <c r="L1015" t="str">
        <f t="shared" si="77"/>
        <v>Yes</v>
      </c>
      <c r="M1015" t="str">
        <f t="shared" si="79"/>
        <v>Yes</v>
      </c>
      <c r="N1015" t="str">
        <f t="shared" si="78"/>
        <v>Yes</v>
      </c>
    </row>
    <row r="1016" spans="1:14" x14ac:dyDescent="0.3">
      <c r="A1016" s="2" t="s">
        <v>2049</v>
      </c>
      <c r="B1016" s="2" t="s">
        <v>2050</v>
      </c>
      <c r="C1016" s="2" t="s">
        <v>27</v>
      </c>
      <c r="D1016" s="3">
        <v>45818</v>
      </c>
      <c r="E1016" s="3">
        <v>45825</v>
      </c>
      <c r="F1016" s="3">
        <v>45832</v>
      </c>
      <c r="G1016" s="2" t="s">
        <v>11</v>
      </c>
      <c r="H1016" s="2">
        <v>1</v>
      </c>
      <c r="I1016" s="2">
        <v>1</v>
      </c>
      <c r="J1016">
        <f t="shared" si="75"/>
        <v>14</v>
      </c>
      <c r="K1016">
        <f t="shared" si="76"/>
        <v>7</v>
      </c>
      <c r="L1016" t="str">
        <f t="shared" si="77"/>
        <v>No</v>
      </c>
      <c r="M1016" t="str">
        <f t="shared" si="79"/>
        <v>Yes</v>
      </c>
      <c r="N1016" t="str">
        <f t="shared" si="78"/>
        <v>No</v>
      </c>
    </row>
    <row r="1017" spans="1:14" x14ac:dyDescent="0.3">
      <c r="A1017" s="4" t="s">
        <v>2051</v>
      </c>
      <c r="B1017" s="4" t="s">
        <v>2052</v>
      </c>
      <c r="C1017" s="4" t="s">
        <v>27</v>
      </c>
      <c r="D1017" s="5">
        <v>45818</v>
      </c>
      <c r="E1017" s="5">
        <v>45823</v>
      </c>
      <c r="F1017" s="5">
        <v>45831</v>
      </c>
      <c r="G1017" s="4" t="s">
        <v>18</v>
      </c>
      <c r="H1017" s="4">
        <v>13</v>
      </c>
      <c r="I1017" s="2">
        <v>13</v>
      </c>
      <c r="J1017">
        <f t="shared" si="75"/>
        <v>13</v>
      </c>
      <c r="K1017">
        <f t="shared" si="76"/>
        <v>8</v>
      </c>
      <c r="L1017" t="str">
        <f t="shared" si="77"/>
        <v>No</v>
      </c>
      <c r="M1017" t="str">
        <f t="shared" si="79"/>
        <v>Yes</v>
      </c>
      <c r="N1017" t="str">
        <f t="shared" si="78"/>
        <v>No</v>
      </c>
    </row>
    <row r="1018" spans="1:14" x14ac:dyDescent="0.3">
      <c r="A1018" s="2" t="s">
        <v>2053</v>
      </c>
      <c r="B1018" s="2" t="s">
        <v>2054</v>
      </c>
      <c r="C1018" s="2" t="s">
        <v>34</v>
      </c>
      <c r="D1018" s="3">
        <v>45818</v>
      </c>
      <c r="E1018" s="3">
        <v>45820</v>
      </c>
      <c r="F1018" s="3">
        <v>45825</v>
      </c>
      <c r="G1018" s="2" t="s">
        <v>18</v>
      </c>
      <c r="H1018" s="2">
        <v>15</v>
      </c>
      <c r="I1018" s="2">
        <v>15</v>
      </c>
      <c r="J1018">
        <f t="shared" si="75"/>
        <v>7</v>
      </c>
      <c r="K1018">
        <f t="shared" si="76"/>
        <v>5</v>
      </c>
      <c r="L1018" t="str">
        <f t="shared" si="77"/>
        <v>No</v>
      </c>
      <c r="M1018" t="str">
        <f t="shared" si="79"/>
        <v>Yes</v>
      </c>
      <c r="N1018" t="str">
        <f t="shared" si="78"/>
        <v>No</v>
      </c>
    </row>
    <row r="1019" spans="1:14" x14ac:dyDescent="0.3">
      <c r="A1019" s="4" t="s">
        <v>2055</v>
      </c>
      <c r="B1019" s="4" t="s">
        <v>2056</v>
      </c>
      <c r="C1019" s="4" t="s">
        <v>34</v>
      </c>
      <c r="D1019" s="5">
        <v>45819</v>
      </c>
      <c r="E1019" s="5">
        <v>45826</v>
      </c>
      <c r="F1019" s="5">
        <v>45826</v>
      </c>
      <c r="G1019" s="4" t="s">
        <v>22</v>
      </c>
      <c r="H1019" s="4">
        <v>46</v>
      </c>
      <c r="I1019" s="2">
        <v>46</v>
      </c>
      <c r="J1019">
        <f t="shared" si="75"/>
        <v>7</v>
      </c>
      <c r="K1019">
        <f t="shared" si="76"/>
        <v>0</v>
      </c>
      <c r="L1019" t="str">
        <f t="shared" si="77"/>
        <v>Yes</v>
      </c>
      <c r="M1019" t="str">
        <f t="shared" si="79"/>
        <v>Yes</v>
      </c>
      <c r="N1019" t="str">
        <f t="shared" si="78"/>
        <v>Yes</v>
      </c>
    </row>
    <row r="1020" spans="1:14" x14ac:dyDescent="0.3">
      <c r="A1020" s="2" t="s">
        <v>2057</v>
      </c>
      <c r="B1020" s="2" t="s">
        <v>2058</v>
      </c>
      <c r="C1020" s="2" t="s">
        <v>10</v>
      </c>
      <c r="D1020" s="3">
        <v>45817</v>
      </c>
      <c r="E1020" s="3">
        <v>45825</v>
      </c>
      <c r="F1020" s="3">
        <v>45822</v>
      </c>
      <c r="G1020" s="2" t="s">
        <v>18</v>
      </c>
      <c r="H1020" s="2">
        <v>3</v>
      </c>
      <c r="I1020" s="2">
        <v>11</v>
      </c>
      <c r="J1020">
        <f t="shared" si="75"/>
        <v>5</v>
      </c>
      <c r="K1020">
        <f t="shared" si="76"/>
        <v>-3</v>
      </c>
      <c r="L1020" t="str">
        <f t="shared" si="77"/>
        <v>Yes</v>
      </c>
      <c r="M1020" t="str">
        <f t="shared" si="79"/>
        <v>No</v>
      </c>
      <c r="N1020" t="str">
        <f t="shared" si="78"/>
        <v>No</v>
      </c>
    </row>
    <row r="1021" spans="1:14" x14ac:dyDescent="0.3">
      <c r="A1021" s="4" t="s">
        <v>2059</v>
      </c>
      <c r="B1021" s="4" t="s">
        <v>2060</v>
      </c>
      <c r="C1021" s="4" t="s">
        <v>10</v>
      </c>
      <c r="D1021" s="5">
        <v>45817</v>
      </c>
      <c r="E1021" s="5">
        <v>45821</v>
      </c>
      <c r="F1021" s="5">
        <v>45822</v>
      </c>
      <c r="G1021" s="4" t="s">
        <v>40</v>
      </c>
      <c r="H1021" s="4">
        <v>15</v>
      </c>
      <c r="I1021" s="2">
        <v>15</v>
      </c>
      <c r="J1021">
        <f t="shared" si="75"/>
        <v>5</v>
      </c>
      <c r="K1021">
        <f t="shared" si="76"/>
        <v>1</v>
      </c>
      <c r="L1021" t="str">
        <f t="shared" si="77"/>
        <v>No</v>
      </c>
      <c r="M1021" t="str">
        <f t="shared" si="79"/>
        <v>Yes</v>
      </c>
      <c r="N1021" t="str">
        <f t="shared" si="78"/>
        <v>No</v>
      </c>
    </row>
    <row r="1022" spans="1:14" x14ac:dyDescent="0.3">
      <c r="A1022" s="2" t="s">
        <v>2061</v>
      </c>
      <c r="B1022" s="2" t="s">
        <v>2062</v>
      </c>
      <c r="C1022" s="2" t="s">
        <v>14</v>
      </c>
      <c r="D1022" s="3">
        <v>45817</v>
      </c>
      <c r="E1022" s="3">
        <v>45825</v>
      </c>
      <c r="F1022" s="3">
        <v>45832</v>
      </c>
      <c r="G1022" s="2" t="s">
        <v>18</v>
      </c>
      <c r="H1022" s="2">
        <v>1</v>
      </c>
      <c r="I1022" s="2">
        <v>5</v>
      </c>
      <c r="J1022">
        <f t="shared" si="75"/>
        <v>15</v>
      </c>
      <c r="K1022">
        <f t="shared" si="76"/>
        <v>7</v>
      </c>
      <c r="L1022" t="str">
        <f t="shared" si="77"/>
        <v>No</v>
      </c>
      <c r="M1022" t="str">
        <f t="shared" si="79"/>
        <v>No</v>
      </c>
      <c r="N1022" t="str">
        <f t="shared" si="78"/>
        <v>No</v>
      </c>
    </row>
    <row r="1023" spans="1:14" x14ac:dyDescent="0.3">
      <c r="A1023" s="4" t="s">
        <v>2063</v>
      </c>
      <c r="B1023" s="4" t="s">
        <v>2064</v>
      </c>
      <c r="C1023" s="4" t="s">
        <v>14</v>
      </c>
      <c r="D1023" s="5">
        <v>45818</v>
      </c>
      <c r="E1023" s="5">
        <v>45826</v>
      </c>
      <c r="F1023" s="5">
        <v>45833</v>
      </c>
      <c r="G1023" s="4" t="s">
        <v>11</v>
      </c>
      <c r="H1023" s="4">
        <v>40</v>
      </c>
      <c r="I1023" s="2">
        <v>40</v>
      </c>
      <c r="J1023">
        <f t="shared" si="75"/>
        <v>15</v>
      </c>
      <c r="K1023">
        <f t="shared" si="76"/>
        <v>7</v>
      </c>
      <c r="L1023" t="str">
        <f t="shared" si="77"/>
        <v>No</v>
      </c>
      <c r="M1023" t="str">
        <f t="shared" si="79"/>
        <v>Yes</v>
      </c>
      <c r="N1023" t="str">
        <f t="shared" si="78"/>
        <v>No</v>
      </c>
    </row>
    <row r="1024" spans="1:14" x14ac:dyDescent="0.3">
      <c r="A1024" s="2" t="s">
        <v>2065</v>
      </c>
      <c r="B1024" s="2" t="s">
        <v>2066</v>
      </c>
      <c r="C1024" s="2" t="s">
        <v>21</v>
      </c>
      <c r="D1024" s="3">
        <v>45818</v>
      </c>
      <c r="E1024" s="3">
        <v>45824</v>
      </c>
      <c r="F1024" s="3">
        <v>45824</v>
      </c>
      <c r="G1024" s="2" t="s">
        <v>40</v>
      </c>
      <c r="H1024" s="2">
        <v>44</v>
      </c>
      <c r="I1024" s="2">
        <v>44</v>
      </c>
      <c r="J1024">
        <f t="shared" si="75"/>
        <v>6</v>
      </c>
      <c r="K1024">
        <f t="shared" si="76"/>
        <v>0</v>
      </c>
      <c r="L1024" t="str">
        <f t="shared" si="77"/>
        <v>Yes</v>
      </c>
      <c r="M1024" t="str">
        <f t="shared" si="79"/>
        <v>Yes</v>
      </c>
      <c r="N1024" t="str">
        <f t="shared" si="78"/>
        <v>Yes</v>
      </c>
    </row>
    <row r="1025" spans="1:14" x14ac:dyDescent="0.3">
      <c r="A1025" s="4" t="s">
        <v>2067</v>
      </c>
      <c r="B1025" s="4" t="s">
        <v>2068</v>
      </c>
      <c r="C1025" s="4" t="s">
        <v>27</v>
      </c>
      <c r="D1025" s="5">
        <v>45819</v>
      </c>
      <c r="E1025" s="5">
        <v>45823</v>
      </c>
      <c r="F1025" s="5">
        <v>45831</v>
      </c>
      <c r="G1025" s="4" t="s">
        <v>22</v>
      </c>
      <c r="H1025" s="4">
        <v>17</v>
      </c>
      <c r="I1025" s="2">
        <v>21</v>
      </c>
      <c r="J1025">
        <f t="shared" si="75"/>
        <v>12</v>
      </c>
      <c r="K1025">
        <f t="shared" si="76"/>
        <v>8</v>
      </c>
      <c r="L1025" t="str">
        <f t="shared" si="77"/>
        <v>No</v>
      </c>
      <c r="M1025" t="str">
        <f t="shared" si="79"/>
        <v>No</v>
      </c>
      <c r="N1025" t="str">
        <f t="shared" si="78"/>
        <v>No</v>
      </c>
    </row>
    <row r="1026" spans="1:14" x14ac:dyDescent="0.3">
      <c r="A1026" s="2" t="s">
        <v>2069</v>
      </c>
      <c r="B1026" s="2" t="s">
        <v>2070</v>
      </c>
      <c r="C1026" s="2" t="s">
        <v>37</v>
      </c>
      <c r="D1026" s="3">
        <v>45820</v>
      </c>
      <c r="E1026" s="3">
        <v>45827</v>
      </c>
      <c r="F1026" s="3">
        <v>45834</v>
      </c>
      <c r="G1026" s="2" t="s">
        <v>15</v>
      </c>
      <c r="H1026" s="2">
        <v>10</v>
      </c>
      <c r="I1026" s="2">
        <v>10</v>
      </c>
      <c r="J1026">
        <f t="shared" si="75"/>
        <v>14</v>
      </c>
      <c r="K1026">
        <f t="shared" si="76"/>
        <v>7</v>
      </c>
      <c r="L1026" t="str">
        <f t="shared" si="77"/>
        <v>No</v>
      </c>
      <c r="M1026" t="str">
        <f t="shared" si="79"/>
        <v>Yes</v>
      </c>
      <c r="N1026" t="str">
        <f t="shared" si="78"/>
        <v>No</v>
      </c>
    </row>
    <row r="1027" spans="1:14" x14ac:dyDescent="0.3">
      <c r="A1027" s="4" t="s">
        <v>2071</v>
      </c>
      <c r="B1027" s="4" t="s">
        <v>2072</v>
      </c>
      <c r="C1027" s="4" t="s">
        <v>10</v>
      </c>
      <c r="D1027" s="5">
        <v>45818</v>
      </c>
      <c r="E1027" s="5">
        <v>45825</v>
      </c>
      <c r="F1027" s="5">
        <v>45824</v>
      </c>
      <c r="G1027" s="4" t="s">
        <v>15</v>
      </c>
      <c r="H1027" s="4">
        <v>22</v>
      </c>
      <c r="I1027" s="2">
        <v>22</v>
      </c>
      <c r="J1027">
        <f t="shared" ref="J1027:J1090" si="80">F1027-D1027</f>
        <v>6</v>
      </c>
      <c r="K1027">
        <f t="shared" ref="K1027:K1090" si="81">F1027-E1027</f>
        <v>-1</v>
      </c>
      <c r="L1027" t="str">
        <f t="shared" ref="L1027:L1090" si="82">IF(K1027&lt;=0,"Yes","No")</f>
        <v>Yes</v>
      </c>
      <c r="M1027" t="str">
        <f t="shared" si="79"/>
        <v>Yes</v>
      </c>
      <c r="N1027" t="str">
        <f t="shared" ref="N1027:N1090" si="83">IF(AND(L1027="Yes",M1027="Yes"),"Yes","No")</f>
        <v>Yes</v>
      </c>
    </row>
    <row r="1028" spans="1:14" x14ac:dyDescent="0.3">
      <c r="A1028" s="2" t="s">
        <v>2073</v>
      </c>
      <c r="B1028" s="2" t="s">
        <v>2074</v>
      </c>
      <c r="C1028" s="2" t="s">
        <v>10</v>
      </c>
      <c r="D1028" s="3">
        <v>45819</v>
      </c>
      <c r="E1028" s="3">
        <v>45828</v>
      </c>
      <c r="F1028" s="3">
        <v>45824</v>
      </c>
      <c r="G1028" s="2" t="s">
        <v>22</v>
      </c>
      <c r="H1028" s="2">
        <v>8</v>
      </c>
      <c r="I1028" s="2">
        <v>8</v>
      </c>
      <c r="J1028">
        <f t="shared" si="80"/>
        <v>5</v>
      </c>
      <c r="K1028">
        <f t="shared" si="81"/>
        <v>-4</v>
      </c>
      <c r="L1028" t="str">
        <f t="shared" si="82"/>
        <v>Yes</v>
      </c>
      <c r="M1028" t="str">
        <f t="shared" ref="M1028:M1091" si="84">IF(H1028=I1028,"Yes","No")</f>
        <v>Yes</v>
      </c>
      <c r="N1028" t="str">
        <f t="shared" si="83"/>
        <v>Yes</v>
      </c>
    </row>
    <row r="1029" spans="1:14" x14ac:dyDescent="0.3">
      <c r="A1029" s="4" t="s">
        <v>2075</v>
      </c>
      <c r="B1029" s="4" t="s">
        <v>2076</v>
      </c>
      <c r="C1029" s="4" t="s">
        <v>21</v>
      </c>
      <c r="D1029" s="5">
        <v>45818</v>
      </c>
      <c r="E1029" s="5">
        <v>45828</v>
      </c>
      <c r="F1029" s="5">
        <v>45824</v>
      </c>
      <c r="G1029" s="4" t="s">
        <v>22</v>
      </c>
      <c r="H1029" s="4">
        <v>49</v>
      </c>
      <c r="I1029" s="2">
        <v>49</v>
      </c>
      <c r="J1029">
        <f t="shared" si="80"/>
        <v>6</v>
      </c>
      <c r="K1029">
        <f t="shared" si="81"/>
        <v>-4</v>
      </c>
      <c r="L1029" t="str">
        <f t="shared" si="82"/>
        <v>Yes</v>
      </c>
      <c r="M1029" t="str">
        <f t="shared" si="84"/>
        <v>Yes</v>
      </c>
      <c r="N1029" t="str">
        <f t="shared" si="83"/>
        <v>Yes</v>
      </c>
    </row>
    <row r="1030" spans="1:14" x14ac:dyDescent="0.3">
      <c r="A1030" s="2" t="s">
        <v>2077</v>
      </c>
      <c r="B1030" s="2" t="s">
        <v>2078</v>
      </c>
      <c r="C1030" s="2" t="s">
        <v>21</v>
      </c>
      <c r="D1030" s="3">
        <v>45819</v>
      </c>
      <c r="E1030" s="3">
        <v>45827</v>
      </c>
      <c r="F1030" s="3">
        <v>45825</v>
      </c>
      <c r="G1030" s="2" t="s">
        <v>15</v>
      </c>
      <c r="H1030" s="2">
        <v>23</v>
      </c>
      <c r="I1030" s="2">
        <v>23</v>
      </c>
      <c r="J1030">
        <f t="shared" si="80"/>
        <v>6</v>
      </c>
      <c r="K1030">
        <f t="shared" si="81"/>
        <v>-2</v>
      </c>
      <c r="L1030" t="str">
        <f t="shared" si="82"/>
        <v>Yes</v>
      </c>
      <c r="M1030" t="str">
        <f t="shared" si="84"/>
        <v>Yes</v>
      </c>
      <c r="N1030" t="str">
        <f t="shared" si="83"/>
        <v>Yes</v>
      </c>
    </row>
    <row r="1031" spans="1:14" x14ac:dyDescent="0.3">
      <c r="A1031" s="4" t="s">
        <v>2079</v>
      </c>
      <c r="B1031" s="4" t="s">
        <v>2080</v>
      </c>
      <c r="C1031" s="4" t="s">
        <v>27</v>
      </c>
      <c r="D1031" s="5">
        <v>45820</v>
      </c>
      <c r="E1031" s="5">
        <v>45823</v>
      </c>
      <c r="F1031" s="5">
        <v>45833</v>
      </c>
      <c r="G1031" s="4" t="s">
        <v>11</v>
      </c>
      <c r="H1031" s="4">
        <v>13</v>
      </c>
      <c r="I1031" s="2">
        <v>13</v>
      </c>
      <c r="J1031">
        <f t="shared" si="80"/>
        <v>13</v>
      </c>
      <c r="K1031">
        <f t="shared" si="81"/>
        <v>10</v>
      </c>
      <c r="L1031" t="str">
        <f t="shared" si="82"/>
        <v>No</v>
      </c>
      <c r="M1031" t="str">
        <f t="shared" si="84"/>
        <v>Yes</v>
      </c>
      <c r="N1031" t="str">
        <f t="shared" si="83"/>
        <v>No</v>
      </c>
    </row>
    <row r="1032" spans="1:14" x14ac:dyDescent="0.3">
      <c r="A1032" s="2" t="s">
        <v>2081</v>
      </c>
      <c r="B1032" s="2" t="s">
        <v>2082</v>
      </c>
      <c r="C1032" s="2" t="s">
        <v>37</v>
      </c>
      <c r="D1032" s="3">
        <v>45821</v>
      </c>
      <c r="E1032" s="3">
        <v>45825</v>
      </c>
      <c r="F1032" s="3">
        <v>45838</v>
      </c>
      <c r="G1032" s="2" t="s">
        <v>18</v>
      </c>
      <c r="H1032" s="2">
        <v>25</v>
      </c>
      <c r="I1032" s="2">
        <v>25</v>
      </c>
      <c r="J1032">
        <f t="shared" si="80"/>
        <v>17</v>
      </c>
      <c r="K1032">
        <f t="shared" si="81"/>
        <v>13</v>
      </c>
      <c r="L1032" t="str">
        <f t="shared" si="82"/>
        <v>No</v>
      </c>
      <c r="M1032" t="str">
        <f t="shared" si="84"/>
        <v>Yes</v>
      </c>
      <c r="N1032" t="str">
        <f t="shared" si="83"/>
        <v>No</v>
      </c>
    </row>
    <row r="1033" spans="1:14" x14ac:dyDescent="0.3">
      <c r="A1033" s="4" t="s">
        <v>2083</v>
      </c>
      <c r="B1033" s="4" t="s">
        <v>2084</v>
      </c>
      <c r="C1033" s="4" t="s">
        <v>10</v>
      </c>
      <c r="D1033" s="5">
        <v>45821</v>
      </c>
      <c r="E1033" s="5">
        <v>45825</v>
      </c>
      <c r="F1033" s="5">
        <v>45826</v>
      </c>
      <c r="G1033" s="4" t="s">
        <v>22</v>
      </c>
      <c r="H1033" s="4">
        <v>11</v>
      </c>
      <c r="I1033" s="2">
        <v>11</v>
      </c>
      <c r="J1033">
        <f t="shared" si="80"/>
        <v>5</v>
      </c>
      <c r="K1033">
        <f t="shared" si="81"/>
        <v>1</v>
      </c>
      <c r="L1033" t="str">
        <f t="shared" si="82"/>
        <v>No</v>
      </c>
      <c r="M1033" t="str">
        <f t="shared" si="84"/>
        <v>Yes</v>
      </c>
      <c r="N1033" t="str">
        <f t="shared" si="83"/>
        <v>No</v>
      </c>
    </row>
    <row r="1034" spans="1:14" x14ac:dyDescent="0.3">
      <c r="A1034" s="2" t="s">
        <v>2085</v>
      </c>
      <c r="B1034" s="2" t="s">
        <v>2086</v>
      </c>
      <c r="C1034" s="2" t="s">
        <v>72</v>
      </c>
      <c r="D1034" s="3">
        <v>45819</v>
      </c>
      <c r="E1034" s="3">
        <v>45826</v>
      </c>
      <c r="F1034" s="3">
        <v>45833</v>
      </c>
      <c r="G1034" s="2" t="s">
        <v>22</v>
      </c>
      <c r="H1034" s="2">
        <v>15</v>
      </c>
      <c r="I1034" s="2">
        <v>15</v>
      </c>
      <c r="J1034">
        <f t="shared" si="80"/>
        <v>14</v>
      </c>
      <c r="K1034">
        <f t="shared" si="81"/>
        <v>7</v>
      </c>
      <c r="L1034" t="str">
        <f t="shared" si="82"/>
        <v>No</v>
      </c>
      <c r="M1034" t="str">
        <f t="shared" si="84"/>
        <v>Yes</v>
      </c>
      <c r="N1034" t="str">
        <f t="shared" si="83"/>
        <v>No</v>
      </c>
    </row>
    <row r="1035" spans="1:14" x14ac:dyDescent="0.3">
      <c r="A1035" s="4" t="s">
        <v>2087</v>
      </c>
      <c r="B1035" s="4" t="s">
        <v>2088</v>
      </c>
      <c r="C1035" s="4" t="s">
        <v>59</v>
      </c>
      <c r="D1035" s="5">
        <v>45819</v>
      </c>
      <c r="E1035" s="5">
        <v>45822</v>
      </c>
      <c r="F1035" s="5">
        <v>45824</v>
      </c>
      <c r="G1035" s="4" t="s">
        <v>18</v>
      </c>
      <c r="H1035" s="4">
        <v>50</v>
      </c>
      <c r="I1035" s="2">
        <v>50</v>
      </c>
      <c r="J1035">
        <f t="shared" si="80"/>
        <v>5</v>
      </c>
      <c r="K1035">
        <f t="shared" si="81"/>
        <v>2</v>
      </c>
      <c r="L1035" t="str">
        <f t="shared" si="82"/>
        <v>No</v>
      </c>
      <c r="M1035" t="str">
        <f t="shared" si="84"/>
        <v>Yes</v>
      </c>
      <c r="N1035" t="str">
        <f t="shared" si="83"/>
        <v>No</v>
      </c>
    </row>
    <row r="1036" spans="1:14" x14ac:dyDescent="0.3">
      <c r="A1036" s="2" t="s">
        <v>2089</v>
      </c>
      <c r="B1036" s="2" t="s">
        <v>2090</v>
      </c>
      <c r="C1036" s="2" t="s">
        <v>59</v>
      </c>
      <c r="D1036" s="3">
        <v>45819</v>
      </c>
      <c r="E1036" s="3">
        <v>45826</v>
      </c>
      <c r="F1036" s="3">
        <v>45823</v>
      </c>
      <c r="G1036" s="2" t="s">
        <v>18</v>
      </c>
      <c r="H1036" s="2">
        <v>31</v>
      </c>
      <c r="I1036" s="2">
        <v>31</v>
      </c>
      <c r="J1036">
        <f t="shared" si="80"/>
        <v>4</v>
      </c>
      <c r="K1036">
        <f t="shared" si="81"/>
        <v>-3</v>
      </c>
      <c r="L1036" t="str">
        <f t="shared" si="82"/>
        <v>Yes</v>
      </c>
      <c r="M1036" t="str">
        <f t="shared" si="84"/>
        <v>Yes</v>
      </c>
      <c r="N1036" t="str">
        <f t="shared" si="83"/>
        <v>Yes</v>
      </c>
    </row>
    <row r="1037" spans="1:14" x14ac:dyDescent="0.3">
      <c r="A1037" s="4" t="s">
        <v>2091</v>
      </c>
      <c r="B1037" s="4" t="s">
        <v>2092</v>
      </c>
      <c r="C1037" s="4" t="s">
        <v>21</v>
      </c>
      <c r="D1037" s="5">
        <v>45821</v>
      </c>
      <c r="E1037" s="5">
        <v>45829</v>
      </c>
      <c r="F1037" s="5">
        <v>45827</v>
      </c>
      <c r="G1037" s="4" t="s">
        <v>11</v>
      </c>
      <c r="H1037" s="4">
        <v>43</v>
      </c>
      <c r="I1037" s="2">
        <v>43</v>
      </c>
      <c r="J1037">
        <f t="shared" si="80"/>
        <v>6</v>
      </c>
      <c r="K1037">
        <f t="shared" si="81"/>
        <v>-2</v>
      </c>
      <c r="L1037" t="str">
        <f t="shared" si="82"/>
        <v>Yes</v>
      </c>
      <c r="M1037" t="str">
        <f t="shared" si="84"/>
        <v>Yes</v>
      </c>
      <c r="N1037" t="str">
        <f t="shared" si="83"/>
        <v>Yes</v>
      </c>
    </row>
    <row r="1038" spans="1:14" x14ac:dyDescent="0.3">
      <c r="A1038" s="2" t="s">
        <v>2093</v>
      </c>
      <c r="B1038" s="2" t="s">
        <v>2094</v>
      </c>
      <c r="C1038" s="2" t="s">
        <v>27</v>
      </c>
      <c r="D1038" s="3">
        <v>45819</v>
      </c>
      <c r="E1038" s="3">
        <v>45828</v>
      </c>
      <c r="F1038" s="3">
        <v>45832</v>
      </c>
      <c r="G1038" s="2" t="s">
        <v>22</v>
      </c>
      <c r="H1038" s="2">
        <v>11</v>
      </c>
      <c r="I1038" s="2">
        <v>11</v>
      </c>
      <c r="J1038">
        <f t="shared" si="80"/>
        <v>13</v>
      </c>
      <c r="K1038">
        <f t="shared" si="81"/>
        <v>4</v>
      </c>
      <c r="L1038" t="str">
        <f t="shared" si="82"/>
        <v>No</v>
      </c>
      <c r="M1038" t="str">
        <f t="shared" si="84"/>
        <v>Yes</v>
      </c>
      <c r="N1038" t="str">
        <f t="shared" si="83"/>
        <v>No</v>
      </c>
    </row>
    <row r="1039" spans="1:14" x14ac:dyDescent="0.3">
      <c r="A1039" s="4" t="s">
        <v>2095</v>
      </c>
      <c r="B1039" s="4" t="s">
        <v>2096</v>
      </c>
      <c r="C1039" s="4" t="s">
        <v>27</v>
      </c>
      <c r="D1039" s="5">
        <v>45821</v>
      </c>
      <c r="E1039" s="5">
        <v>45824</v>
      </c>
      <c r="F1039" s="5">
        <v>45835</v>
      </c>
      <c r="G1039" s="4" t="s">
        <v>18</v>
      </c>
      <c r="H1039" s="4">
        <v>4</v>
      </c>
      <c r="I1039" s="2">
        <v>4</v>
      </c>
      <c r="J1039">
        <f t="shared" si="80"/>
        <v>14</v>
      </c>
      <c r="K1039">
        <f t="shared" si="81"/>
        <v>11</v>
      </c>
      <c r="L1039" t="str">
        <f t="shared" si="82"/>
        <v>No</v>
      </c>
      <c r="M1039" t="str">
        <f t="shared" si="84"/>
        <v>Yes</v>
      </c>
      <c r="N1039" t="str">
        <f t="shared" si="83"/>
        <v>No</v>
      </c>
    </row>
    <row r="1040" spans="1:14" x14ac:dyDescent="0.3">
      <c r="A1040" s="2" t="s">
        <v>2097</v>
      </c>
      <c r="B1040" s="2" t="s">
        <v>2098</v>
      </c>
      <c r="C1040" s="2" t="s">
        <v>37</v>
      </c>
      <c r="D1040" s="3">
        <v>45822</v>
      </c>
      <c r="E1040" s="3">
        <v>45827</v>
      </c>
      <c r="F1040" s="3">
        <v>45837</v>
      </c>
      <c r="G1040" s="2" t="s">
        <v>11</v>
      </c>
      <c r="H1040" s="2">
        <v>8</v>
      </c>
      <c r="I1040" s="2">
        <v>13</v>
      </c>
      <c r="J1040">
        <f t="shared" si="80"/>
        <v>15</v>
      </c>
      <c r="K1040">
        <f t="shared" si="81"/>
        <v>10</v>
      </c>
      <c r="L1040" t="str">
        <f t="shared" si="82"/>
        <v>No</v>
      </c>
      <c r="M1040" t="str">
        <f t="shared" si="84"/>
        <v>No</v>
      </c>
      <c r="N1040" t="str">
        <f t="shared" si="83"/>
        <v>No</v>
      </c>
    </row>
    <row r="1041" spans="1:14" x14ac:dyDescent="0.3">
      <c r="A1041" s="4" t="s">
        <v>2099</v>
      </c>
      <c r="B1041" s="4" t="s">
        <v>2100</v>
      </c>
      <c r="C1041" s="4" t="s">
        <v>37</v>
      </c>
      <c r="D1041" s="5">
        <v>45820</v>
      </c>
      <c r="E1041" s="5">
        <v>45824</v>
      </c>
      <c r="F1041" s="5">
        <v>45833</v>
      </c>
      <c r="G1041" s="4" t="s">
        <v>15</v>
      </c>
      <c r="H1041" s="4">
        <v>21</v>
      </c>
      <c r="I1041" s="2">
        <v>21</v>
      </c>
      <c r="J1041">
        <f t="shared" si="80"/>
        <v>13</v>
      </c>
      <c r="K1041">
        <f t="shared" si="81"/>
        <v>9</v>
      </c>
      <c r="L1041" t="str">
        <f t="shared" si="82"/>
        <v>No</v>
      </c>
      <c r="M1041" t="str">
        <f t="shared" si="84"/>
        <v>Yes</v>
      </c>
      <c r="N1041" t="str">
        <f t="shared" si="83"/>
        <v>No</v>
      </c>
    </row>
    <row r="1042" spans="1:14" x14ac:dyDescent="0.3">
      <c r="A1042" s="2" t="s">
        <v>2101</v>
      </c>
      <c r="B1042" s="2" t="s">
        <v>2102</v>
      </c>
      <c r="C1042" s="2" t="s">
        <v>10</v>
      </c>
      <c r="D1042" s="3">
        <v>45821</v>
      </c>
      <c r="E1042" s="3">
        <v>45826</v>
      </c>
      <c r="F1042" s="3">
        <v>45825</v>
      </c>
      <c r="G1042" s="2" t="s">
        <v>18</v>
      </c>
      <c r="H1042" s="2">
        <v>10</v>
      </c>
      <c r="I1042" s="2">
        <v>10</v>
      </c>
      <c r="J1042">
        <f t="shared" si="80"/>
        <v>4</v>
      </c>
      <c r="K1042">
        <f t="shared" si="81"/>
        <v>-1</v>
      </c>
      <c r="L1042" t="str">
        <f t="shared" si="82"/>
        <v>Yes</v>
      </c>
      <c r="M1042" t="str">
        <f t="shared" si="84"/>
        <v>Yes</v>
      </c>
      <c r="N1042" t="str">
        <f t="shared" si="83"/>
        <v>Yes</v>
      </c>
    </row>
    <row r="1043" spans="1:14" x14ac:dyDescent="0.3">
      <c r="A1043" s="4" t="s">
        <v>2103</v>
      </c>
      <c r="B1043" s="4" t="s">
        <v>2104</v>
      </c>
      <c r="C1043" s="4" t="s">
        <v>72</v>
      </c>
      <c r="D1043" s="5">
        <v>45820</v>
      </c>
      <c r="E1043" s="5">
        <v>45825</v>
      </c>
      <c r="F1043" s="5">
        <v>45834</v>
      </c>
      <c r="G1043" s="4" t="s">
        <v>40</v>
      </c>
      <c r="H1043" s="4">
        <v>22</v>
      </c>
      <c r="I1043" s="2">
        <v>22</v>
      </c>
      <c r="J1043">
        <f t="shared" si="80"/>
        <v>14</v>
      </c>
      <c r="K1043">
        <f t="shared" si="81"/>
        <v>9</v>
      </c>
      <c r="L1043" t="str">
        <f t="shared" si="82"/>
        <v>No</v>
      </c>
      <c r="M1043" t="str">
        <f t="shared" si="84"/>
        <v>Yes</v>
      </c>
      <c r="N1043" t="str">
        <f t="shared" si="83"/>
        <v>No</v>
      </c>
    </row>
    <row r="1044" spans="1:14" x14ac:dyDescent="0.3">
      <c r="A1044" s="2" t="s">
        <v>2105</v>
      </c>
      <c r="B1044" s="2" t="s">
        <v>2106</v>
      </c>
      <c r="C1044" s="2" t="s">
        <v>72</v>
      </c>
      <c r="D1044" s="3">
        <v>45820</v>
      </c>
      <c r="E1044" s="3">
        <v>45830</v>
      </c>
      <c r="F1044" s="3">
        <v>45834</v>
      </c>
      <c r="G1044" s="2" t="s">
        <v>18</v>
      </c>
      <c r="H1044" s="2">
        <v>13</v>
      </c>
      <c r="I1044" s="2">
        <v>13</v>
      </c>
      <c r="J1044">
        <f t="shared" si="80"/>
        <v>14</v>
      </c>
      <c r="K1044">
        <f t="shared" si="81"/>
        <v>4</v>
      </c>
      <c r="L1044" t="str">
        <f t="shared" si="82"/>
        <v>No</v>
      </c>
      <c r="M1044" t="str">
        <f t="shared" si="84"/>
        <v>Yes</v>
      </c>
      <c r="N1044" t="str">
        <f t="shared" si="83"/>
        <v>No</v>
      </c>
    </row>
    <row r="1045" spans="1:14" x14ac:dyDescent="0.3">
      <c r="A1045" s="4" t="s">
        <v>2107</v>
      </c>
      <c r="B1045" s="4" t="s">
        <v>2108</v>
      </c>
      <c r="C1045" s="4" t="s">
        <v>14</v>
      </c>
      <c r="D1045" s="5">
        <v>45822</v>
      </c>
      <c r="E1045" s="5">
        <v>45829</v>
      </c>
      <c r="F1045" s="5">
        <v>45837</v>
      </c>
      <c r="G1045" s="4" t="s">
        <v>40</v>
      </c>
      <c r="H1045" s="4">
        <v>59</v>
      </c>
      <c r="I1045" s="2">
        <v>59</v>
      </c>
      <c r="J1045">
        <f t="shared" si="80"/>
        <v>15</v>
      </c>
      <c r="K1045">
        <f t="shared" si="81"/>
        <v>8</v>
      </c>
      <c r="L1045" t="str">
        <f t="shared" si="82"/>
        <v>No</v>
      </c>
      <c r="M1045" t="str">
        <f t="shared" si="84"/>
        <v>Yes</v>
      </c>
      <c r="N1045" t="str">
        <f t="shared" si="83"/>
        <v>No</v>
      </c>
    </row>
    <row r="1046" spans="1:14" x14ac:dyDescent="0.3">
      <c r="A1046" s="2" t="s">
        <v>2109</v>
      </c>
      <c r="B1046" s="2" t="s">
        <v>2110</v>
      </c>
      <c r="C1046" s="2" t="s">
        <v>21</v>
      </c>
      <c r="D1046" s="3">
        <v>45822</v>
      </c>
      <c r="E1046" s="3">
        <v>45823</v>
      </c>
      <c r="F1046" s="3">
        <v>45827</v>
      </c>
      <c r="G1046" s="2" t="s">
        <v>18</v>
      </c>
      <c r="H1046" s="2">
        <v>22</v>
      </c>
      <c r="I1046" s="2">
        <v>22</v>
      </c>
      <c r="J1046">
        <f t="shared" si="80"/>
        <v>5</v>
      </c>
      <c r="K1046">
        <f t="shared" si="81"/>
        <v>4</v>
      </c>
      <c r="L1046" t="str">
        <f t="shared" si="82"/>
        <v>No</v>
      </c>
      <c r="M1046" t="str">
        <f t="shared" si="84"/>
        <v>Yes</v>
      </c>
      <c r="N1046" t="str">
        <f t="shared" si="83"/>
        <v>No</v>
      </c>
    </row>
    <row r="1047" spans="1:14" x14ac:dyDescent="0.3">
      <c r="A1047" s="4" t="s">
        <v>2111</v>
      </c>
      <c r="B1047" s="4" t="s">
        <v>2112</v>
      </c>
      <c r="C1047" s="4" t="s">
        <v>34</v>
      </c>
      <c r="D1047" s="5">
        <v>45822</v>
      </c>
      <c r="E1047" s="5">
        <v>45830</v>
      </c>
      <c r="F1047" s="5">
        <v>45828</v>
      </c>
      <c r="G1047" s="4" t="s">
        <v>11</v>
      </c>
      <c r="H1047" s="4">
        <v>13</v>
      </c>
      <c r="I1047" s="2">
        <v>13</v>
      </c>
      <c r="J1047">
        <f t="shared" si="80"/>
        <v>6</v>
      </c>
      <c r="K1047">
        <f t="shared" si="81"/>
        <v>-2</v>
      </c>
      <c r="L1047" t="str">
        <f t="shared" si="82"/>
        <v>Yes</v>
      </c>
      <c r="M1047" t="str">
        <f t="shared" si="84"/>
        <v>Yes</v>
      </c>
      <c r="N1047" t="str">
        <f t="shared" si="83"/>
        <v>Yes</v>
      </c>
    </row>
    <row r="1048" spans="1:14" x14ac:dyDescent="0.3">
      <c r="A1048" s="2" t="s">
        <v>2113</v>
      </c>
      <c r="B1048" s="2" t="s">
        <v>2114</v>
      </c>
      <c r="C1048" s="2" t="s">
        <v>14</v>
      </c>
      <c r="D1048" s="3">
        <v>45823</v>
      </c>
      <c r="E1048" s="3">
        <v>45830</v>
      </c>
      <c r="F1048" s="3">
        <v>45838</v>
      </c>
      <c r="G1048" s="2" t="s">
        <v>15</v>
      </c>
      <c r="H1048" s="2">
        <v>7</v>
      </c>
      <c r="I1048" s="2">
        <v>13</v>
      </c>
      <c r="J1048">
        <f t="shared" si="80"/>
        <v>15</v>
      </c>
      <c r="K1048">
        <f t="shared" si="81"/>
        <v>8</v>
      </c>
      <c r="L1048" t="str">
        <f t="shared" si="82"/>
        <v>No</v>
      </c>
      <c r="M1048" t="str">
        <f t="shared" si="84"/>
        <v>No</v>
      </c>
      <c r="N1048" t="str">
        <f t="shared" si="83"/>
        <v>No</v>
      </c>
    </row>
    <row r="1049" spans="1:14" x14ac:dyDescent="0.3">
      <c r="A1049" s="4" t="s">
        <v>2115</v>
      </c>
      <c r="B1049" s="4" t="s">
        <v>2116</v>
      </c>
      <c r="C1049" s="4" t="s">
        <v>14</v>
      </c>
      <c r="D1049" s="5">
        <v>45821</v>
      </c>
      <c r="E1049" s="5">
        <v>45827</v>
      </c>
      <c r="F1049" s="5">
        <v>45837</v>
      </c>
      <c r="G1049" s="4" t="s">
        <v>40</v>
      </c>
      <c r="H1049" s="4">
        <v>41</v>
      </c>
      <c r="I1049" s="2">
        <v>41</v>
      </c>
      <c r="J1049">
        <f t="shared" si="80"/>
        <v>16</v>
      </c>
      <c r="K1049">
        <f t="shared" si="81"/>
        <v>10</v>
      </c>
      <c r="L1049" t="str">
        <f t="shared" si="82"/>
        <v>No</v>
      </c>
      <c r="M1049" t="str">
        <f t="shared" si="84"/>
        <v>Yes</v>
      </c>
      <c r="N1049" t="str">
        <f t="shared" si="83"/>
        <v>No</v>
      </c>
    </row>
    <row r="1050" spans="1:14" x14ac:dyDescent="0.3">
      <c r="A1050" s="2" t="s">
        <v>2117</v>
      </c>
      <c r="B1050" s="2" t="s">
        <v>2118</v>
      </c>
      <c r="C1050" s="2" t="s">
        <v>21</v>
      </c>
      <c r="D1050" s="3">
        <v>45822</v>
      </c>
      <c r="E1050" s="3">
        <v>45830</v>
      </c>
      <c r="F1050" s="3">
        <v>45832</v>
      </c>
      <c r="G1050" s="2" t="s">
        <v>22</v>
      </c>
      <c r="H1050" s="2">
        <v>27</v>
      </c>
      <c r="I1050" s="2">
        <v>27</v>
      </c>
      <c r="J1050">
        <f t="shared" si="80"/>
        <v>10</v>
      </c>
      <c r="K1050">
        <f t="shared" si="81"/>
        <v>2</v>
      </c>
      <c r="L1050" t="str">
        <f t="shared" si="82"/>
        <v>No</v>
      </c>
      <c r="M1050" t="str">
        <f t="shared" si="84"/>
        <v>Yes</v>
      </c>
      <c r="N1050" t="str">
        <f t="shared" si="83"/>
        <v>No</v>
      </c>
    </row>
    <row r="1051" spans="1:14" x14ac:dyDescent="0.3">
      <c r="A1051" s="4" t="s">
        <v>2119</v>
      </c>
      <c r="B1051" s="4" t="s">
        <v>2120</v>
      </c>
      <c r="C1051" s="4" t="s">
        <v>27</v>
      </c>
      <c r="D1051" s="5">
        <v>45822</v>
      </c>
      <c r="E1051" s="5">
        <v>45829</v>
      </c>
      <c r="F1051" s="5">
        <v>45835</v>
      </c>
      <c r="G1051" s="4" t="s">
        <v>18</v>
      </c>
      <c r="H1051" s="4">
        <v>10</v>
      </c>
      <c r="I1051" s="2">
        <v>10</v>
      </c>
      <c r="J1051">
        <f t="shared" si="80"/>
        <v>13</v>
      </c>
      <c r="K1051">
        <f t="shared" si="81"/>
        <v>6</v>
      </c>
      <c r="L1051" t="str">
        <f t="shared" si="82"/>
        <v>No</v>
      </c>
      <c r="M1051" t="str">
        <f t="shared" si="84"/>
        <v>Yes</v>
      </c>
      <c r="N1051" t="str">
        <f t="shared" si="83"/>
        <v>No</v>
      </c>
    </row>
    <row r="1052" spans="1:14" x14ac:dyDescent="0.3">
      <c r="A1052" s="2" t="s">
        <v>2121</v>
      </c>
      <c r="B1052" s="2" t="s">
        <v>2122</v>
      </c>
      <c r="C1052" s="2" t="s">
        <v>10</v>
      </c>
      <c r="D1052" s="3">
        <v>45824</v>
      </c>
      <c r="E1052" s="3">
        <v>45830</v>
      </c>
      <c r="F1052" s="3">
        <v>45829</v>
      </c>
      <c r="G1052" s="2" t="s">
        <v>40</v>
      </c>
      <c r="H1052" s="2">
        <v>7</v>
      </c>
      <c r="I1052" s="2">
        <v>7</v>
      </c>
      <c r="J1052">
        <f t="shared" si="80"/>
        <v>5</v>
      </c>
      <c r="K1052">
        <f t="shared" si="81"/>
        <v>-1</v>
      </c>
      <c r="L1052" t="str">
        <f t="shared" si="82"/>
        <v>Yes</v>
      </c>
      <c r="M1052" t="str">
        <f t="shared" si="84"/>
        <v>Yes</v>
      </c>
      <c r="N1052" t="str">
        <f t="shared" si="83"/>
        <v>Yes</v>
      </c>
    </row>
    <row r="1053" spans="1:14" x14ac:dyDescent="0.3">
      <c r="A1053" s="4" t="s">
        <v>2123</v>
      </c>
      <c r="B1053" s="4" t="s">
        <v>2124</v>
      </c>
      <c r="C1053" s="4" t="s">
        <v>14</v>
      </c>
      <c r="D1053" s="5">
        <v>45823</v>
      </c>
      <c r="E1053" s="5">
        <v>45832</v>
      </c>
      <c r="F1053" s="5">
        <v>45838</v>
      </c>
      <c r="G1053" s="4" t="s">
        <v>40</v>
      </c>
      <c r="H1053" s="4">
        <v>12</v>
      </c>
      <c r="I1053" s="2">
        <v>12</v>
      </c>
      <c r="J1053">
        <f t="shared" si="80"/>
        <v>15</v>
      </c>
      <c r="K1053">
        <f t="shared" si="81"/>
        <v>6</v>
      </c>
      <c r="L1053" t="str">
        <f t="shared" si="82"/>
        <v>No</v>
      </c>
      <c r="M1053" t="str">
        <f t="shared" si="84"/>
        <v>Yes</v>
      </c>
      <c r="N1053" t="str">
        <f t="shared" si="83"/>
        <v>No</v>
      </c>
    </row>
    <row r="1054" spans="1:14" x14ac:dyDescent="0.3">
      <c r="A1054" s="2" t="s">
        <v>2125</v>
      </c>
      <c r="B1054" s="2" t="s">
        <v>2126</v>
      </c>
      <c r="C1054" s="2" t="s">
        <v>21</v>
      </c>
      <c r="D1054" s="3">
        <v>45824</v>
      </c>
      <c r="E1054" s="3">
        <v>45826</v>
      </c>
      <c r="F1054" s="3">
        <v>45830</v>
      </c>
      <c r="G1054" s="2" t="s">
        <v>11</v>
      </c>
      <c r="H1054" s="2">
        <v>41</v>
      </c>
      <c r="I1054" s="2">
        <v>41</v>
      </c>
      <c r="J1054">
        <f t="shared" si="80"/>
        <v>6</v>
      </c>
      <c r="K1054">
        <f t="shared" si="81"/>
        <v>4</v>
      </c>
      <c r="L1054" t="str">
        <f t="shared" si="82"/>
        <v>No</v>
      </c>
      <c r="M1054" t="str">
        <f t="shared" si="84"/>
        <v>Yes</v>
      </c>
      <c r="N1054" t="str">
        <f t="shared" si="83"/>
        <v>No</v>
      </c>
    </row>
    <row r="1055" spans="1:14" x14ac:dyDescent="0.3">
      <c r="A1055" s="4" t="s">
        <v>2127</v>
      </c>
      <c r="B1055" s="4" t="s">
        <v>2128</v>
      </c>
      <c r="C1055" s="4" t="s">
        <v>21</v>
      </c>
      <c r="D1055" s="5">
        <v>45823</v>
      </c>
      <c r="E1055" s="5">
        <v>45827</v>
      </c>
      <c r="F1055" s="5">
        <v>45829</v>
      </c>
      <c r="G1055" s="4" t="s">
        <v>15</v>
      </c>
      <c r="H1055" s="4">
        <v>49</v>
      </c>
      <c r="I1055" s="2">
        <v>49</v>
      </c>
      <c r="J1055">
        <f t="shared" si="80"/>
        <v>6</v>
      </c>
      <c r="K1055">
        <f t="shared" si="81"/>
        <v>2</v>
      </c>
      <c r="L1055" t="str">
        <f t="shared" si="82"/>
        <v>No</v>
      </c>
      <c r="M1055" t="str">
        <f t="shared" si="84"/>
        <v>Yes</v>
      </c>
      <c r="N1055" t="str">
        <f t="shared" si="83"/>
        <v>No</v>
      </c>
    </row>
    <row r="1056" spans="1:14" x14ac:dyDescent="0.3">
      <c r="A1056" s="2" t="s">
        <v>2129</v>
      </c>
      <c r="B1056" s="2" t="s">
        <v>2130</v>
      </c>
      <c r="C1056" s="2" t="s">
        <v>27</v>
      </c>
      <c r="D1056" s="3">
        <v>45823</v>
      </c>
      <c r="E1056" s="3">
        <v>45829</v>
      </c>
      <c r="F1056" s="3">
        <v>45835</v>
      </c>
      <c r="G1056" s="2" t="s">
        <v>15</v>
      </c>
      <c r="H1056" s="2">
        <v>11</v>
      </c>
      <c r="I1056" s="2">
        <v>11</v>
      </c>
      <c r="J1056">
        <f t="shared" si="80"/>
        <v>12</v>
      </c>
      <c r="K1056">
        <f t="shared" si="81"/>
        <v>6</v>
      </c>
      <c r="L1056" t="str">
        <f t="shared" si="82"/>
        <v>No</v>
      </c>
      <c r="M1056" t="str">
        <f t="shared" si="84"/>
        <v>Yes</v>
      </c>
      <c r="N1056" t="str">
        <f t="shared" si="83"/>
        <v>No</v>
      </c>
    </row>
    <row r="1057" spans="1:14" x14ac:dyDescent="0.3">
      <c r="A1057" s="4" t="s">
        <v>2131</v>
      </c>
      <c r="B1057" s="4" t="s">
        <v>2132</v>
      </c>
      <c r="C1057" s="4" t="s">
        <v>27</v>
      </c>
      <c r="D1057" s="5">
        <v>45822</v>
      </c>
      <c r="E1057" s="5">
        <v>45831</v>
      </c>
      <c r="F1057" s="5">
        <v>45834</v>
      </c>
      <c r="G1057" s="4" t="s">
        <v>15</v>
      </c>
      <c r="H1057" s="4">
        <v>9</v>
      </c>
      <c r="I1057" s="2">
        <v>9</v>
      </c>
      <c r="J1057">
        <f t="shared" si="80"/>
        <v>12</v>
      </c>
      <c r="K1057">
        <f t="shared" si="81"/>
        <v>3</v>
      </c>
      <c r="L1057" t="str">
        <f t="shared" si="82"/>
        <v>No</v>
      </c>
      <c r="M1057" t="str">
        <f t="shared" si="84"/>
        <v>Yes</v>
      </c>
      <c r="N1057" t="str">
        <f t="shared" si="83"/>
        <v>No</v>
      </c>
    </row>
    <row r="1058" spans="1:14" x14ac:dyDescent="0.3">
      <c r="A1058" s="2" t="s">
        <v>2133</v>
      </c>
      <c r="B1058" s="2" t="s">
        <v>2134</v>
      </c>
      <c r="C1058" s="2" t="s">
        <v>34</v>
      </c>
      <c r="D1058" s="3">
        <v>45825</v>
      </c>
      <c r="E1058" s="3">
        <v>45829</v>
      </c>
      <c r="F1058" s="3">
        <v>45832</v>
      </c>
      <c r="G1058" s="2" t="s">
        <v>11</v>
      </c>
      <c r="H1058" s="2">
        <v>17</v>
      </c>
      <c r="I1058" s="2">
        <v>17</v>
      </c>
      <c r="J1058">
        <f t="shared" si="80"/>
        <v>7</v>
      </c>
      <c r="K1058">
        <f t="shared" si="81"/>
        <v>3</v>
      </c>
      <c r="L1058" t="str">
        <f t="shared" si="82"/>
        <v>No</v>
      </c>
      <c r="M1058" t="str">
        <f t="shared" si="84"/>
        <v>Yes</v>
      </c>
      <c r="N1058" t="str">
        <f t="shared" si="83"/>
        <v>No</v>
      </c>
    </row>
    <row r="1059" spans="1:14" x14ac:dyDescent="0.3">
      <c r="A1059" s="4" t="s">
        <v>2135</v>
      </c>
      <c r="B1059" s="4" t="s">
        <v>2136</v>
      </c>
      <c r="C1059" s="4" t="s">
        <v>14</v>
      </c>
      <c r="D1059" s="5">
        <v>45824</v>
      </c>
      <c r="E1059" s="5">
        <v>45828</v>
      </c>
      <c r="F1059" s="5">
        <v>45838</v>
      </c>
      <c r="G1059" s="4" t="s">
        <v>22</v>
      </c>
      <c r="H1059" s="4">
        <v>20</v>
      </c>
      <c r="I1059" s="2">
        <v>20</v>
      </c>
      <c r="J1059">
        <f t="shared" si="80"/>
        <v>14</v>
      </c>
      <c r="K1059">
        <f t="shared" si="81"/>
        <v>10</v>
      </c>
      <c r="L1059" t="str">
        <f t="shared" si="82"/>
        <v>No</v>
      </c>
      <c r="M1059" t="str">
        <f t="shared" si="84"/>
        <v>Yes</v>
      </c>
      <c r="N1059" t="str">
        <f t="shared" si="83"/>
        <v>No</v>
      </c>
    </row>
    <row r="1060" spans="1:14" x14ac:dyDescent="0.3">
      <c r="A1060" s="2" t="s">
        <v>2137</v>
      </c>
      <c r="B1060" s="2" t="s">
        <v>2138</v>
      </c>
      <c r="C1060" s="2" t="s">
        <v>21</v>
      </c>
      <c r="D1060" s="3">
        <v>45823</v>
      </c>
      <c r="E1060" s="3">
        <v>45827</v>
      </c>
      <c r="F1060" s="3">
        <v>45831</v>
      </c>
      <c r="G1060" s="2" t="s">
        <v>22</v>
      </c>
      <c r="H1060" s="2">
        <v>46</v>
      </c>
      <c r="I1060" s="2">
        <v>46</v>
      </c>
      <c r="J1060">
        <f t="shared" si="80"/>
        <v>8</v>
      </c>
      <c r="K1060">
        <f t="shared" si="81"/>
        <v>4</v>
      </c>
      <c r="L1060" t="str">
        <f t="shared" si="82"/>
        <v>No</v>
      </c>
      <c r="M1060" t="str">
        <f t="shared" si="84"/>
        <v>Yes</v>
      </c>
      <c r="N1060" t="str">
        <f t="shared" si="83"/>
        <v>No</v>
      </c>
    </row>
    <row r="1061" spans="1:14" x14ac:dyDescent="0.3">
      <c r="A1061" s="4" t="s">
        <v>2139</v>
      </c>
      <c r="B1061" s="4" t="s">
        <v>2140</v>
      </c>
      <c r="C1061" s="4" t="s">
        <v>27</v>
      </c>
      <c r="D1061" s="5">
        <v>45824</v>
      </c>
      <c r="E1061" s="5">
        <v>45829</v>
      </c>
      <c r="F1061" s="5">
        <v>45837</v>
      </c>
      <c r="G1061" s="4" t="s">
        <v>15</v>
      </c>
      <c r="H1061" s="4">
        <v>5</v>
      </c>
      <c r="I1061" s="2">
        <v>8</v>
      </c>
      <c r="J1061">
        <f t="shared" si="80"/>
        <v>13</v>
      </c>
      <c r="K1061">
        <f t="shared" si="81"/>
        <v>8</v>
      </c>
      <c r="L1061" t="str">
        <f t="shared" si="82"/>
        <v>No</v>
      </c>
      <c r="M1061" t="str">
        <f t="shared" si="84"/>
        <v>No</v>
      </c>
      <c r="N1061" t="str">
        <f t="shared" si="83"/>
        <v>No</v>
      </c>
    </row>
    <row r="1062" spans="1:14" x14ac:dyDescent="0.3">
      <c r="A1062" s="2" t="s">
        <v>2141</v>
      </c>
      <c r="B1062" s="2" t="s">
        <v>2142</v>
      </c>
      <c r="C1062" s="2" t="s">
        <v>34</v>
      </c>
      <c r="D1062" s="3">
        <v>45824</v>
      </c>
      <c r="E1062" s="3">
        <v>45830</v>
      </c>
      <c r="F1062" s="3">
        <v>45831</v>
      </c>
      <c r="G1062" s="2" t="s">
        <v>11</v>
      </c>
      <c r="H1062" s="2">
        <v>25</v>
      </c>
      <c r="I1062" s="2">
        <v>27</v>
      </c>
      <c r="J1062">
        <f t="shared" si="80"/>
        <v>7</v>
      </c>
      <c r="K1062">
        <f t="shared" si="81"/>
        <v>1</v>
      </c>
      <c r="L1062" t="str">
        <f t="shared" si="82"/>
        <v>No</v>
      </c>
      <c r="M1062" t="str">
        <f t="shared" si="84"/>
        <v>No</v>
      </c>
      <c r="N1062" t="str">
        <f t="shared" si="83"/>
        <v>No</v>
      </c>
    </row>
    <row r="1063" spans="1:14" x14ac:dyDescent="0.3">
      <c r="A1063" s="4" t="s">
        <v>2143</v>
      </c>
      <c r="B1063" s="4" t="s">
        <v>2144</v>
      </c>
      <c r="C1063" s="4" t="s">
        <v>34</v>
      </c>
      <c r="D1063" s="5">
        <v>45826</v>
      </c>
      <c r="E1063" s="5">
        <v>45830</v>
      </c>
      <c r="F1063" s="5">
        <v>45833</v>
      </c>
      <c r="G1063" s="4" t="s">
        <v>18</v>
      </c>
      <c r="H1063" s="4">
        <v>35</v>
      </c>
      <c r="I1063" s="2">
        <v>35</v>
      </c>
      <c r="J1063">
        <f t="shared" si="80"/>
        <v>7</v>
      </c>
      <c r="K1063">
        <f t="shared" si="81"/>
        <v>3</v>
      </c>
      <c r="L1063" t="str">
        <f t="shared" si="82"/>
        <v>No</v>
      </c>
      <c r="M1063" t="str">
        <f t="shared" si="84"/>
        <v>Yes</v>
      </c>
      <c r="N1063" t="str">
        <f t="shared" si="83"/>
        <v>No</v>
      </c>
    </row>
    <row r="1064" spans="1:14" x14ac:dyDescent="0.3">
      <c r="A1064" s="2" t="s">
        <v>2145</v>
      </c>
      <c r="B1064" s="2" t="s">
        <v>2146</v>
      </c>
      <c r="C1064" s="2" t="s">
        <v>10</v>
      </c>
      <c r="D1064" s="3">
        <v>45826</v>
      </c>
      <c r="E1064" s="3">
        <v>45831</v>
      </c>
      <c r="F1064" s="3">
        <v>45831</v>
      </c>
      <c r="G1064" s="2" t="s">
        <v>22</v>
      </c>
      <c r="H1064" s="2">
        <v>16</v>
      </c>
      <c r="I1064" s="2">
        <v>16</v>
      </c>
      <c r="J1064">
        <f t="shared" si="80"/>
        <v>5</v>
      </c>
      <c r="K1064">
        <f t="shared" si="81"/>
        <v>0</v>
      </c>
      <c r="L1064" t="str">
        <f t="shared" si="82"/>
        <v>Yes</v>
      </c>
      <c r="M1064" t="str">
        <f t="shared" si="84"/>
        <v>Yes</v>
      </c>
      <c r="N1064" t="str">
        <f t="shared" si="83"/>
        <v>Yes</v>
      </c>
    </row>
    <row r="1065" spans="1:14" x14ac:dyDescent="0.3">
      <c r="A1065" s="4" t="s">
        <v>2147</v>
      </c>
      <c r="B1065" s="4" t="s">
        <v>2148</v>
      </c>
      <c r="C1065" s="4" t="s">
        <v>72</v>
      </c>
      <c r="D1065" s="5">
        <v>45826</v>
      </c>
      <c r="E1065" s="5">
        <v>45834</v>
      </c>
      <c r="F1065" s="5">
        <v>45844</v>
      </c>
      <c r="G1065" s="4" t="s">
        <v>15</v>
      </c>
      <c r="H1065" s="4">
        <v>9</v>
      </c>
      <c r="I1065" s="2">
        <v>17</v>
      </c>
      <c r="J1065">
        <f t="shared" si="80"/>
        <v>18</v>
      </c>
      <c r="K1065">
        <f t="shared" si="81"/>
        <v>10</v>
      </c>
      <c r="L1065" t="str">
        <f t="shared" si="82"/>
        <v>No</v>
      </c>
      <c r="M1065" t="str">
        <f t="shared" si="84"/>
        <v>No</v>
      </c>
      <c r="N1065" t="str">
        <f t="shared" si="83"/>
        <v>No</v>
      </c>
    </row>
    <row r="1066" spans="1:14" x14ac:dyDescent="0.3">
      <c r="A1066" s="2" t="s">
        <v>2149</v>
      </c>
      <c r="B1066" s="2" t="s">
        <v>2150</v>
      </c>
      <c r="C1066" s="2" t="s">
        <v>21</v>
      </c>
      <c r="D1066" s="3">
        <v>45826</v>
      </c>
      <c r="E1066" s="3">
        <v>45833</v>
      </c>
      <c r="F1066" s="3">
        <v>45836</v>
      </c>
      <c r="G1066" s="2" t="s">
        <v>18</v>
      </c>
      <c r="H1066" s="2">
        <v>41</v>
      </c>
      <c r="I1066" s="2">
        <v>41</v>
      </c>
      <c r="J1066">
        <f t="shared" si="80"/>
        <v>10</v>
      </c>
      <c r="K1066">
        <f t="shared" si="81"/>
        <v>3</v>
      </c>
      <c r="L1066" t="str">
        <f t="shared" si="82"/>
        <v>No</v>
      </c>
      <c r="M1066" t="str">
        <f t="shared" si="84"/>
        <v>Yes</v>
      </c>
      <c r="N1066" t="str">
        <f t="shared" si="83"/>
        <v>No</v>
      </c>
    </row>
    <row r="1067" spans="1:14" x14ac:dyDescent="0.3">
      <c r="A1067" s="4" t="s">
        <v>2151</v>
      </c>
      <c r="B1067" s="4" t="s">
        <v>2152</v>
      </c>
      <c r="C1067" s="4" t="s">
        <v>21</v>
      </c>
      <c r="D1067" s="5">
        <v>45826</v>
      </c>
      <c r="E1067" s="5">
        <v>45827</v>
      </c>
      <c r="F1067" s="5">
        <v>45832</v>
      </c>
      <c r="G1067" s="4" t="s">
        <v>18</v>
      </c>
      <c r="H1067" s="4">
        <v>46</v>
      </c>
      <c r="I1067" s="2">
        <v>51</v>
      </c>
      <c r="J1067">
        <f t="shared" si="80"/>
        <v>6</v>
      </c>
      <c r="K1067">
        <f t="shared" si="81"/>
        <v>5</v>
      </c>
      <c r="L1067" t="str">
        <f t="shared" si="82"/>
        <v>No</v>
      </c>
      <c r="M1067" t="str">
        <f t="shared" si="84"/>
        <v>No</v>
      </c>
      <c r="N1067" t="str">
        <f t="shared" si="83"/>
        <v>No</v>
      </c>
    </row>
    <row r="1068" spans="1:14" x14ac:dyDescent="0.3">
      <c r="A1068" s="2" t="s">
        <v>2153</v>
      </c>
      <c r="B1068" s="2" t="s">
        <v>2154</v>
      </c>
      <c r="C1068" s="2" t="s">
        <v>27</v>
      </c>
      <c r="D1068" s="3">
        <v>45825</v>
      </c>
      <c r="E1068" s="3">
        <v>45827</v>
      </c>
      <c r="F1068" s="3">
        <v>45842</v>
      </c>
      <c r="G1068" s="2" t="s">
        <v>11</v>
      </c>
      <c r="H1068" s="2">
        <v>4</v>
      </c>
      <c r="I1068" s="2">
        <v>4</v>
      </c>
      <c r="J1068">
        <f t="shared" si="80"/>
        <v>17</v>
      </c>
      <c r="K1068">
        <f t="shared" si="81"/>
        <v>15</v>
      </c>
      <c r="L1068" t="str">
        <f t="shared" si="82"/>
        <v>No</v>
      </c>
      <c r="M1068" t="str">
        <f t="shared" si="84"/>
        <v>Yes</v>
      </c>
      <c r="N1068" t="str">
        <f t="shared" si="83"/>
        <v>No</v>
      </c>
    </row>
    <row r="1069" spans="1:14" x14ac:dyDescent="0.3">
      <c r="A1069" s="4" t="s">
        <v>2155</v>
      </c>
      <c r="B1069" s="4" t="s">
        <v>2156</v>
      </c>
      <c r="C1069" s="4" t="s">
        <v>37</v>
      </c>
      <c r="D1069" s="5">
        <v>45827</v>
      </c>
      <c r="E1069" s="5">
        <v>45834</v>
      </c>
      <c r="F1069" s="5">
        <v>45840</v>
      </c>
      <c r="G1069" s="4" t="s">
        <v>11</v>
      </c>
      <c r="H1069" s="4">
        <v>22</v>
      </c>
      <c r="I1069" s="2">
        <v>22</v>
      </c>
      <c r="J1069">
        <f t="shared" si="80"/>
        <v>13</v>
      </c>
      <c r="K1069">
        <f t="shared" si="81"/>
        <v>6</v>
      </c>
      <c r="L1069" t="str">
        <f t="shared" si="82"/>
        <v>No</v>
      </c>
      <c r="M1069" t="str">
        <f t="shared" si="84"/>
        <v>Yes</v>
      </c>
      <c r="N1069" t="str">
        <f t="shared" si="83"/>
        <v>No</v>
      </c>
    </row>
    <row r="1070" spans="1:14" x14ac:dyDescent="0.3">
      <c r="A1070" s="2" t="s">
        <v>2157</v>
      </c>
      <c r="B1070" s="2" t="s">
        <v>2158</v>
      </c>
      <c r="C1070" s="2" t="s">
        <v>34</v>
      </c>
      <c r="D1070" s="3">
        <v>45825</v>
      </c>
      <c r="E1070" s="3">
        <v>45830</v>
      </c>
      <c r="F1070" s="3">
        <v>45836</v>
      </c>
      <c r="G1070" s="2" t="s">
        <v>15</v>
      </c>
      <c r="H1070" s="2">
        <v>18</v>
      </c>
      <c r="I1070" s="2">
        <v>18</v>
      </c>
      <c r="J1070">
        <f t="shared" si="80"/>
        <v>11</v>
      </c>
      <c r="K1070">
        <f t="shared" si="81"/>
        <v>6</v>
      </c>
      <c r="L1070" t="str">
        <f t="shared" si="82"/>
        <v>No</v>
      </c>
      <c r="M1070" t="str">
        <f t="shared" si="84"/>
        <v>Yes</v>
      </c>
      <c r="N1070" t="str">
        <f t="shared" si="83"/>
        <v>No</v>
      </c>
    </row>
    <row r="1071" spans="1:14" x14ac:dyDescent="0.3">
      <c r="A1071" s="4" t="s">
        <v>2159</v>
      </c>
      <c r="B1071" s="4" t="s">
        <v>2160</v>
      </c>
      <c r="C1071" s="4" t="s">
        <v>72</v>
      </c>
      <c r="D1071" s="5">
        <v>45825</v>
      </c>
      <c r="E1071" s="5">
        <v>45833</v>
      </c>
      <c r="F1071" s="5">
        <v>45838</v>
      </c>
      <c r="G1071" s="4" t="s">
        <v>15</v>
      </c>
      <c r="H1071" s="4">
        <v>13</v>
      </c>
      <c r="I1071" s="2">
        <v>13</v>
      </c>
      <c r="J1071">
        <f t="shared" si="80"/>
        <v>13</v>
      </c>
      <c r="K1071">
        <f t="shared" si="81"/>
        <v>5</v>
      </c>
      <c r="L1071" t="str">
        <f t="shared" si="82"/>
        <v>No</v>
      </c>
      <c r="M1071" t="str">
        <f t="shared" si="84"/>
        <v>Yes</v>
      </c>
      <c r="N1071" t="str">
        <f t="shared" si="83"/>
        <v>No</v>
      </c>
    </row>
    <row r="1072" spans="1:14" x14ac:dyDescent="0.3">
      <c r="A1072" s="2" t="s">
        <v>2161</v>
      </c>
      <c r="B1072" s="2" t="s">
        <v>2162</v>
      </c>
      <c r="C1072" s="2" t="s">
        <v>59</v>
      </c>
      <c r="D1072" s="3">
        <v>45825</v>
      </c>
      <c r="E1072" s="3">
        <v>45830</v>
      </c>
      <c r="F1072" s="3">
        <v>45833</v>
      </c>
      <c r="G1072" s="2" t="s">
        <v>11</v>
      </c>
      <c r="H1072" s="2">
        <v>15</v>
      </c>
      <c r="I1072" s="2">
        <v>15</v>
      </c>
      <c r="J1072">
        <f t="shared" si="80"/>
        <v>8</v>
      </c>
      <c r="K1072">
        <f t="shared" si="81"/>
        <v>3</v>
      </c>
      <c r="L1072" t="str">
        <f t="shared" si="82"/>
        <v>No</v>
      </c>
      <c r="M1072" t="str">
        <f t="shared" si="84"/>
        <v>Yes</v>
      </c>
      <c r="N1072" t="str">
        <f t="shared" si="83"/>
        <v>No</v>
      </c>
    </row>
    <row r="1073" spans="1:14" x14ac:dyDescent="0.3">
      <c r="A1073" s="4" t="s">
        <v>2163</v>
      </c>
      <c r="B1073" s="4" t="s">
        <v>2164</v>
      </c>
      <c r="C1073" s="4" t="s">
        <v>21</v>
      </c>
      <c r="D1073" s="5">
        <v>45825</v>
      </c>
      <c r="E1073" s="5">
        <v>45832</v>
      </c>
      <c r="F1073" s="5">
        <v>45831</v>
      </c>
      <c r="G1073" s="4" t="s">
        <v>18</v>
      </c>
      <c r="H1073" s="4">
        <v>41</v>
      </c>
      <c r="I1073" s="2">
        <v>41</v>
      </c>
      <c r="J1073">
        <f t="shared" si="80"/>
        <v>6</v>
      </c>
      <c r="K1073">
        <f t="shared" si="81"/>
        <v>-1</v>
      </c>
      <c r="L1073" t="str">
        <f t="shared" si="82"/>
        <v>Yes</v>
      </c>
      <c r="M1073" t="str">
        <f t="shared" si="84"/>
        <v>Yes</v>
      </c>
      <c r="N1073" t="str">
        <f t="shared" si="83"/>
        <v>Yes</v>
      </c>
    </row>
    <row r="1074" spans="1:14" x14ac:dyDescent="0.3">
      <c r="A1074" s="2" t="s">
        <v>2165</v>
      </c>
      <c r="B1074" s="2" t="s">
        <v>2166</v>
      </c>
      <c r="C1074" s="2" t="s">
        <v>21</v>
      </c>
      <c r="D1074" s="3">
        <v>45827</v>
      </c>
      <c r="E1074" s="3">
        <v>45835</v>
      </c>
      <c r="F1074" s="3">
        <v>45833</v>
      </c>
      <c r="G1074" s="2" t="s">
        <v>15</v>
      </c>
      <c r="H1074" s="2">
        <v>33</v>
      </c>
      <c r="I1074" s="2">
        <v>33</v>
      </c>
      <c r="J1074">
        <f t="shared" si="80"/>
        <v>6</v>
      </c>
      <c r="K1074">
        <f t="shared" si="81"/>
        <v>-2</v>
      </c>
      <c r="L1074" t="str">
        <f t="shared" si="82"/>
        <v>Yes</v>
      </c>
      <c r="M1074" t="str">
        <f t="shared" si="84"/>
        <v>Yes</v>
      </c>
      <c r="N1074" t="str">
        <f t="shared" si="83"/>
        <v>Yes</v>
      </c>
    </row>
    <row r="1075" spans="1:14" x14ac:dyDescent="0.3">
      <c r="A1075" s="4" t="s">
        <v>2167</v>
      </c>
      <c r="B1075" s="4" t="s">
        <v>2168</v>
      </c>
      <c r="C1075" s="4" t="s">
        <v>34</v>
      </c>
      <c r="D1075" s="5">
        <v>45828</v>
      </c>
      <c r="E1075" s="5">
        <v>45832</v>
      </c>
      <c r="F1075" s="5">
        <v>45837</v>
      </c>
      <c r="G1075" s="4" t="s">
        <v>18</v>
      </c>
      <c r="H1075" s="4">
        <v>49</v>
      </c>
      <c r="I1075" s="2">
        <v>49</v>
      </c>
      <c r="J1075">
        <f t="shared" si="80"/>
        <v>9</v>
      </c>
      <c r="K1075">
        <f t="shared" si="81"/>
        <v>5</v>
      </c>
      <c r="L1075" t="str">
        <f t="shared" si="82"/>
        <v>No</v>
      </c>
      <c r="M1075" t="str">
        <f t="shared" si="84"/>
        <v>Yes</v>
      </c>
      <c r="N1075" t="str">
        <f t="shared" si="83"/>
        <v>No</v>
      </c>
    </row>
    <row r="1076" spans="1:14" x14ac:dyDescent="0.3">
      <c r="A1076" s="2" t="s">
        <v>2169</v>
      </c>
      <c r="B1076" s="2" t="s">
        <v>2170</v>
      </c>
      <c r="C1076" s="2" t="s">
        <v>37</v>
      </c>
      <c r="D1076" s="3">
        <v>45828</v>
      </c>
      <c r="E1076" s="3">
        <v>45836</v>
      </c>
      <c r="F1076" s="3">
        <v>45841</v>
      </c>
      <c r="G1076" s="2" t="s">
        <v>11</v>
      </c>
      <c r="H1076" s="2">
        <v>22</v>
      </c>
      <c r="I1076" s="2">
        <v>22</v>
      </c>
      <c r="J1076">
        <f t="shared" si="80"/>
        <v>13</v>
      </c>
      <c r="K1076">
        <f t="shared" si="81"/>
        <v>5</v>
      </c>
      <c r="L1076" t="str">
        <f t="shared" si="82"/>
        <v>No</v>
      </c>
      <c r="M1076" t="str">
        <f t="shared" si="84"/>
        <v>Yes</v>
      </c>
      <c r="N1076" t="str">
        <f t="shared" si="83"/>
        <v>No</v>
      </c>
    </row>
    <row r="1077" spans="1:14" x14ac:dyDescent="0.3">
      <c r="A1077" s="4" t="s">
        <v>2171</v>
      </c>
      <c r="B1077" s="4" t="s">
        <v>2172</v>
      </c>
      <c r="C1077" s="4" t="s">
        <v>72</v>
      </c>
      <c r="D1077" s="5">
        <v>45827</v>
      </c>
      <c r="E1077" s="5">
        <v>45834</v>
      </c>
      <c r="F1077" s="5">
        <v>45840</v>
      </c>
      <c r="G1077" s="4" t="s">
        <v>22</v>
      </c>
      <c r="H1077" s="4">
        <v>29</v>
      </c>
      <c r="I1077" s="2">
        <v>29</v>
      </c>
      <c r="J1077">
        <f t="shared" si="80"/>
        <v>13</v>
      </c>
      <c r="K1077">
        <f t="shared" si="81"/>
        <v>6</v>
      </c>
      <c r="L1077" t="str">
        <f t="shared" si="82"/>
        <v>No</v>
      </c>
      <c r="M1077" t="str">
        <f t="shared" si="84"/>
        <v>Yes</v>
      </c>
      <c r="N1077" t="str">
        <f t="shared" si="83"/>
        <v>No</v>
      </c>
    </row>
    <row r="1078" spans="1:14" x14ac:dyDescent="0.3">
      <c r="A1078" s="2" t="s">
        <v>2173</v>
      </c>
      <c r="B1078" s="2" t="s">
        <v>2174</v>
      </c>
      <c r="C1078" s="2" t="s">
        <v>59</v>
      </c>
      <c r="D1078" s="3">
        <v>45828</v>
      </c>
      <c r="E1078" s="3">
        <v>45834</v>
      </c>
      <c r="F1078" s="3">
        <v>45831</v>
      </c>
      <c r="G1078" s="2" t="s">
        <v>18</v>
      </c>
      <c r="H1078" s="2">
        <v>13</v>
      </c>
      <c r="I1078" s="2">
        <v>13</v>
      </c>
      <c r="J1078">
        <f t="shared" si="80"/>
        <v>3</v>
      </c>
      <c r="K1078">
        <f t="shared" si="81"/>
        <v>-3</v>
      </c>
      <c r="L1078" t="str">
        <f t="shared" si="82"/>
        <v>Yes</v>
      </c>
      <c r="M1078" t="str">
        <f t="shared" si="84"/>
        <v>Yes</v>
      </c>
      <c r="N1078" t="str">
        <f t="shared" si="83"/>
        <v>Yes</v>
      </c>
    </row>
    <row r="1079" spans="1:14" x14ac:dyDescent="0.3">
      <c r="A1079" s="4" t="s">
        <v>2175</v>
      </c>
      <c r="B1079" s="4" t="s">
        <v>2176</v>
      </c>
      <c r="C1079" s="4" t="s">
        <v>59</v>
      </c>
      <c r="D1079" s="5">
        <v>45827</v>
      </c>
      <c r="E1079" s="5">
        <v>45831</v>
      </c>
      <c r="F1079" s="5">
        <v>45831</v>
      </c>
      <c r="G1079" s="4" t="s">
        <v>15</v>
      </c>
      <c r="H1079" s="4">
        <v>15</v>
      </c>
      <c r="I1079" s="2">
        <v>15</v>
      </c>
      <c r="J1079">
        <f t="shared" si="80"/>
        <v>4</v>
      </c>
      <c r="K1079">
        <f t="shared" si="81"/>
        <v>0</v>
      </c>
      <c r="L1079" t="str">
        <f t="shared" si="82"/>
        <v>Yes</v>
      </c>
      <c r="M1079" t="str">
        <f t="shared" si="84"/>
        <v>Yes</v>
      </c>
      <c r="N1079" t="str">
        <f t="shared" si="83"/>
        <v>Yes</v>
      </c>
    </row>
    <row r="1080" spans="1:14" x14ac:dyDescent="0.3">
      <c r="A1080" s="2" t="s">
        <v>2177</v>
      </c>
      <c r="B1080" s="2" t="s">
        <v>2178</v>
      </c>
      <c r="C1080" s="2" t="s">
        <v>21</v>
      </c>
      <c r="D1080" s="3">
        <v>45826</v>
      </c>
      <c r="E1080" s="3">
        <v>45831</v>
      </c>
      <c r="F1080" s="3">
        <v>45833</v>
      </c>
      <c r="G1080" s="2" t="s">
        <v>11</v>
      </c>
      <c r="H1080" s="2">
        <v>24</v>
      </c>
      <c r="I1080" s="2">
        <v>27</v>
      </c>
      <c r="J1080">
        <f t="shared" si="80"/>
        <v>7</v>
      </c>
      <c r="K1080">
        <f t="shared" si="81"/>
        <v>2</v>
      </c>
      <c r="L1080" t="str">
        <f t="shared" si="82"/>
        <v>No</v>
      </c>
      <c r="M1080" t="str">
        <f t="shared" si="84"/>
        <v>No</v>
      </c>
      <c r="N1080" t="str">
        <f t="shared" si="83"/>
        <v>No</v>
      </c>
    </row>
    <row r="1081" spans="1:14" x14ac:dyDescent="0.3">
      <c r="A1081" s="4" t="s">
        <v>2179</v>
      </c>
      <c r="B1081" s="4" t="s">
        <v>2180</v>
      </c>
      <c r="C1081" s="4" t="s">
        <v>27</v>
      </c>
      <c r="D1081" s="5">
        <v>45826</v>
      </c>
      <c r="E1081" s="5">
        <v>45836</v>
      </c>
      <c r="F1081" s="5">
        <v>45838</v>
      </c>
      <c r="G1081" s="4" t="s">
        <v>22</v>
      </c>
      <c r="H1081" s="4">
        <v>26</v>
      </c>
      <c r="I1081" s="2">
        <v>26</v>
      </c>
      <c r="J1081">
        <f t="shared" si="80"/>
        <v>12</v>
      </c>
      <c r="K1081">
        <f t="shared" si="81"/>
        <v>2</v>
      </c>
      <c r="L1081" t="str">
        <f t="shared" si="82"/>
        <v>No</v>
      </c>
      <c r="M1081" t="str">
        <f t="shared" si="84"/>
        <v>Yes</v>
      </c>
      <c r="N1081" t="str">
        <f t="shared" si="83"/>
        <v>No</v>
      </c>
    </row>
    <row r="1082" spans="1:14" x14ac:dyDescent="0.3">
      <c r="A1082" s="2" t="s">
        <v>2181</v>
      </c>
      <c r="B1082" s="2" t="s">
        <v>2182</v>
      </c>
      <c r="C1082" s="2" t="s">
        <v>27</v>
      </c>
      <c r="D1082" s="3">
        <v>45826</v>
      </c>
      <c r="E1082" s="3">
        <v>45835</v>
      </c>
      <c r="F1082" s="3">
        <v>45838</v>
      </c>
      <c r="G1082" s="2" t="s">
        <v>11</v>
      </c>
      <c r="H1082" s="2">
        <v>7</v>
      </c>
      <c r="I1082" s="2">
        <v>7</v>
      </c>
      <c r="J1082">
        <f t="shared" si="80"/>
        <v>12</v>
      </c>
      <c r="K1082">
        <f t="shared" si="81"/>
        <v>3</v>
      </c>
      <c r="L1082" t="str">
        <f t="shared" si="82"/>
        <v>No</v>
      </c>
      <c r="M1082" t="str">
        <f t="shared" si="84"/>
        <v>Yes</v>
      </c>
      <c r="N1082" t="str">
        <f t="shared" si="83"/>
        <v>No</v>
      </c>
    </row>
    <row r="1083" spans="1:14" x14ac:dyDescent="0.3">
      <c r="A1083" s="4" t="s">
        <v>2183</v>
      </c>
      <c r="B1083" s="4" t="s">
        <v>2184</v>
      </c>
      <c r="C1083" s="4" t="s">
        <v>34</v>
      </c>
      <c r="D1083" s="5">
        <v>45828</v>
      </c>
      <c r="E1083" s="5">
        <v>45831</v>
      </c>
      <c r="F1083" s="5">
        <v>45835</v>
      </c>
      <c r="G1083" s="4" t="s">
        <v>22</v>
      </c>
      <c r="H1083" s="4">
        <v>4</v>
      </c>
      <c r="I1083" s="2">
        <v>9</v>
      </c>
      <c r="J1083">
        <f t="shared" si="80"/>
        <v>7</v>
      </c>
      <c r="K1083">
        <f t="shared" si="81"/>
        <v>4</v>
      </c>
      <c r="L1083" t="str">
        <f t="shared" si="82"/>
        <v>No</v>
      </c>
      <c r="M1083" t="str">
        <f t="shared" si="84"/>
        <v>No</v>
      </c>
      <c r="N1083" t="str">
        <f t="shared" si="83"/>
        <v>No</v>
      </c>
    </row>
    <row r="1084" spans="1:14" x14ac:dyDescent="0.3">
      <c r="A1084" s="2" t="s">
        <v>2185</v>
      </c>
      <c r="B1084" s="2" t="s">
        <v>2186</v>
      </c>
      <c r="C1084" s="2" t="s">
        <v>10</v>
      </c>
      <c r="D1084" s="3">
        <v>45827</v>
      </c>
      <c r="E1084" s="3">
        <v>45837</v>
      </c>
      <c r="F1084" s="3">
        <v>45834</v>
      </c>
      <c r="G1084" s="2" t="s">
        <v>18</v>
      </c>
      <c r="H1084" s="2">
        <v>20</v>
      </c>
      <c r="I1084" s="2">
        <v>20</v>
      </c>
      <c r="J1084">
        <f t="shared" si="80"/>
        <v>7</v>
      </c>
      <c r="K1084">
        <f t="shared" si="81"/>
        <v>-3</v>
      </c>
      <c r="L1084" t="str">
        <f t="shared" si="82"/>
        <v>Yes</v>
      </c>
      <c r="M1084" t="str">
        <f t="shared" si="84"/>
        <v>Yes</v>
      </c>
      <c r="N1084" t="str">
        <f t="shared" si="83"/>
        <v>Yes</v>
      </c>
    </row>
    <row r="1085" spans="1:14" x14ac:dyDescent="0.3">
      <c r="A1085" s="4" t="s">
        <v>2187</v>
      </c>
      <c r="B1085" s="4" t="s">
        <v>2188</v>
      </c>
      <c r="C1085" s="4" t="s">
        <v>14</v>
      </c>
      <c r="D1085" s="5">
        <v>45827</v>
      </c>
      <c r="E1085" s="5">
        <v>45830</v>
      </c>
      <c r="F1085" s="5">
        <v>45843</v>
      </c>
      <c r="G1085" s="4" t="s">
        <v>11</v>
      </c>
      <c r="H1085" s="4">
        <v>12</v>
      </c>
      <c r="I1085" s="2">
        <v>12</v>
      </c>
      <c r="J1085">
        <f t="shared" si="80"/>
        <v>16</v>
      </c>
      <c r="K1085">
        <f t="shared" si="81"/>
        <v>13</v>
      </c>
      <c r="L1085" t="str">
        <f t="shared" si="82"/>
        <v>No</v>
      </c>
      <c r="M1085" t="str">
        <f t="shared" si="84"/>
        <v>Yes</v>
      </c>
      <c r="N1085" t="str">
        <f t="shared" si="83"/>
        <v>No</v>
      </c>
    </row>
    <row r="1086" spans="1:14" x14ac:dyDescent="0.3">
      <c r="A1086" s="2" t="s">
        <v>2189</v>
      </c>
      <c r="B1086" s="2" t="s">
        <v>2190</v>
      </c>
      <c r="C1086" s="2" t="s">
        <v>14</v>
      </c>
      <c r="D1086" s="3">
        <v>45827</v>
      </c>
      <c r="E1086" s="3">
        <v>45836</v>
      </c>
      <c r="F1086" s="3">
        <v>45846</v>
      </c>
      <c r="G1086" s="2" t="s">
        <v>22</v>
      </c>
      <c r="H1086" s="2">
        <v>45</v>
      </c>
      <c r="I1086" s="2">
        <v>45</v>
      </c>
      <c r="J1086">
        <f t="shared" si="80"/>
        <v>19</v>
      </c>
      <c r="K1086">
        <f t="shared" si="81"/>
        <v>10</v>
      </c>
      <c r="L1086" t="str">
        <f t="shared" si="82"/>
        <v>No</v>
      </c>
      <c r="M1086" t="str">
        <f t="shared" si="84"/>
        <v>Yes</v>
      </c>
      <c r="N1086" t="str">
        <f t="shared" si="83"/>
        <v>No</v>
      </c>
    </row>
    <row r="1087" spans="1:14" x14ac:dyDescent="0.3">
      <c r="A1087" s="4" t="s">
        <v>2191</v>
      </c>
      <c r="B1087" s="4" t="s">
        <v>2192</v>
      </c>
      <c r="C1087" s="4" t="s">
        <v>59</v>
      </c>
      <c r="D1087" s="5">
        <v>45829</v>
      </c>
      <c r="E1087" s="5">
        <v>45833</v>
      </c>
      <c r="F1087" s="5">
        <v>45833</v>
      </c>
      <c r="G1087" s="4" t="s">
        <v>11</v>
      </c>
      <c r="H1087" s="4">
        <v>20</v>
      </c>
      <c r="I1087" s="2">
        <v>20</v>
      </c>
      <c r="J1087">
        <f t="shared" si="80"/>
        <v>4</v>
      </c>
      <c r="K1087">
        <f t="shared" si="81"/>
        <v>0</v>
      </c>
      <c r="L1087" t="str">
        <f t="shared" si="82"/>
        <v>Yes</v>
      </c>
      <c r="M1087" t="str">
        <f t="shared" si="84"/>
        <v>Yes</v>
      </c>
      <c r="N1087" t="str">
        <f t="shared" si="83"/>
        <v>Yes</v>
      </c>
    </row>
    <row r="1088" spans="1:14" x14ac:dyDescent="0.3">
      <c r="A1088" s="2" t="s">
        <v>2193</v>
      </c>
      <c r="B1088" s="2" t="s">
        <v>2194</v>
      </c>
      <c r="C1088" s="2" t="s">
        <v>21</v>
      </c>
      <c r="D1088" s="3">
        <v>45829</v>
      </c>
      <c r="E1088" s="3">
        <v>45836</v>
      </c>
      <c r="F1088" s="3">
        <v>45835</v>
      </c>
      <c r="G1088" s="2" t="s">
        <v>18</v>
      </c>
      <c r="H1088" s="2">
        <v>38</v>
      </c>
      <c r="I1088" s="2">
        <v>43</v>
      </c>
      <c r="J1088">
        <f t="shared" si="80"/>
        <v>6</v>
      </c>
      <c r="K1088">
        <f t="shared" si="81"/>
        <v>-1</v>
      </c>
      <c r="L1088" t="str">
        <f t="shared" si="82"/>
        <v>Yes</v>
      </c>
      <c r="M1088" t="str">
        <f t="shared" si="84"/>
        <v>No</v>
      </c>
      <c r="N1088" t="str">
        <f t="shared" si="83"/>
        <v>No</v>
      </c>
    </row>
    <row r="1089" spans="1:14" x14ac:dyDescent="0.3">
      <c r="A1089" s="4" t="s">
        <v>2195</v>
      </c>
      <c r="B1089" s="4" t="s">
        <v>2196</v>
      </c>
      <c r="C1089" s="4" t="s">
        <v>21</v>
      </c>
      <c r="D1089" s="5">
        <v>45827</v>
      </c>
      <c r="E1089" s="5">
        <v>45837</v>
      </c>
      <c r="F1089" s="5">
        <v>45834</v>
      </c>
      <c r="G1089" s="4" t="s">
        <v>18</v>
      </c>
      <c r="H1089" s="4">
        <v>32</v>
      </c>
      <c r="I1089" s="2">
        <v>32</v>
      </c>
      <c r="J1089">
        <f t="shared" si="80"/>
        <v>7</v>
      </c>
      <c r="K1089">
        <f t="shared" si="81"/>
        <v>-3</v>
      </c>
      <c r="L1089" t="str">
        <f t="shared" si="82"/>
        <v>Yes</v>
      </c>
      <c r="M1089" t="str">
        <f t="shared" si="84"/>
        <v>Yes</v>
      </c>
      <c r="N1089" t="str">
        <f t="shared" si="83"/>
        <v>Yes</v>
      </c>
    </row>
    <row r="1090" spans="1:14" x14ac:dyDescent="0.3">
      <c r="A1090" s="2" t="s">
        <v>2197</v>
      </c>
      <c r="B1090" s="2" t="s">
        <v>2198</v>
      </c>
      <c r="C1090" s="2" t="s">
        <v>27</v>
      </c>
      <c r="D1090" s="3">
        <v>45827</v>
      </c>
      <c r="E1090" s="3">
        <v>45833</v>
      </c>
      <c r="F1090" s="3">
        <v>45842</v>
      </c>
      <c r="G1090" s="2" t="s">
        <v>11</v>
      </c>
      <c r="H1090" s="2">
        <v>8</v>
      </c>
      <c r="I1090" s="2">
        <v>8</v>
      </c>
      <c r="J1090">
        <f t="shared" si="80"/>
        <v>15</v>
      </c>
      <c r="K1090">
        <f t="shared" si="81"/>
        <v>9</v>
      </c>
      <c r="L1090" t="str">
        <f t="shared" si="82"/>
        <v>No</v>
      </c>
      <c r="M1090" t="str">
        <f t="shared" si="84"/>
        <v>Yes</v>
      </c>
      <c r="N1090" t="str">
        <f t="shared" si="83"/>
        <v>No</v>
      </c>
    </row>
    <row r="1091" spans="1:14" x14ac:dyDescent="0.3">
      <c r="A1091" s="4" t="s">
        <v>2199</v>
      </c>
      <c r="B1091" s="4" t="s">
        <v>2200</v>
      </c>
      <c r="C1091" s="4" t="s">
        <v>34</v>
      </c>
      <c r="D1091" s="5">
        <v>45828</v>
      </c>
      <c r="E1091" s="5">
        <v>45837</v>
      </c>
      <c r="F1091" s="5">
        <v>45835</v>
      </c>
      <c r="G1091" s="4" t="s">
        <v>15</v>
      </c>
      <c r="H1091" s="4">
        <v>40</v>
      </c>
      <c r="I1091" s="2">
        <v>42</v>
      </c>
      <c r="J1091">
        <f t="shared" ref="J1091:J1154" si="85">F1091-D1091</f>
        <v>7</v>
      </c>
      <c r="K1091">
        <f t="shared" ref="K1091:K1154" si="86">F1091-E1091</f>
        <v>-2</v>
      </c>
      <c r="L1091" t="str">
        <f t="shared" ref="L1091:L1154" si="87">IF(K1091&lt;=0,"Yes","No")</f>
        <v>Yes</v>
      </c>
      <c r="M1091" t="str">
        <f t="shared" si="84"/>
        <v>No</v>
      </c>
      <c r="N1091" t="str">
        <f t="shared" ref="N1091:N1154" si="88">IF(AND(L1091="Yes",M1091="Yes"),"Yes","No")</f>
        <v>No</v>
      </c>
    </row>
    <row r="1092" spans="1:14" x14ac:dyDescent="0.3">
      <c r="A1092" s="2" t="s">
        <v>2201</v>
      </c>
      <c r="B1092" s="2" t="s">
        <v>2202</v>
      </c>
      <c r="C1092" s="2" t="s">
        <v>72</v>
      </c>
      <c r="D1092" s="3">
        <v>45828</v>
      </c>
      <c r="E1092" s="3">
        <v>45836</v>
      </c>
      <c r="F1092" s="3">
        <v>45842</v>
      </c>
      <c r="G1092" s="2" t="s">
        <v>11</v>
      </c>
      <c r="H1092" s="2">
        <v>12</v>
      </c>
      <c r="I1092" s="2">
        <v>12</v>
      </c>
      <c r="J1092">
        <f t="shared" si="85"/>
        <v>14</v>
      </c>
      <c r="K1092">
        <f t="shared" si="86"/>
        <v>6</v>
      </c>
      <c r="L1092" t="str">
        <f t="shared" si="87"/>
        <v>No</v>
      </c>
      <c r="M1092" t="str">
        <f t="shared" ref="M1092:M1155" si="89">IF(H1092=I1092,"Yes","No")</f>
        <v>Yes</v>
      </c>
      <c r="N1092" t="str">
        <f t="shared" si="88"/>
        <v>No</v>
      </c>
    </row>
    <row r="1093" spans="1:14" x14ac:dyDescent="0.3">
      <c r="A1093" s="4" t="s">
        <v>2203</v>
      </c>
      <c r="B1093" s="4" t="s">
        <v>2204</v>
      </c>
      <c r="C1093" s="4" t="s">
        <v>21</v>
      </c>
      <c r="D1093" s="5">
        <v>45828</v>
      </c>
      <c r="E1093" s="5">
        <v>45838</v>
      </c>
      <c r="F1093" s="5">
        <v>45834</v>
      </c>
      <c r="G1093" s="4" t="s">
        <v>22</v>
      </c>
      <c r="H1093" s="4">
        <v>39</v>
      </c>
      <c r="I1093" s="2">
        <v>40</v>
      </c>
      <c r="J1093">
        <f t="shared" si="85"/>
        <v>6</v>
      </c>
      <c r="K1093">
        <f t="shared" si="86"/>
        <v>-4</v>
      </c>
      <c r="L1093" t="str">
        <f t="shared" si="87"/>
        <v>Yes</v>
      </c>
      <c r="M1093" t="str">
        <f t="shared" si="89"/>
        <v>No</v>
      </c>
      <c r="N1093" t="str">
        <f t="shared" si="88"/>
        <v>No</v>
      </c>
    </row>
    <row r="1094" spans="1:14" x14ac:dyDescent="0.3">
      <c r="A1094" s="2" t="s">
        <v>2205</v>
      </c>
      <c r="B1094" s="2" t="s">
        <v>2206</v>
      </c>
      <c r="C1094" s="2" t="s">
        <v>27</v>
      </c>
      <c r="D1094" s="3">
        <v>45829</v>
      </c>
      <c r="E1094" s="3">
        <v>45834</v>
      </c>
      <c r="F1094" s="3">
        <v>45842</v>
      </c>
      <c r="G1094" s="2" t="s">
        <v>22</v>
      </c>
      <c r="H1094" s="2">
        <v>39</v>
      </c>
      <c r="I1094" s="2">
        <v>39</v>
      </c>
      <c r="J1094">
        <f t="shared" si="85"/>
        <v>13</v>
      </c>
      <c r="K1094">
        <f t="shared" si="86"/>
        <v>8</v>
      </c>
      <c r="L1094" t="str">
        <f t="shared" si="87"/>
        <v>No</v>
      </c>
      <c r="M1094" t="str">
        <f t="shared" si="89"/>
        <v>Yes</v>
      </c>
      <c r="N1094" t="str">
        <f t="shared" si="88"/>
        <v>No</v>
      </c>
    </row>
    <row r="1095" spans="1:14" x14ac:dyDescent="0.3">
      <c r="A1095" s="4" t="s">
        <v>2207</v>
      </c>
      <c r="B1095" s="4" t="s">
        <v>2208</v>
      </c>
      <c r="C1095" s="4" t="s">
        <v>27</v>
      </c>
      <c r="D1095" s="5">
        <v>45828</v>
      </c>
      <c r="E1095" s="5">
        <v>45831</v>
      </c>
      <c r="F1095" s="5">
        <v>45840</v>
      </c>
      <c r="G1095" s="4" t="s">
        <v>40</v>
      </c>
      <c r="H1095" s="4">
        <v>9</v>
      </c>
      <c r="I1095" s="2">
        <v>9</v>
      </c>
      <c r="J1095">
        <f t="shared" si="85"/>
        <v>12</v>
      </c>
      <c r="K1095">
        <f t="shared" si="86"/>
        <v>9</v>
      </c>
      <c r="L1095" t="str">
        <f t="shared" si="87"/>
        <v>No</v>
      </c>
      <c r="M1095" t="str">
        <f t="shared" si="89"/>
        <v>Yes</v>
      </c>
      <c r="N1095" t="str">
        <f t="shared" si="88"/>
        <v>No</v>
      </c>
    </row>
    <row r="1096" spans="1:14" x14ac:dyDescent="0.3">
      <c r="A1096" s="2" t="s">
        <v>2209</v>
      </c>
      <c r="B1096" s="2" t="s">
        <v>2210</v>
      </c>
      <c r="C1096" s="2" t="s">
        <v>34</v>
      </c>
      <c r="D1096" s="3">
        <v>45830</v>
      </c>
      <c r="E1096" s="3">
        <v>45836</v>
      </c>
      <c r="F1096" s="3">
        <v>45839</v>
      </c>
      <c r="G1096" s="2" t="s">
        <v>22</v>
      </c>
      <c r="H1096" s="2">
        <v>16</v>
      </c>
      <c r="I1096" s="2">
        <v>16</v>
      </c>
      <c r="J1096">
        <f t="shared" si="85"/>
        <v>9</v>
      </c>
      <c r="K1096">
        <f t="shared" si="86"/>
        <v>3</v>
      </c>
      <c r="L1096" t="str">
        <f t="shared" si="87"/>
        <v>No</v>
      </c>
      <c r="M1096" t="str">
        <f t="shared" si="89"/>
        <v>Yes</v>
      </c>
      <c r="N1096" t="str">
        <f t="shared" si="88"/>
        <v>No</v>
      </c>
    </row>
    <row r="1097" spans="1:14" x14ac:dyDescent="0.3">
      <c r="A1097" s="4" t="s">
        <v>2211</v>
      </c>
      <c r="B1097" s="4" t="s">
        <v>2212</v>
      </c>
      <c r="C1097" s="4" t="s">
        <v>10</v>
      </c>
      <c r="D1097" s="5">
        <v>45829</v>
      </c>
      <c r="E1097" s="5">
        <v>45839</v>
      </c>
      <c r="F1097" s="5">
        <v>45833</v>
      </c>
      <c r="G1097" s="4" t="s">
        <v>40</v>
      </c>
      <c r="H1097" s="4">
        <v>15</v>
      </c>
      <c r="I1097" s="2">
        <v>15</v>
      </c>
      <c r="J1097">
        <f t="shared" si="85"/>
        <v>4</v>
      </c>
      <c r="K1097">
        <f t="shared" si="86"/>
        <v>-6</v>
      </c>
      <c r="L1097" t="str">
        <f t="shared" si="87"/>
        <v>Yes</v>
      </c>
      <c r="M1097" t="str">
        <f t="shared" si="89"/>
        <v>Yes</v>
      </c>
      <c r="N1097" t="str">
        <f t="shared" si="88"/>
        <v>Yes</v>
      </c>
    </row>
    <row r="1098" spans="1:14" x14ac:dyDescent="0.3">
      <c r="A1098" s="2" t="s">
        <v>2213</v>
      </c>
      <c r="B1098" s="2" t="s">
        <v>2214</v>
      </c>
      <c r="C1098" s="2" t="s">
        <v>14</v>
      </c>
      <c r="D1098" s="3">
        <v>45830</v>
      </c>
      <c r="E1098" s="3">
        <v>45837</v>
      </c>
      <c r="F1098" s="3">
        <v>45847</v>
      </c>
      <c r="G1098" s="2" t="s">
        <v>40</v>
      </c>
      <c r="H1098" s="2">
        <v>15</v>
      </c>
      <c r="I1098" s="2">
        <v>21</v>
      </c>
      <c r="J1098">
        <f t="shared" si="85"/>
        <v>17</v>
      </c>
      <c r="K1098">
        <f t="shared" si="86"/>
        <v>10</v>
      </c>
      <c r="L1098" t="str">
        <f t="shared" si="87"/>
        <v>No</v>
      </c>
      <c r="M1098" t="str">
        <f t="shared" si="89"/>
        <v>No</v>
      </c>
      <c r="N1098" t="str">
        <f t="shared" si="88"/>
        <v>No</v>
      </c>
    </row>
    <row r="1099" spans="1:14" x14ac:dyDescent="0.3">
      <c r="A1099" s="4" t="s">
        <v>2215</v>
      </c>
      <c r="B1099" s="4" t="s">
        <v>2216</v>
      </c>
      <c r="C1099" s="4" t="s">
        <v>21</v>
      </c>
      <c r="D1099" s="5">
        <v>45831</v>
      </c>
      <c r="E1099" s="5">
        <v>45836</v>
      </c>
      <c r="F1099" s="5">
        <v>45838</v>
      </c>
      <c r="G1099" s="4" t="s">
        <v>15</v>
      </c>
      <c r="H1099" s="4">
        <v>42</v>
      </c>
      <c r="I1099" s="2">
        <v>48</v>
      </c>
      <c r="J1099">
        <f t="shared" si="85"/>
        <v>7</v>
      </c>
      <c r="K1099">
        <f t="shared" si="86"/>
        <v>2</v>
      </c>
      <c r="L1099" t="str">
        <f t="shared" si="87"/>
        <v>No</v>
      </c>
      <c r="M1099" t="str">
        <f t="shared" si="89"/>
        <v>No</v>
      </c>
      <c r="N1099" t="str">
        <f t="shared" si="88"/>
        <v>No</v>
      </c>
    </row>
    <row r="1100" spans="1:14" x14ac:dyDescent="0.3">
      <c r="A1100" s="2" t="s">
        <v>2217</v>
      </c>
      <c r="B1100" s="2" t="s">
        <v>2218</v>
      </c>
      <c r="C1100" s="2" t="s">
        <v>21</v>
      </c>
      <c r="D1100" s="3">
        <v>45831</v>
      </c>
      <c r="E1100" s="3">
        <v>45836</v>
      </c>
      <c r="F1100" s="3">
        <v>45837</v>
      </c>
      <c r="G1100" s="2" t="s">
        <v>15</v>
      </c>
      <c r="H1100" s="2">
        <v>70</v>
      </c>
      <c r="I1100" s="2">
        <v>72</v>
      </c>
      <c r="J1100">
        <f t="shared" si="85"/>
        <v>6</v>
      </c>
      <c r="K1100">
        <f t="shared" si="86"/>
        <v>1</v>
      </c>
      <c r="L1100" t="str">
        <f t="shared" si="87"/>
        <v>No</v>
      </c>
      <c r="M1100" t="str">
        <f t="shared" si="89"/>
        <v>No</v>
      </c>
      <c r="N1100" t="str">
        <f t="shared" si="88"/>
        <v>No</v>
      </c>
    </row>
    <row r="1101" spans="1:14" x14ac:dyDescent="0.3">
      <c r="A1101" s="4" t="s">
        <v>2219</v>
      </c>
      <c r="B1101" s="4" t="s">
        <v>2220</v>
      </c>
      <c r="C1101" s="4" t="s">
        <v>21</v>
      </c>
      <c r="D1101" s="5">
        <v>45829</v>
      </c>
      <c r="E1101" s="5">
        <v>45832</v>
      </c>
      <c r="F1101" s="5">
        <v>45835</v>
      </c>
      <c r="G1101" s="4" t="s">
        <v>18</v>
      </c>
      <c r="H1101" s="4">
        <v>38</v>
      </c>
      <c r="I1101" s="2">
        <v>38</v>
      </c>
      <c r="J1101">
        <f t="shared" si="85"/>
        <v>6</v>
      </c>
      <c r="K1101">
        <f t="shared" si="86"/>
        <v>3</v>
      </c>
      <c r="L1101" t="str">
        <f t="shared" si="87"/>
        <v>No</v>
      </c>
      <c r="M1101" t="str">
        <f t="shared" si="89"/>
        <v>Yes</v>
      </c>
      <c r="N1101" t="str">
        <f t="shared" si="88"/>
        <v>No</v>
      </c>
    </row>
    <row r="1102" spans="1:14" x14ac:dyDescent="0.3">
      <c r="A1102" s="2" t="s">
        <v>2221</v>
      </c>
      <c r="B1102" s="2" t="s">
        <v>2222</v>
      </c>
      <c r="C1102" s="2" t="s">
        <v>27</v>
      </c>
      <c r="D1102" s="3">
        <v>45829</v>
      </c>
      <c r="E1102" s="3">
        <v>45838</v>
      </c>
      <c r="F1102" s="3">
        <v>45846</v>
      </c>
      <c r="G1102" s="2" t="s">
        <v>18</v>
      </c>
      <c r="H1102" s="2">
        <v>30</v>
      </c>
      <c r="I1102" s="2">
        <v>30</v>
      </c>
      <c r="J1102">
        <f t="shared" si="85"/>
        <v>17</v>
      </c>
      <c r="K1102">
        <f t="shared" si="86"/>
        <v>8</v>
      </c>
      <c r="L1102" t="str">
        <f t="shared" si="87"/>
        <v>No</v>
      </c>
      <c r="M1102" t="str">
        <f t="shared" si="89"/>
        <v>Yes</v>
      </c>
      <c r="N1102" t="str">
        <f t="shared" si="88"/>
        <v>No</v>
      </c>
    </row>
    <row r="1103" spans="1:14" x14ac:dyDescent="0.3">
      <c r="A1103" s="4" t="s">
        <v>2223</v>
      </c>
      <c r="B1103" s="4" t="s">
        <v>2224</v>
      </c>
      <c r="C1103" s="4" t="s">
        <v>27</v>
      </c>
      <c r="D1103" s="5">
        <v>45829</v>
      </c>
      <c r="E1103" s="5">
        <v>45837</v>
      </c>
      <c r="F1103" s="5">
        <v>45842</v>
      </c>
      <c r="G1103" s="4" t="s">
        <v>22</v>
      </c>
      <c r="H1103" s="4">
        <v>8</v>
      </c>
      <c r="I1103" s="2">
        <v>8</v>
      </c>
      <c r="J1103">
        <f t="shared" si="85"/>
        <v>13</v>
      </c>
      <c r="K1103">
        <f t="shared" si="86"/>
        <v>5</v>
      </c>
      <c r="L1103" t="str">
        <f t="shared" si="87"/>
        <v>No</v>
      </c>
      <c r="M1103" t="str">
        <f t="shared" si="89"/>
        <v>Yes</v>
      </c>
      <c r="N1103" t="str">
        <f t="shared" si="88"/>
        <v>No</v>
      </c>
    </row>
    <row r="1104" spans="1:14" x14ac:dyDescent="0.3">
      <c r="A1104" s="2" t="s">
        <v>2225</v>
      </c>
      <c r="B1104" s="2" t="s">
        <v>2226</v>
      </c>
      <c r="C1104" s="2" t="s">
        <v>34</v>
      </c>
      <c r="D1104" s="3">
        <v>45830</v>
      </c>
      <c r="E1104" s="3">
        <v>45833</v>
      </c>
      <c r="F1104" s="3">
        <v>45837</v>
      </c>
      <c r="G1104" s="2" t="s">
        <v>18</v>
      </c>
      <c r="H1104" s="2">
        <v>34</v>
      </c>
      <c r="I1104" s="2">
        <v>38</v>
      </c>
      <c r="J1104">
        <f t="shared" si="85"/>
        <v>7</v>
      </c>
      <c r="K1104">
        <f t="shared" si="86"/>
        <v>4</v>
      </c>
      <c r="L1104" t="str">
        <f t="shared" si="87"/>
        <v>No</v>
      </c>
      <c r="M1104" t="str">
        <f t="shared" si="89"/>
        <v>No</v>
      </c>
      <c r="N1104" t="str">
        <f t="shared" si="88"/>
        <v>No</v>
      </c>
    </row>
    <row r="1105" spans="1:14" x14ac:dyDescent="0.3">
      <c r="A1105" s="4" t="s">
        <v>2227</v>
      </c>
      <c r="B1105" s="4" t="s">
        <v>2228</v>
      </c>
      <c r="C1105" s="4" t="s">
        <v>34</v>
      </c>
      <c r="D1105" s="5">
        <v>45832</v>
      </c>
      <c r="E1105" s="5">
        <v>45835</v>
      </c>
      <c r="F1105" s="5">
        <v>45838</v>
      </c>
      <c r="G1105" s="4" t="s">
        <v>15</v>
      </c>
      <c r="H1105" s="4">
        <v>41</v>
      </c>
      <c r="I1105" s="2">
        <v>41</v>
      </c>
      <c r="J1105">
        <f t="shared" si="85"/>
        <v>6</v>
      </c>
      <c r="K1105">
        <f t="shared" si="86"/>
        <v>3</v>
      </c>
      <c r="L1105" t="str">
        <f t="shared" si="87"/>
        <v>No</v>
      </c>
      <c r="M1105" t="str">
        <f t="shared" si="89"/>
        <v>Yes</v>
      </c>
      <c r="N1105" t="str">
        <f t="shared" si="88"/>
        <v>No</v>
      </c>
    </row>
    <row r="1106" spans="1:14" x14ac:dyDescent="0.3">
      <c r="A1106" s="2" t="s">
        <v>2229</v>
      </c>
      <c r="B1106" s="2" t="s">
        <v>2230</v>
      </c>
      <c r="C1106" s="2" t="s">
        <v>10</v>
      </c>
      <c r="D1106" s="3">
        <v>45832</v>
      </c>
      <c r="E1106" s="3">
        <v>45836</v>
      </c>
      <c r="F1106" s="3">
        <v>45837</v>
      </c>
      <c r="G1106" s="2" t="s">
        <v>40</v>
      </c>
      <c r="H1106" s="2">
        <v>8</v>
      </c>
      <c r="I1106" s="2">
        <v>8</v>
      </c>
      <c r="J1106">
        <f t="shared" si="85"/>
        <v>5</v>
      </c>
      <c r="K1106">
        <f t="shared" si="86"/>
        <v>1</v>
      </c>
      <c r="L1106" t="str">
        <f t="shared" si="87"/>
        <v>No</v>
      </c>
      <c r="M1106" t="str">
        <f t="shared" si="89"/>
        <v>Yes</v>
      </c>
      <c r="N1106" t="str">
        <f t="shared" si="88"/>
        <v>No</v>
      </c>
    </row>
    <row r="1107" spans="1:14" x14ac:dyDescent="0.3">
      <c r="A1107" s="4" t="s">
        <v>2231</v>
      </c>
      <c r="B1107" s="4" t="s">
        <v>2232</v>
      </c>
      <c r="C1107" s="4" t="s">
        <v>10</v>
      </c>
      <c r="D1107" s="5">
        <v>45830</v>
      </c>
      <c r="E1107" s="5">
        <v>45839</v>
      </c>
      <c r="F1107" s="5">
        <v>45839</v>
      </c>
      <c r="G1107" s="4" t="s">
        <v>11</v>
      </c>
      <c r="H1107" s="4">
        <v>8</v>
      </c>
      <c r="I1107" s="2">
        <v>8</v>
      </c>
      <c r="J1107">
        <f t="shared" si="85"/>
        <v>9</v>
      </c>
      <c r="K1107">
        <f t="shared" si="86"/>
        <v>0</v>
      </c>
      <c r="L1107" t="str">
        <f t="shared" si="87"/>
        <v>Yes</v>
      </c>
      <c r="M1107" t="str">
        <f t="shared" si="89"/>
        <v>Yes</v>
      </c>
      <c r="N1107" t="str">
        <f t="shared" si="88"/>
        <v>Yes</v>
      </c>
    </row>
    <row r="1108" spans="1:14" x14ac:dyDescent="0.3">
      <c r="A1108" s="2" t="s">
        <v>2233</v>
      </c>
      <c r="B1108" s="2" t="s">
        <v>2234</v>
      </c>
      <c r="C1108" s="2" t="s">
        <v>14</v>
      </c>
      <c r="D1108" s="3">
        <v>45832</v>
      </c>
      <c r="E1108" s="3">
        <v>45840</v>
      </c>
      <c r="F1108" s="3">
        <v>45847</v>
      </c>
      <c r="G1108" s="2" t="s">
        <v>15</v>
      </c>
      <c r="H1108" s="2">
        <v>18</v>
      </c>
      <c r="I1108" s="2">
        <v>18</v>
      </c>
      <c r="J1108">
        <f t="shared" si="85"/>
        <v>15</v>
      </c>
      <c r="K1108">
        <f t="shared" si="86"/>
        <v>7</v>
      </c>
      <c r="L1108" t="str">
        <f t="shared" si="87"/>
        <v>No</v>
      </c>
      <c r="M1108" t="str">
        <f t="shared" si="89"/>
        <v>Yes</v>
      </c>
      <c r="N1108" t="str">
        <f t="shared" si="88"/>
        <v>No</v>
      </c>
    </row>
    <row r="1109" spans="1:14" x14ac:dyDescent="0.3">
      <c r="A1109" s="4" t="s">
        <v>2235</v>
      </c>
      <c r="B1109" s="4" t="s">
        <v>2236</v>
      </c>
      <c r="C1109" s="4" t="s">
        <v>21</v>
      </c>
      <c r="D1109" s="5">
        <v>45832</v>
      </c>
      <c r="E1109" s="5">
        <v>45839</v>
      </c>
      <c r="F1109" s="5">
        <v>45838</v>
      </c>
      <c r="G1109" s="4" t="s">
        <v>22</v>
      </c>
      <c r="H1109" s="4">
        <v>55</v>
      </c>
      <c r="I1109" s="2">
        <v>55</v>
      </c>
      <c r="J1109">
        <f t="shared" si="85"/>
        <v>6</v>
      </c>
      <c r="K1109">
        <f t="shared" si="86"/>
        <v>-1</v>
      </c>
      <c r="L1109" t="str">
        <f t="shared" si="87"/>
        <v>Yes</v>
      </c>
      <c r="M1109" t="str">
        <f t="shared" si="89"/>
        <v>Yes</v>
      </c>
      <c r="N1109" t="str">
        <f t="shared" si="88"/>
        <v>Yes</v>
      </c>
    </row>
    <row r="1110" spans="1:14" x14ac:dyDescent="0.3">
      <c r="A1110" s="2" t="s">
        <v>2237</v>
      </c>
      <c r="B1110" s="2" t="s">
        <v>2238</v>
      </c>
      <c r="C1110" s="2" t="s">
        <v>21</v>
      </c>
      <c r="D1110" s="3">
        <v>45830</v>
      </c>
      <c r="E1110" s="3">
        <v>45839</v>
      </c>
      <c r="F1110" s="3">
        <v>45836</v>
      </c>
      <c r="G1110" s="2" t="s">
        <v>40</v>
      </c>
      <c r="H1110" s="2">
        <v>24</v>
      </c>
      <c r="I1110" s="2">
        <v>24</v>
      </c>
      <c r="J1110">
        <f t="shared" si="85"/>
        <v>6</v>
      </c>
      <c r="K1110">
        <f t="shared" si="86"/>
        <v>-3</v>
      </c>
      <c r="L1110" t="str">
        <f t="shared" si="87"/>
        <v>Yes</v>
      </c>
      <c r="M1110" t="str">
        <f t="shared" si="89"/>
        <v>Yes</v>
      </c>
      <c r="N1110" t="str">
        <f t="shared" si="88"/>
        <v>Yes</v>
      </c>
    </row>
    <row r="1111" spans="1:14" x14ac:dyDescent="0.3">
      <c r="A1111" s="4" t="s">
        <v>2239</v>
      </c>
      <c r="B1111" s="4" t="s">
        <v>2240</v>
      </c>
      <c r="C1111" s="4" t="s">
        <v>21</v>
      </c>
      <c r="D1111" s="5">
        <v>45830</v>
      </c>
      <c r="E1111" s="5">
        <v>45839</v>
      </c>
      <c r="F1111" s="5">
        <v>45836</v>
      </c>
      <c r="G1111" s="4" t="s">
        <v>11</v>
      </c>
      <c r="H1111" s="4">
        <v>15</v>
      </c>
      <c r="I1111" s="2">
        <v>15</v>
      </c>
      <c r="J1111">
        <f t="shared" si="85"/>
        <v>6</v>
      </c>
      <c r="K1111">
        <f t="shared" si="86"/>
        <v>-3</v>
      </c>
      <c r="L1111" t="str">
        <f t="shared" si="87"/>
        <v>Yes</v>
      </c>
      <c r="M1111" t="str">
        <f t="shared" si="89"/>
        <v>Yes</v>
      </c>
      <c r="N1111" t="str">
        <f t="shared" si="88"/>
        <v>Yes</v>
      </c>
    </row>
    <row r="1112" spans="1:14" x14ac:dyDescent="0.3">
      <c r="A1112" s="2" t="s">
        <v>2241</v>
      </c>
      <c r="B1112" s="2" t="s">
        <v>2242</v>
      </c>
      <c r="C1112" s="2" t="s">
        <v>27</v>
      </c>
      <c r="D1112" s="3">
        <v>45830</v>
      </c>
      <c r="E1112" s="3">
        <v>45838</v>
      </c>
      <c r="F1112" s="3">
        <v>45843</v>
      </c>
      <c r="G1112" s="2" t="s">
        <v>22</v>
      </c>
      <c r="H1112" s="2">
        <v>27</v>
      </c>
      <c r="I1112" s="2">
        <v>27</v>
      </c>
      <c r="J1112">
        <f t="shared" si="85"/>
        <v>13</v>
      </c>
      <c r="K1112">
        <f t="shared" si="86"/>
        <v>5</v>
      </c>
      <c r="L1112" t="str">
        <f t="shared" si="87"/>
        <v>No</v>
      </c>
      <c r="M1112" t="str">
        <f t="shared" si="89"/>
        <v>Yes</v>
      </c>
      <c r="N1112" t="str">
        <f t="shared" si="88"/>
        <v>No</v>
      </c>
    </row>
    <row r="1113" spans="1:14" x14ac:dyDescent="0.3">
      <c r="A1113" s="4" t="s">
        <v>2243</v>
      </c>
      <c r="B1113" s="4" t="s">
        <v>2244</v>
      </c>
      <c r="C1113" s="4" t="s">
        <v>27</v>
      </c>
      <c r="D1113" s="5">
        <v>45830</v>
      </c>
      <c r="E1113" s="5">
        <v>45839</v>
      </c>
      <c r="F1113" s="5">
        <v>45843</v>
      </c>
      <c r="G1113" s="4" t="s">
        <v>40</v>
      </c>
      <c r="H1113" s="4">
        <v>6</v>
      </c>
      <c r="I1113" s="2">
        <v>6</v>
      </c>
      <c r="J1113">
        <f t="shared" si="85"/>
        <v>13</v>
      </c>
      <c r="K1113">
        <f t="shared" si="86"/>
        <v>4</v>
      </c>
      <c r="L1113" t="str">
        <f t="shared" si="87"/>
        <v>No</v>
      </c>
      <c r="M1113" t="str">
        <f t="shared" si="89"/>
        <v>Yes</v>
      </c>
      <c r="N1113" t="str">
        <f t="shared" si="88"/>
        <v>No</v>
      </c>
    </row>
    <row r="1114" spans="1:14" x14ac:dyDescent="0.3">
      <c r="A1114" s="2" t="s">
        <v>2245</v>
      </c>
      <c r="B1114" s="2" t="s">
        <v>2246</v>
      </c>
      <c r="C1114" s="2" t="s">
        <v>34</v>
      </c>
      <c r="D1114" s="3">
        <v>45831</v>
      </c>
      <c r="E1114" s="3">
        <v>45838</v>
      </c>
      <c r="F1114" s="3">
        <v>45838</v>
      </c>
      <c r="G1114" s="2" t="s">
        <v>22</v>
      </c>
      <c r="H1114" s="2">
        <v>17</v>
      </c>
      <c r="I1114" s="2">
        <v>17</v>
      </c>
      <c r="J1114">
        <f t="shared" si="85"/>
        <v>7</v>
      </c>
      <c r="K1114">
        <f t="shared" si="86"/>
        <v>0</v>
      </c>
      <c r="L1114" t="str">
        <f t="shared" si="87"/>
        <v>Yes</v>
      </c>
      <c r="M1114" t="str">
        <f t="shared" si="89"/>
        <v>Yes</v>
      </c>
      <c r="N1114" t="str">
        <f t="shared" si="88"/>
        <v>Yes</v>
      </c>
    </row>
    <row r="1115" spans="1:14" x14ac:dyDescent="0.3">
      <c r="A1115" s="4" t="s">
        <v>2247</v>
      </c>
      <c r="B1115" s="4" t="s">
        <v>2248</v>
      </c>
      <c r="C1115" s="4" t="s">
        <v>72</v>
      </c>
      <c r="D1115" s="5">
        <v>45832</v>
      </c>
      <c r="E1115" s="5">
        <v>45837</v>
      </c>
      <c r="F1115" s="5">
        <v>45848</v>
      </c>
      <c r="G1115" s="4" t="s">
        <v>15</v>
      </c>
      <c r="H1115" s="4">
        <v>13</v>
      </c>
      <c r="I1115" s="2">
        <v>13</v>
      </c>
      <c r="J1115">
        <f t="shared" si="85"/>
        <v>16</v>
      </c>
      <c r="K1115">
        <f t="shared" si="86"/>
        <v>11</v>
      </c>
      <c r="L1115" t="str">
        <f t="shared" si="87"/>
        <v>No</v>
      </c>
      <c r="M1115" t="str">
        <f t="shared" si="89"/>
        <v>Yes</v>
      </c>
      <c r="N1115" t="str">
        <f t="shared" si="88"/>
        <v>No</v>
      </c>
    </row>
    <row r="1116" spans="1:14" x14ac:dyDescent="0.3">
      <c r="A1116" s="2" t="s">
        <v>2249</v>
      </c>
      <c r="B1116" s="2" t="s">
        <v>2250</v>
      </c>
      <c r="C1116" s="2" t="s">
        <v>21</v>
      </c>
      <c r="D1116" s="3">
        <v>45832</v>
      </c>
      <c r="E1116" s="3">
        <v>45839</v>
      </c>
      <c r="F1116" s="3">
        <v>45839</v>
      </c>
      <c r="G1116" s="2" t="s">
        <v>15</v>
      </c>
      <c r="H1116" s="2">
        <v>8</v>
      </c>
      <c r="I1116" s="2">
        <v>11</v>
      </c>
      <c r="J1116">
        <f t="shared" si="85"/>
        <v>7</v>
      </c>
      <c r="K1116">
        <f t="shared" si="86"/>
        <v>0</v>
      </c>
      <c r="L1116" t="str">
        <f t="shared" si="87"/>
        <v>Yes</v>
      </c>
      <c r="M1116" t="str">
        <f t="shared" si="89"/>
        <v>No</v>
      </c>
      <c r="N1116" t="str">
        <f t="shared" si="88"/>
        <v>No</v>
      </c>
    </row>
    <row r="1117" spans="1:14" x14ac:dyDescent="0.3">
      <c r="A1117" s="4" t="s">
        <v>2251</v>
      </c>
      <c r="B1117" s="4" t="s">
        <v>2252</v>
      </c>
      <c r="C1117" s="4" t="s">
        <v>27</v>
      </c>
      <c r="D1117" s="5">
        <v>45832</v>
      </c>
      <c r="E1117" s="5">
        <v>45835</v>
      </c>
      <c r="F1117" s="5">
        <v>45844</v>
      </c>
      <c r="G1117" s="4" t="s">
        <v>40</v>
      </c>
      <c r="H1117" s="4">
        <v>36</v>
      </c>
      <c r="I1117" s="2">
        <v>36</v>
      </c>
      <c r="J1117">
        <f t="shared" si="85"/>
        <v>12</v>
      </c>
      <c r="K1117">
        <f t="shared" si="86"/>
        <v>9</v>
      </c>
      <c r="L1117" t="str">
        <f t="shared" si="87"/>
        <v>No</v>
      </c>
      <c r="M1117" t="str">
        <f t="shared" si="89"/>
        <v>Yes</v>
      </c>
      <c r="N1117" t="str">
        <f t="shared" si="88"/>
        <v>No</v>
      </c>
    </row>
    <row r="1118" spans="1:14" x14ac:dyDescent="0.3">
      <c r="A1118" s="2" t="s">
        <v>2253</v>
      </c>
      <c r="B1118" s="2" t="s">
        <v>2254</v>
      </c>
      <c r="C1118" s="2" t="s">
        <v>27</v>
      </c>
      <c r="D1118" s="3">
        <v>45832</v>
      </c>
      <c r="E1118" s="3">
        <v>45835</v>
      </c>
      <c r="F1118" s="3">
        <v>45844</v>
      </c>
      <c r="G1118" s="2" t="s">
        <v>18</v>
      </c>
      <c r="H1118" s="2">
        <v>7</v>
      </c>
      <c r="I1118" s="2">
        <v>7</v>
      </c>
      <c r="J1118">
        <f t="shared" si="85"/>
        <v>12</v>
      </c>
      <c r="K1118">
        <f t="shared" si="86"/>
        <v>9</v>
      </c>
      <c r="L1118" t="str">
        <f t="shared" si="87"/>
        <v>No</v>
      </c>
      <c r="M1118" t="str">
        <f t="shared" si="89"/>
        <v>Yes</v>
      </c>
      <c r="N1118" t="str">
        <f t="shared" si="88"/>
        <v>No</v>
      </c>
    </row>
    <row r="1119" spans="1:14" x14ac:dyDescent="0.3">
      <c r="A1119" s="4" t="s">
        <v>2255</v>
      </c>
      <c r="B1119" s="4" t="s">
        <v>2256</v>
      </c>
      <c r="C1119" s="4" t="s">
        <v>27</v>
      </c>
      <c r="D1119" s="5">
        <v>45833</v>
      </c>
      <c r="E1119" s="5">
        <v>45837</v>
      </c>
      <c r="F1119" s="5">
        <v>45847</v>
      </c>
      <c r="G1119" s="4" t="s">
        <v>11</v>
      </c>
      <c r="H1119" s="4">
        <v>10</v>
      </c>
      <c r="I1119" s="2">
        <v>13</v>
      </c>
      <c r="J1119">
        <f t="shared" si="85"/>
        <v>14</v>
      </c>
      <c r="K1119">
        <f t="shared" si="86"/>
        <v>10</v>
      </c>
      <c r="L1119" t="str">
        <f t="shared" si="87"/>
        <v>No</v>
      </c>
      <c r="M1119" t="str">
        <f t="shared" si="89"/>
        <v>No</v>
      </c>
      <c r="N1119" t="str">
        <f t="shared" si="88"/>
        <v>No</v>
      </c>
    </row>
    <row r="1120" spans="1:14" x14ac:dyDescent="0.3">
      <c r="A1120" s="2" t="s">
        <v>2257</v>
      </c>
      <c r="B1120" s="2" t="s">
        <v>2258</v>
      </c>
      <c r="C1120" s="2" t="s">
        <v>34</v>
      </c>
      <c r="D1120" s="3">
        <v>45834</v>
      </c>
      <c r="E1120" s="3">
        <v>45837</v>
      </c>
      <c r="F1120" s="3">
        <v>45841</v>
      </c>
      <c r="G1120" s="2" t="s">
        <v>11</v>
      </c>
      <c r="H1120" s="2">
        <v>16</v>
      </c>
      <c r="I1120" s="2">
        <v>16</v>
      </c>
      <c r="J1120">
        <f t="shared" si="85"/>
        <v>7</v>
      </c>
      <c r="K1120">
        <f t="shared" si="86"/>
        <v>4</v>
      </c>
      <c r="L1120" t="str">
        <f t="shared" si="87"/>
        <v>No</v>
      </c>
      <c r="M1120" t="str">
        <f t="shared" si="89"/>
        <v>Yes</v>
      </c>
      <c r="N1120" t="str">
        <f t="shared" si="88"/>
        <v>No</v>
      </c>
    </row>
    <row r="1121" spans="1:14" x14ac:dyDescent="0.3">
      <c r="A1121" s="4" t="s">
        <v>2259</v>
      </c>
      <c r="B1121" s="4" t="s">
        <v>2260</v>
      </c>
      <c r="C1121" s="4" t="s">
        <v>10</v>
      </c>
      <c r="D1121" s="5">
        <v>45833</v>
      </c>
      <c r="E1121" s="5">
        <v>45836</v>
      </c>
      <c r="F1121" s="5">
        <v>45837</v>
      </c>
      <c r="G1121" s="4" t="s">
        <v>18</v>
      </c>
      <c r="H1121" s="4">
        <v>19</v>
      </c>
      <c r="I1121" s="2">
        <v>21</v>
      </c>
      <c r="J1121">
        <f t="shared" si="85"/>
        <v>4</v>
      </c>
      <c r="K1121">
        <f t="shared" si="86"/>
        <v>1</v>
      </c>
      <c r="L1121" t="str">
        <f t="shared" si="87"/>
        <v>No</v>
      </c>
      <c r="M1121" t="str">
        <f t="shared" si="89"/>
        <v>No</v>
      </c>
      <c r="N1121" t="str">
        <f t="shared" si="88"/>
        <v>No</v>
      </c>
    </row>
    <row r="1122" spans="1:14" x14ac:dyDescent="0.3">
      <c r="A1122" s="2" t="s">
        <v>2261</v>
      </c>
      <c r="B1122" s="2" t="s">
        <v>2262</v>
      </c>
      <c r="C1122" s="2" t="s">
        <v>10</v>
      </c>
      <c r="D1122" s="3">
        <v>45833</v>
      </c>
      <c r="E1122" s="3">
        <v>45840</v>
      </c>
      <c r="F1122" s="3">
        <v>45839</v>
      </c>
      <c r="G1122" s="2" t="s">
        <v>22</v>
      </c>
      <c r="H1122" s="2">
        <v>28</v>
      </c>
      <c r="I1122" s="2">
        <v>28</v>
      </c>
      <c r="J1122">
        <f t="shared" si="85"/>
        <v>6</v>
      </c>
      <c r="K1122">
        <f t="shared" si="86"/>
        <v>-1</v>
      </c>
      <c r="L1122" t="str">
        <f t="shared" si="87"/>
        <v>Yes</v>
      </c>
      <c r="M1122" t="str">
        <f t="shared" si="89"/>
        <v>Yes</v>
      </c>
      <c r="N1122" t="str">
        <f t="shared" si="88"/>
        <v>Yes</v>
      </c>
    </row>
    <row r="1123" spans="1:14" x14ac:dyDescent="0.3">
      <c r="A1123" s="4" t="s">
        <v>2263</v>
      </c>
      <c r="B1123" s="4" t="s">
        <v>2264</v>
      </c>
      <c r="C1123" s="4" t="s">
        <v>21</v>
      </c>
      <c r="D1123" s="5">
        <v>45833</v>
      </c>
      <c r="E1123" s="5">
        <v>45835</v>
      </c>
      <c r="F1123" s="5">
        <v>45840</v>
      </c>
      <c r="G1123" s="4" t="s">
        <v>11</v>
      </c>
      <c r="H1123" s="4">
        <v>33</v>
      </c>
      <c r="I1123" s="2">
        <v>33</v>
      </c>
      <c r="J1123">
        <f t="shared" si="85"/>
        <v>7</v>
      </c>
      <c r="K1123">
        <f t="shared" si="86"/>
        <v>5</v>
      </c>
      <c r="L1123" t="str">
        <f t="shared" si="87"/>
        <v>No</v>
      </c>
      <c r="M1123" t="str">
        <f t="shared" si="89"/>
        <v>Yes</v>
      </c>
      <c r="N1123" t="str">
        <f t="shared" si="88"/>
        <v>No</v>
      </c>
    </row>
    <row r="1124" spans="1:14" x14ac:dyDescent="0.3">
      <c r="A1124" s="2" t="s">
        <v>2265</v>
      </c>
      <c r="B1124" s="2" t="s">
        <v>2266</v>
      </c>
      <c r="C1124" s="2" t="s">
        <v>72</v>
      </c>
      <c r="D1124" s="3">
        <v>45834</v>
      </c>
      <c r="E1124" s="3">
        <v>45838</v>
      </c>
      <c r="F1124" s="3">
        <v>45848</v>
      </c>
      <c r="G1124" s="2" t="s">
        <v>18</v>
      </c>
      <c r="H1124" s="2">
        <v>8</v>
      </c>
      <c r="I1124" s="2">
        <v>8</v>
      </c>
      <c r="J1124">
        <f t="shared" si="85"/>
        <v>14</v>
      </c>
      <c r="K1124">
        <f t="shared" si="86"/>
        <v>10</v>
      </c>
      <c r="L1124" t="str">
        <f t="shared" si="87"/>
        <v>No</v>
      </c>
      <c r="M1124" t="str">
        <f t="shared" si="89"/>
        <v>Yes</v>
      </c>
      <c r="N1124" t="str">
        <f t="shared" si="88"/>
        <v>No</v>
      </c>
    </row>
    <row r="1125" spans="1:14" x14ac:dyDescent="0.3">
      <c r="A1125" s="4" t="s">
        <v>2267</v>
      </c>
      <c r="B1125" s="4" t="s">
        <v>2268</v>
      </c>
      <c r="C1125" s="4" t="s">
        <v>14</v>
      </c>
      <c r="D1125" s="5">
        <v>45833</v>
      </c>
      <c r="E1125" s="5">
        <v>45840</v>
      </c>
      <c r="F1125" s="5">
        <v>45848</v>
      </c>
      <c r="G1125" s="4" t="s">
        <v>22</v>
      </c>
      <c r="H1125" s="4">
        <v>11</v>
      </c>
      <c r="I1125" s="2">
        <v>11</v>
      </c>
      <c r="J1125">
        <f t="shared" si="85"/>
        <v>15</v>
      </c>
      <c r="K1125">
        <f t="shared" si="86"/>
        <v>8</v>
      </c>
      <c r="L1125" t="str">
        <f t="shared" si="87"/>
        <v>No</v>
      </c>
      <c r="M1125" t="str">
        <f t="shared" si="89"/>
        <v>Yes</v>
      </c>
      <c r="N1125" t="str">
        <f t="shared" si="88"/>
        <v>No</v>
      </c>
    </row>
    <row r="1126" spans="1:14" x14ac:dyDescent="0.3">
      <c r="A1126" s="2" t="s">
        <v>2269</v>
      </c>
      <c r="B1126" s="2" t="s">
        <v>2270</v>
      </c>
      <c r="C1126" s="2" t="s">
        <v>21</v>
      </c>
      <c r="D1126" s="3">
        <v>45835</v>
      </c>
      <c r="E1126" s="3">
        <v>45837</v>
      </c>
      <c r="F1126" s="3">
        <v>45842</v>
      </c>
      <c r="G1126" s="2" t="s">
        <v>15</v>
      </c>
      <c r="H1126" s="2">
        <v>22</v>
      </c>
      <c r="I1126" s="2">
        <v>22</v>
      </c>
      <c r="J1126">
        <f t="shared" si="85"/>
        <v>7</v>
      </c>
      <c r="K1126">
        <f t="shared" si="86"/>
        <v>5</v>
      </c>
      <c r="L1126" t="str">
        <f t="shared" si="87"/>
        <v>No</v>
      </c>
      <c r="M1126" t="str">
        <f t="shared" si="89"/>
        <v>Yes</v>
      </c>
      <c r="N1126" t="str">
        <f t="shared" si="88"/>
        <v>No</v>
      </c>
    </row>
    <row r="1127" spans="1:14" x14ac:dyDescent="0.3">
      <c r="A1127" s="4" t="s">
        <v>2271</v>
      </c>
      <c r="B1127" s="4" t="s">
        <v>2272</v>
      </c>
      <c r="C1127" s="4" t="s">
        <v>27</v>
      </c>
      <c r="D1127" s="5">
        <v>45833</v>
      </c>
      <c r="E1127" s="5">
        <v>45843</v>
      </c>
      <c r="F1127" s="5">
        <v>45847</v>
      </c>
      <c r="G1127" s="4" t="s">
        <v>15</v>
      </c>
      <c r="H1127" s="4">
        <v>9</v>
      </c>
      <c r="I1127" s="2">
        <v>9</v>
      </c>
      <c r="J1127">
        <f t="shared" si="85"/>
        <v>14</v>
      </c>
      <c r="K1127">
        <f t="shared" si="86"/>
        <v>4</v>
      </c>
      <c r="L1127" t="str">
        <f t="shared" si="87"/>
        <v>No</v>
      </c>
      <c r="M1127" t="str">
        <f t="shared" si="89"/>
        <v>Yes</v>
      </c>
      <c r="N1127" t="str">
        <f t="shared" si="88"/>
        <v>No</v>
      </c>
    </row>
    <row r="1128" spans="1:14" x14ac:dyDescent="0.3">
      <c r="A1128" s="2" t="s">
        <v>2273</v>
      </c>
      <c r="B1128" s="2" t="s">
        <v>2274</v>
      </c>
      <c r="C1128" s="2" t="s">
        <v>37</v>
      </c>
      <c r="D1128" s="3">
        <v>45836</v>
      </c>
      <c r="E1128" s="3">
        <v>45842</v>
      </c>
      <c r="F1128" s="3">
        <v>45848</v>
      </c>
      <c r="G1128" s="2" t="s">
        <v>15</v>
      </c>
      <c r="H1128" s="2">
        <v>20</v>
      </c>
      <c r="I1128" s="2">
        <v>20</v>
      </c>
      <c r="J1128">
        <f t="shared" si="85"/>
        <v>12</v>
      </c>
      <c r="K1128">
        <f t="shared" si="86"/>
        <v>6</v>
      </c>
      <c r="L1128" t="str">
        <f t="shared" si="87"/>
        <v>No</v>
      </c>
      <c r="M1128" t="str">
        <f t="shared" si="89"/>
        <v>Yes</v>
      </c>
      <c r="N1128" t="str">
        <f t="shared" si="88"/>
        <v>No</v>
      </c>
    </row>
    <row r="1129" spans="1:14" x14ac:dyDescent="0.3">
      <c r="A1129" s="4" t="s">
        <v>2275</v>
      </c>
      <c r="B1129" s="4" t="s">
        <v>2276</v>
      </c>
      <c r="C1129" s="4" t="s">
        <v>34</v>
      </c>
      <c r="D1129" s="5">
        <v>45836</v>
      </c>
      <c r="E1129" s="5">
        <v>45843</v>
      </c>
      <c r="F1129" s="5">
        <v>45847</v>
      </c>
      <c r="G1129" s="4" t="s">
        <v>22</v>
      </c>
      <c r="H1129" s="4">
        <v>24</v>
      </c>
      <c r="I1129" s="2">
        <v>24</v>
      </c>
      <c r="J1129">
        <f t="shared" si="85"/>
        <v>11</v>
      </c>
      <c r="K1129">
        <f t="shared" si="86"/>
        <v>4</v>
      </c>
      <c r="L1129" t="str">
        <f t="shared" si="87"/>
        <v>No</v>
      </c>
      <c r="M1129" t="str">
        <f t="shared" si="89"/>
        <v>Yes</v>
      </c>
      <c r="N1129" t="str">
        <f t="shared" si="88"/>
        <v>No</v>
      </c>
    </row>
    <row r="1130" spans="1:14" x14ac:dyDescent="0.3">
      <c r="A1130" s="2" t="s">
        <v>2277</v>
      </c>
      <c r="B1130" s="2" t="s">
        <v>2278</v>
      </c>
      <c r="C1130" s="2" t="s">
        <v>72</v>
      </c>
      <c r="D1130" s="3">
        <v>45835</v>
      </c>
      <c r="E1130" s="3">
        <v>45842</v>
      </c>
      <c r="F1130" s="3">
        <v>45848</v>
      </c>
      <c r="G1130" s="2" t="s">
        <v>15</v>
      </c>
      <c r="H1130" s="2">
        <v>5</v>
      </c>
      <c r="I1130" s="2">
        <v>9</v>
      </c>
      <c r="J1130">
        <f t="shared" si="85"/>
        <v>13</v>
      </c>
      <c r="K1130">
        <f t="shared" si="86"/>
        <v>6</v>
      </c>
      <c r="L1130" t="str">
        <f t="shared" si="87"/>
        <v>No</v>
      </c>
      <c r="M1130" t="str">
        <f t="shared" si="89"/>
        <v>No</v>
      </c>
      <c r="N1130" t="str">
        <f t="shared" si="88"/>
        <v>No</v>
      </c>
    </row>
    <row r="1131" spans="1:14" x14ac:dyDescent="0.3">
      <c r="A1131" s="4" t="s">
        <v>2279</v>
      </c>
      <c r="B1131" s="4" t="s">
        <v>2280</v>
      </c>
      <c r="C1131" s="4" t="s">
        <v>10</v>
      </c>
      <c r="D1131" s="5">
        <v>45834</v>
      </c>
      <c r="E1131" s="5">
        <v>45837</v>
      </c>
      <c r="F1131" s="5">
        <v>45843</v>
      </c>
      <c r="G1131" s="4" t="s">
        <v>40</v>
      </c>
      <c r="H1131" s="4">
        <v>33</v>
      </c>
      <c r="I1131" s="2">
        <v>33</v>
      </c>
      <c r="J1131">
        <f t="shared" si="85"/>
        <v>9</v>
      </c>
      <c r="K1131">
        <f t="shared" si="86"/>
        <v>6</v>
      </c>
      <c r="L1131" t="str">
        <f t="shared" si="87"/>
        <v>No</v>
      </c>
      <c r="M1131" t="str">
        <f t="shared" si="89"/>
        <v>Yes</v>
      </c>
      <c r="N1131" t="str">
        <f t="shared" si="88"/>
        <v>No</v>
      </c>
    </row>
    <row r="1132" spans="1:14" x14ac:dyDescent="0.3">
      <c r="A1132" s="2" t="s">
        <v>2281</v>
      </c>
      <c r="B1132" s="2" t="s">
        <v>2282</v>
      </c>
      <c r="C1132" s="2" t="s">
        <v>72</v>
      </c>
      <c r="D1132" s="3">
        <v>45836</v>
      </c>
      <c r="E1132" s="3">
        <v>45839</v>
      </c>
      <c r="F1132" s="3">
        <v>45850</v>
      </c>
      <c r="G1132" s="2" t="s">
        <v>11</v>
      </c>
      <c r="H1132" s="2">
        <v>8</v>
      </c>
      <c r="I1132" s="2">
        <v>8</v>
      </c>
      <c r="J1132">
        <f t="shared" si="85"/>
        <v>14</v>
      </c>
      <c r="K1132">
        <f t="shared" si="86"/>
        <v>11</v>
      </c>
      <c r="L1132" t="str">
        <f t="shared" si="87"/>
        <v>No</v>
      </c>
      <c r="M1132" t="str">
        <f t="shared" si="89"/>
        <v>Yes</v>
      </c>
      <c r="N1132" t="str">
        <f t="shared" si="88"/>
        <v>No</v>
      </c>
    </row>
    <row r="1133" spans="1:14" x14ac:dyDescent="0.3">
      <c r="A1133" s="4" t="s">
        <v>2283</v>
      </c>
      <c r="B1133" s="4" t="s">
        <v>2284</v>
      </c>
      <c r="C1133" s="4" t="s">
        <v>14</v>
      </c>
      <c r="D1133" s="5">
        <v>45834</v>
      </c>
      <c r="E1133" s="5">
        <v>45837</v>
      </c>
      <c r="F1133" s="5">
        <v>45850</v>
      </c>
      <c r="G1133" s="4" t="s">
        <v>18</v>
      </c>
      <c r="H1133" s="4">
        <v>22</v>
      </c>
      <c r="I1133" s="2">
        <v>26</v>
      </c>
      <c r="J1133">
        <f t="shared" si="85"/>
        <v>16</v>
      </c>
      <c r="K1133">
        <f t="shared" si="86"/>
        <v>13</v>
      </c>
      <c r="L1133" t="str">
        <f t="shared" si="87"/>
        <v>No</v>
      </c>
      <c r="M1133" t="str">
        <f t="shared" si="89"/>
        <v>No</v>
      </c>
      <c r="N1133" t="str">
        <f t="shared" si="88"/>
        <v>No</v>
      </c>
    </row>
    <row r="1134" spans="1:14" x14ac:dyDescent="0.3">
      <c r="A1134" s="2" t="s">
        <v>2285</v>
      </c>
      <c r="B1134" s="2" t="s">
        <v>2286</v>
      </c>
      <c r="C1134" s="2" t="s">
        <v>14</v>
      </c>
      <c r="D1134" s="3">
        <v>45835</v>
      </c>
      <c r="E1134" s="3">
        <v>45841</v>
      </c>
      <c r="F1134" s="3">
        <v>45850</v>
      </c>
      <c r="G1134" s="2" t="s">
        <v>40</v>
      </c>
      <c r="H1134" s="2">
        <v>12</v>
      </c>
      <c r="I1134" s="2">
        <v>12</v>
      </c>
      <c r="J1134">
        <f t="shared" si="85"/>
        <v>15</v>
      </c>
      <c r="K1134">
        <f t="shared" si="86"/>
        <v>9</v>
      </c>
      <c r="L1134" t="str">
        <f t="shared" si="87"/>
        <v>No</v>
      </c>
      <c r="M1134" t="str">
        <f t="shared" si="89"/>
        <v>Yes</v>
      </c>
      <c r="N1134" t="str">
        <f t="shared" si="88"/>
        <v>No</v>
      </c>
    </row>
    <row r="1135" spans="1:14" x14ac:dyDescent="0.3">
      <c r="A1135" s="4" t="s">
        <v>2287</v>
      </c>
      <c r="B1135" s="4" t="s">
        <v>2288</v>
      </c>
      <c r="C1135" s="4" t="s">
        <v>27</v>
      </c>
      <c r="D1135" s="5">
        <v>45834</v>
      </c>
      <c r="E1135" s="5">
        <v>45842</v>
      </c>
      <c r="F1135" s="5">
        <v>45846</v>
      </c>
      <c r="G1135" s="4" t="s">
        <v>40</v>
      </c>
      <c r="H1135" s="4">
        <v>4</v>
      </c>
      <c r="I1135" s="2">
        <v>4</v>
      </c>
      <c r="J1135">
        <f t="shared" si="85"/>
        <v>12</v>
      </c>
      <c r="K1135">
        <f t="shared" si="86"/>
        <v>4</v>
      </c>
      <c r="L1135" t="str">
        <f t="shared" si="87"/>
        <v>No</v>
      </c>
      <c r="M1135" t="str">
        <f t="shared" si="89"/>
        <v>Yes</v>
      </c>
      <c r="N1135" t="str">
        <f t="shared" si="88"/>
        <v>No</v>
      </c>
    </row>
    <row r="1136" spans="1:14" x14ac:dyDescent="0.3">
      <c r="A1136" s="2" t="s">
        <v>2289</v>
      </c>
      <c r="B1136" s="2" t="s">
        <v>2290</v>
      </c>
      <c r="C1136" s="2" t="s">
        <v>34</v>
      </c>
      <c r="D1136" s="3">
        <v>45837</v>
      </c>
      <c r="E1136" s="3">
        <v>45845</v>
      </c>
      <c r="F1136" s="3">
        <v>45846</v>
      </c>
      <c r="G1136" s="2" t="s">
        <v>11</v>
      </c>
      <c r="H1136" s="2">
        <v>9</v>
      </c>
      <c r="I1136" s="2">
        <v>10</v>
      </c>
      <c r="J1136">
        <f t="shared" si="85"/>
        <v>9</v>
      </c>
      <c r="K1136">
        <f t="shared" si="86"/>
        <v>1</v>
      </c>
      <c r="L1136" t="str">
        <f t="shared" si="87"/>
        <v>No</v>
      </c>
      <c r="M1136" t="str">
        <f t="shared" si="89"/>
        <v>No</v>
      </c>
      <c r="N1136" t="str">
        <f t="shared" si="88"/>
        <v>No</v>
      </c>
    </row>
    <row r="1137" spans="1:14" x14ac:dyDescent="0.3">
      <c r="A1137" s="4" t="s">
        <v>2291</v>
      </c>
      <c r="B1137" s="4" t="s">
        <v>2292</v>
      </c>
      <c r="C1137" s="4" t="s">
        <v>72</v>
      </c>
      <c r="D1137" s="5">
        <v>45835</v>
      </c>
      <c r="E1137" s="5">
        <v>45841</v>
      </c>
      <c r="F1137" s="5">
        <v>45849</v>
      </c>
      <c r="G1137" s="4" t="s">
        <v>22</v>
      </c>
      <c r="H1137" s="4">
        <v>35</v>
      </c>
      <c r="I1137" s="2">
        <v>35</v>
      </c>
      <c r="J1137">
        <f t="shared" si="85"/>
        <v>14</v>
      </c>
      <c r="K1137">
        <f t="shared" si="86"/>
        <v>8</v>
      </c>
      <c r="L1137" t="str">
        <f t="shared" si="87"/>
        <v>No</v>
      </c>
      <c r="M1137" t="str">
        <f t="shared" si="89"/>
        <v>Yes</v>
      </c>
      <c r="N1137" t="str">
        <f t="shared" si="88"/>
        <v>No</v>
      </c>
    </row>
    <row r="1138" spans="1:14" x14ac:dyDescent="0.3">
      <c r="A1138" s="2" t="s">
        <v>2293</v>
      </c>
      <c r="B1138" s="2" t="s">
        <v>2294</v>
      </c>
      <c r="C1138" s="2" t="s">
        <v>10</v>
      </c>
      <c r="D1138" s="3">
        <v>45835</v>
      </c>
      <c r="E1138" s="3">
        <v>45840</v>
      </c>
      <c r="F1138" s="3">
        <v>45839</v>
      </c>
      <c r="G1138" s="2" t="s">
        <v>15</v>
      </c>
      <c r="H1138" s="2">
        <v>10</v>
      </c>
      <c r="I1138" s="2">
        <v>10</v>
      </c>
      <c r="J1138">
        <f t="shared" si="85"/>
        <v>4</v>
      </c>
      <c r="K1138">
        <f t="shared" si="86"/>
        <v>-1</v>
      </c>
      <c r="L1138" t="str">
        <f t="shared" si="87"/>
        <v>Yes</v>
      </c>
      <c r="M1138" t="str">
        <f t="shared" si="89"/>
        <v>Yes</v>
      </c>
      <c r="N1138" t="str">
        <f t="shared" si="88"/>
        <v>Yes</v>
      </c>
    </row>
    <row r="1139" spans="1:14" x14ac:dyDescent="0.3">
      <c r="A1139" s="4" t="s">
        <v>2295</v>
      </c>
      <c r="B1139" s="4" t="s">
        <v>2296</v>
      </c>
      <c r="C1139" s="4" t="s">
        <v>59</v>
      </c>
      <c r="D1139" s="5">
        <v>45836</v>
      </c>
      <c r="E1139" s="5">
        <v>45842</v>
      </c>
      <c r="F1139" s="5">
        <v>45842</v>
      </c>
      <c r="G1139" s="4" t="s">
        <v>15</v>
      </c>
      <c r="H1139" s="4">
        <v>20</v>
      </c>
      <c r="I1139" s="2">
        <v>20</v>
      </c>
      <c r="J1139">
        <f t="shared" si="85"/>
        <v>6</v>
      </c>
      <c r="K1139">
        <f t="shared" si="86"/>
        <v>0</v>
      </c>
      <c r="L1139" t="str">
        <f t="shared" si="87"/>
        <v>Yes</v>
      </c>
      <c r="M1139" t="str">
        <f t="shared" si="89"/>
        <v>Yes</v>
      </c>
      <c r="N1139" t="str">
        <f t="shared" si="88"/>
        <v>Yes</v>
      </c>
    </row>
    <row r="1140" spans="1:14" x14ac:dyDescent="0.3">
      <c r="A1140" s="2" t="s">
        <v>2297</v>
      </c>
      <c r="B1140" s="2" t="s">
        <v>2298</v>
      </c>
      <c r="C1140" s="2" t="s">
        <v>14</v>
      </c>
      <c r="D1140" s="3">
        <v>45835</v>
      </c>
      <c r="E1140" s="3">
        <v>45842</v>
      </c>
      <c r="F1140" s="3">
        <v>45851</v>
      </c>
      <c r="G1140" s="2" t="s">
        <v>22</v>
      </c>
      <c r="H1140" s="2">
        <v>30</v>
      </c>
      <c r="I1140" s="2">
        <v>31</v>
      </c>
      <c r="J1140">
        <f t="shared" si="85"/>
        <v>16</v>
      </c>
      <c r="K1140">
        <f t="shared" si="86"/>
        <v>9</v>
      </c>
      <c r="L1140" t="str">
        <f t="shared" si="87"/>
        <v>No</v>
      </c>
      <c r="M1140" t="str">
        <f t="shared" si="89"/>
        <v>No</v>
      </c>
      <c r="N1140" t="str">
        <f t="shared" si="88"/>
        <v>No</v>
      </c>
    </row>
    <row r="1141" spans="1:14" x14ac:dyDescent="0.3">
      <c r="A1141" s="4" t="s">
        <v>2299</v>
      </c>
      <c r="B1141" s="4" t="s">
        <v>2300</v>
      </c>
      <c r="C1141" s="4" t="s">
        <v>21</v>
      </c>
      <c r="D1141" s="5">
        <v>45835</v>
      </c>
      <c r="E1141" s="5">
        <v>45838</v>
      </c>
      <c r="F1141" s="5">
        <v>45841</v>
      </c>
      <c r="G1141" s="4" t="s">
        <v>22</v>
      </c>
      <c r="H1141" s="4">
        <v>28</v>
      </c>
      <c r="I1141" s="2">
        <v>29</v>
      </c>
      <c r="J1141">
        <f t="shared" si="85"/>
        <v>6</v>
      </c>
      <c r="K1141">
        <f t="shared" si="86"/>
        <v>3</v>
      </c>
      <c r="L1141" t="str">
        <f t="shared" si="87"/>
        <v>No</v>
      </c>
      <c r="M1141" t="str">
        <f t="shared" si="89"/>
        <v>No</v>
      </c>
      <c r="N1141" t="str">
        <f t="shared" si="88"/>
        <v>No</v>
      </c>
    </row>
    <row r="1142" spans="1:14" x14ac:dyDescent="0.3">
      <c r="A1142" s="2" t="s">
        <v>2301</v>
      </c>
      <c r="B1142" s="2" t="s">
        <v>2302</v>
      </c>
      <c r="C1142" s="2" t="s">
        <v>27</v>
      </c>
      <c r="D1142" s="3">
        <v>45836</v>
      </c>
      <c r="E1142" s="3">
        <v>45839</v>
      </c>
      <c r="F1142" s="3">
        <v>45850</v>
      </c>
      <c r="G1142" s="2" t="s">
        <v>40</v>
      </c>
      <c r="H1142" s="2">
        <v>9</v>
      </c>
      <c r="I1142" s="2">
        <v>9</v>
      </c>
      <c r="J1142">
        <f t="shared" si="85"/>
        <v>14</v>
      </c>
      <c r="K1142">
        <f t="shared" si="86"/>
        <v>11</v>
      </c>
      <c r="L1142" t="str">
        <f t="shared" si="87"/>
        <v>No</v>
      </c>
      <c r="M1142" t="str">
        <f t="shared" si="89"/>
        <v>Yes</v>
      </c>
      <c r="N1142" t="str">
        <f t="shared" si="88"/>
        <v>No</v>
      </c>
    </row>
    <row r="1143" spans="1:14" x14ac:dyDescent="0.3">
      <c r="A1143" s="4" t="s">
        <v>2303</v>
      </c>
      <c r="B1143" s="4" t="s">
        <v>2304</v>
      </c>
      <c r="C1143" s="4" t="s">
        <v>37</v>
      </c>
      <c r="D1143" s="5">
        <v>45836</v>
      </c>
      <c r="E1143" s="5">
        <v>45844</v>
      </c>
      <c r="F1143" s="5">
        <v>45851</v>
      </c>
      <c r="G1143" s="4" t="s">
        <v>15</v>
      </c>
      <c r="H1143" s="4">
        <v>38</v>
      </c>
      <c r="I1143" s="2">
        <v>38</v>
      </c>
      <c r="J1143">
        <f t="shared" si="85"/>
        <v>15</v>
      </c>
      <c r="K1143">
        <f t="shared" si="86"/>
        <v>7</v>
      </c>
      <c r="L1143" t="str">
        <f t="shared" si="87"/>
        <v>No</v>
      </c>
      <c r="M1143" t="str">
        <f t="shared" si="89"/>
        <v>Yes</v>
      </c>
      <c r="N1143" t="str">
        <f t="shared" si="88"/>
        <v>No</v>
      </c>
    </row>
    <row r="1144" spans="1:14" x14ac:dyDescent="0.3">
      <c r="A1144" s="2" t="s">
        <v>2305</v>
      </c>
      <c r="B1144" s="2" t="s">
        <v>2306</v>
      </c>
      <c r="C1144" s="2" t="s">
        <v>34</v>
      </c>
      <c r="D1144" s="3">
        <v>45838</v>
      </c>
      <c r="E1144" s="3">
        <v>45841</v>
      </c>
      <c r="F1144" s="3">
        <v>45847</v>
      </c>
      <c r="G1144" s="2" t="s">
        <v>15</v>
      </c>
      <c r="H1144" s="2">
        <v>15</v>
      </c>
      <c r="I1144" s="2">
        <v>15</v>
      </c>
      <c r="J1144">
        <f t="shared" si="85"/>
        <v>9</v>
      </c>
      <c r="K1144">
        <f t="shared" si="86"/>
        <v>6</v>
      </c>
      <c r="L1144" t="str">
        <f t="shared" si="87"/>
        <v>No</v>
      </c>
      <c r="M1144" t="str">
        <f t="shared" si="89"/>
        <v>Yes</v>
      </c>
      <c r="N1144" t="str">
        <f t="shared" si="88"/>
        <v>No</v>
      </c>
    </row>
    <row r="1145" spans="1:14" x14ac:dyDescent="0.3">
      <c r="A1145" s="4" t="s">
        <v>2307</v>
      </c>
      <c r="B1145" s="4" t="s">
        <v>2308</v>
      </c>
      <c r="C1145" s="4" t="s">
        <v>10</v>
      </c>
      <c r="D1145" s="5">
        <v>45838</v>
      </c>
      <c r="E1145" s="5">
        <v>45844</v>
      </c>
      <c r="F1145" s="5">
        <v>45847</v>
      </c>
      <c r="G1145" s="4" t="s">
        <v>11</v>
      </c>
      <c r="H1145" s="4">
        <v>22</v>
      </c>
      <c r="I1145" s="2">
        <v>22</v>
      </c>
      <c r="J1145">
        <f t="shared" si="85"/>
        <v>9</v>
      </c>
      <c r="K1145">
        <f t="shared" si="86"/>
        <v>3</v>
      </c>
      <c r="L1145" t="str">
        <f t="shared" si="87"/>
        <v>No</v>
      </c>
      <c r="M1145" t="str">
        <f t="shared" si="89"/>
        <v>Yes</v>
      </c>
      <c r="N1145" t="str">
        <f t="shared" si="88"/>
        <v>No</v>
      </c>
    </row>
    <row r="1146" spans="1:14" x14ac:dyDescent="0.3">
      <c r="A1146" s="2" t="s">
        <v>2309</v>
      </c>
      <c r="B1146" s="2" t="s">
        <v>2310</v>
      </c>
      <c r="C1146" s="2" t="s">
        <v>10</v>
      </c>
      <c r="D1146" s="3">
        <v>45838</v>
      </c>
      <c r="E1146" s="3">
        <v>45845</v>
      </c>
      <c r="F1146" s="3">
        <v>45843</v>
      </c>
      <c r="G1146" s="2" t="s">
        <v>11</v>
      </c>
      <c r="H1146" s="2">
        <v>20</v>
      </c>
      <c r="I1146" s="2">
        <v>20</v>
      </c>
      <c r="J1146">
        <f t="shared" si="85"/>
        <v>5</v>
      </c>
      <c r="K1146">
        <f t="shared" si="86"/>
        <v>-2</v>
      </c>
      <c r="L1146" t="str">
        <f t="shared" si="87"/>
        <v>Yes</v>
      </c>
      <c r="M1146" t="str">
        <f t="shared" si="89"/>
        <v>Yes</v>
      </c>
      <c r="N1146" t="str">
        <f t="shared" si="88"/>
        <v>Yes</v>
      </c>
    </row>
    <row r="1147" spans="1:14" x14ac:dyDescent="0.3">
      <c r="A1147" s="4" t="s">
        <v>2311</v>
      </c>
      <c r="B1147" s="4" t="s">
        <v>2312</v>
      </c>
      <c r="C1147" s="4" t="s">
        <v>14</v>
      </c>
      <c r="D1147" s="5">
        <v>45836</v>
      </c>
      <c r="E1147" s="5">
        <v>45841</v>
      </c>
      <c r="F1147" s="5">
        <v>45850</v>
      </c>
      <c r="G1147" s="4" t="s">
        <v>40</v>
      </c>
      <c r="H1147" s="4">
        <v>13</v>
      </c>
      <c r="I1147" s="2">
        <v>18</v>
      </c>
      <c r="J1147">
        <f t="shared" si="85"/>
        <v>14</v>
      </c>
      <c r="K1147">
        <f t="shared" si="86"/>
        <v>9</v>
      </c>
      <c r="L1147" t="str">
        <f t="shared" si="87"/>
        <v>No</v>
      </c>
      <c r="M1147" t="str">
        <f t="shared" si="89"/>
        <v>No</v>
      </c>
      <c r="N1147" t="str">
        <f t="shared" si="88"/>
        <v>No</v>
      </c>
    </row>
    <row r="1148" spans="1:14" x14ac:dyDescent="0.3">
      <c r="A1148" s="2" t="s">
        <v>2313</v>
      </c>
      <c r="B1148" s="2" t="s">
        <v>2314</v>
      </c>
      <c r="C1148" s="2" t="s">
        <v>59</v>
      </c>
      <c r="D1148" s="3">
        <v>45837</v>
      </c>
      <c r="E1148" s="3">
        <v>45845</v>
      </c>
      <c r="F1148" s="3">
        <v>45840</v>
      </c>
      <c r="G1148" s="2" t="s">
        <v>40</v>
      </c>
      <c r="H1148" s="2">
        <v>28</v>
      </c>
      <c r="I1148" s="2">
        <v>28</v>
      </c>
      <c r="J1148">
        <f t="shared" si="85"/>
        <v>3</v>
      </c>
      <c r="K1148">
        <f t="shared" si="86"/>
        <v>-5</v>
      </c>
      <c r="L1148" t="str">
        <f t="shared" si="87"/>
        <v>Yes</v>
      </c>
      <c r="M1148" t="str">
        <f t="shared" si="89"/>
        <v>Yes</v>
      </c>
      <c r="N1148" t="str">
        <f t="shared" si="88"/>
        <v>Yes</v>
      </c>
    </row>
    <row r="1149" spans="1:14" x14ac:dyDescent="0.3">
      <c r="A1149" s="4" t="s">
        <v>2315</v>
      </c>
      <c r="B1149" s="4" t="s">
        <v>2316</v>
      </c>
      <c r="C1149" s="4" t="s">
        <v>27</v>
      </c>
      <c r="D1149" s="5">
        <v>45836</v>
      </c>
      <c r="E1149" s="5">
        <v>45841</v>
      </c>
      <c r="F1149" s="5">
        <v>45848</v>
      </c>
      <c r="G1149" s="4" t="s">
        <v>22</v>
      </c>
      <c r="H1149" s="4">
        <v>8</v>
      </c>
      <c r="I1149" s="2">
        <v>8</v>
      </c>
      <c r="J1149">
        <f t="shared" si="85"/>
        <v>12</v>
      </c>
      <c r="K1149">
        <f t="shared" si="86"/>
        <v>7</v>
      </c>
      <c r="L1149" t="str">
        <f t="shared" si="87"/>
        <v>No</v>
      </c>
      <c r="M1149" t="str">
        <f t="shared" si="89"/>
        <v>Yes</v>
      </c>
      <c r="N1149" t="str">
        <f t="shared" si="88"/>
        <v>No</v>
      </c>
    </row>
    <row r="1150" spans="1:14" x14ac:dyDescent="0.3">
      <c r="A1150" s="2" t="s">
        <v>2317</v>
      </c>
      <c r="B1150" s="2" t="s">
        <v>2318</v>
      </c>
      <c r="C1150" s="2" t="s">
        <v>14</v>
      </c>
      <c r="D1150" s="3">
        <v>45837</v>
      </c>
      <c r="E1150" s="3">
        <v>45841</v>
      </c>
      <c r="F1150" s="3">
        <v>45854</v>
      </c>
      <c r="G1150" s="2" t="s">
        <v>11</v>
      </c>
      <c r="H1150" s="2">
        <v>17</v>
      </c>
      <c r="I1150" s="2">
        <v>17</v>
      </c>
      <c r="J1150">
        <f t="shared" si="85"/>
        <v>17</v>
      </c>
      <c r="K1150">
        <f t="shared" si="86"/>
        <v>13</v>
      </c>
      <c r="L1150" t="str">
        <f t="shared" si="87"/>
        <v>No</v>
      </c>
      <c r="M1150" t="str">
        <f t="shared" si="89"/>
        <v>Yes</v>
      </c>
      <c r="N1150" t="str">
        <f t="shared" si="88"/>
        <v>No</v>
      </c>
    </row>
    <row r="1151" spans="1:14" x14ac:dyDescent="0.3">
      <c r="A1151" s="4" t="s">
        <v>2319</v>
      </c>
      <c r="B1151" s="4" t="s">
        <v>2320</v>
      </c>
      <c r="C1151" s="4" t="s">
        <v>14</v>
      </c>
      <c r="D1151" s="5">
        <v>45838</v>
      </c>
      <c r="E1151" s="5">
        <v>45845</v>
      </c>
      <c r="F1151" s="5">
        <v>45854</v>
      </c>
      <c r="G1151" s="4" t="s">
        <v>40</v>
      </c>
      <c r="H1151" s="4">
        <v>50</v>
      </c>
      <c r="I1151" s="2">
        <v>55</v>
      </c>
      <c r="J1151">
        <f t="shared" si="85"/>
        <v>16</v>
      </c>
      <c r="K1151">
        <f t="shared" si="86"/>
        <v>9</v>
      </c>
      <c r="L1151" t="str">
        <f t="shared" si="87"/>
        <v>No</v>
      </c>
      <c r="M1151" t="str">
        <f t="shared" si="89"/>
        <v>No</v>
      </c>
      <c r="N1151" t="str">
        <f t="shared" si="88"/>
        <v>No</v>
      </c>
    </row>
    <row r="1152" spans="1:14" x14ac:dyDescent="0.3">
      <c r="A1152" s="2" t="s">
        <v>2321</v>
      </c>
      <c r="B1152" s="2" t="s">
        <v>2322</v>
      </c>
      <c r="C1152" s="2" t="s">
        <v>59</v>
      </c>
      <c r="D1152" s="3">
        <v>45837</v>
      </c>
      <c r="E1152" s="3">
        <v>45845</v>
      </c>
      <c r="F1152" s="3">
        <v>45843</v>
      </c>
      <c r="G1152" s="2" t="s">
        <v>22</v>
      </c>
      <c r="H1152" s="2">
        <v>23</v>
      </c>
      <c r="I1152" s="2">
        <v>23</v>
      </c>
      <c r="J1152">
        <f t="shared" si="85"/>
        <v>6</v>
      </c>
      <c r="K1152">
        <f t="shared" si="86"/>
        <v>-2</v>
      </c>
      <c r="L1152" t="str">
        <f t="shared" si="87"/>
        <v>Yes</v>
      </c>
      <c r="M1152" t="str">
        <f t="shared" si="89"/>
        <v>Yes</v>
      </c>
      <c r="N1152" t="str">
        <f t="shared" si="88"/>
        <v>Yes</v>
      </c>
    </row>
    <row r="1153" spans="1:14" x14ac:dyDescent="0.3">
      <c r="A1153" s="4" t="s">
        <v>2323</v>
      </c>
      <c r="B1153" s="4" t="s">
        <v>2324</v>
      </c>
      <c r="C1153" s="4" t="s">
        <v>21</v>
      </c>
      <c r="D1153" s="5">
        <v>45838</v>
      </c>
      <c r="E1153" s="5">
        <v>45846</v>
      </c>
      <c r="F1153" s="5">
        <v>45844</v>
      </c>
      <c r="G1153" s="4" t="s">
        <v>40</v>
      </c>
      <c r="H1153" s="4">
        <v>33</v>
      </c>
      <c r="I1153" s="2">
        <v>33</v>
      </c>
      <c r="J1153">
        <f t="shared" si="85"/>
        <v>6</v>
      </c>
      <c r="K1153">
        <f t="shared" si="86"/>
        <v>-2</v>
      </c>
      <c r="L1153" t="str">
        <f t="shared" si="87"/>
        <v>Yes</v>
      </c>
      <c r="M1153" t="str">
        <f t="shared" si="89"/>
        <v>Yes</v>
      </c>
      <c r="N1153" t="str">
        <f t="shared" si="88"/>
        <v>Yes</v>
      </c>
    </row>
    <row r="1154" spans="1:14" x14ac:dyDescent="0.3">
      <c r="A1154" s="2" t="s">
        <v>2325</v>
      </c>
      <c r="B1154" s="2" t="s">
        <v>2326</v>
      </c>
      <c r="C1154" s="2" t="s">
        <v>27</v>
      </c>
      <c r="D1154" s="3">
        <v>45838</v>
      </c>
      <c r="E1154" s="3">
        <v>45841</v>
      </c>
      <c r="F1154" s="3">
        <v>45851</v>
      </c>
      <c r="G1154" s="2" t="s">
        <v>15</v>
      </c>
      <c r="H1154" s="2">
        <v>1</v>
      </c>
      <c r="I1154" s="2">
        <v>7</v>
      </c>
      <c r="J1154">
        <f t="shared" si="85"/>
        <v>13</v>
      </c>
      <c r="K1154">
        <f t="shared" si="86"/>
        <v>10</v>
      </c>
      <c r="L1154" t="str">
        <f t="shared" si="87"/>
        <v>No</v>
      </c>
      <c r="M1154" t="str">
        <f t="shared" si="89"/>
        <v>No</v>
      </c>
      <c r="N1154" t="str">
        <f t="shared" si="88"/>
        <v>No</v>
      </c>
    </row>
    <row r="1155" spans="1:14" x14ac:dyDescent="0.3">
      <c r="A1155" s="4" t="s">
        <v>2327</v>
      </c>
      <c r="B1155" s="4" t="s">
        <v>2328</v>
      </c>
      <c r="C1155" s="4" t="s">
        <v>27</v>
      </c>
      <c r="D1155" s="5">
        <v>45838</v>
      </c>
      <c r="E1155" s="5">
        <v>45840</v>
      </c>
      <c r="F1155" s="5">
        <v>45852</v>
      </c>
      <c r="G1155" s="4" t="s">
        <v>11</v>
      </c>
      <c r="H1155" s="4">
        <v>5</v>
      </c>
      <c r="I1155" s="2">
        <v>5</v>
      </c>
      <c r="J1155">
        <f t="shared" ref="J1155:J1218" si="90">F1155-D1155</f>
        <v>14</v>
      </c>
      <c r="K1155">
        <f t="shared" ref="K1155:K1218" si="91">F1155-E1155</f>
        <v>12</v>
      </c>
      <c r="L1155" t="str">
        <f t="shared" ref="L1155:L1218" si="92">IF(K1155&lt;=0,"Yes","No")</f>
        <v>No</v>
      </c>
      <c r="M1155" t="str">
        <f t="shared" si="89"/>
        <v>Yes</v>
      </c>
      <c r="N1155" t="str">
        <f t="shared" ref="N1155:N1218" si="93">IF(AND(L1155="Yes",M1155="Yes"),"Yes","No")</f>
        <v>No</v>
      </c>
    </row>
    <row r="1156" spans="1:14" x14ac:dyDescent="0.3">
      <c r="A1156" s="2" t="s">
        <v>2329</v>
      </c>
      <c r="B1156" s="2" t="s">
        <v>2330</v>
      </c>
      <c r="C1156" s="2" t="s">
        <v>21</v>
      </c>
      <c r="D1156" s="3">
        <v>45839</v>
      </c>
      <c r="E1156" s="3">
        <v>45846</v>
      </c>
      <c r="F1156" s="3">
        <v>45845</v>
      </c>
      <c r="G1156" s="2" t="s">
        <v>22</v>
      </c>
      <c r="H1156" s="2">
        <v>12</v>
      </c>
      <c r="I1156" s="2">
        <v>13</v>
      </c>
      <c r="J1156">
        <f t="shared" si="90"/>
        <v>6</v>
      </c>
      <c r="K1156">
        <f t="shared" si="91"/>
        <v>-1</v>
      </c>
      <c r="L1156" t="str">
        <f t="shared" si="92"/>
        <v>Yes</v>
      </c>
      <c r="M1156" t="str">
        <f t="shared" ref="M1156:M1219" si="94">IF(H1156=I1156,"Yes","No")</f>
        <v>No</v>
      </c>
      <c r="N1156" t="str">
        <f t="shared" si="93"/>
        <v>No</v>
      </c>
    </row>
    <row r="1157" spans="1:14" x14ac:dyDescent="0.3">
      <c r="A1157" s="4" t="s">
        <v>2331</v>
      </c>
      <c r="B1157" s="4" t="s">
        <v>2332</v>
      </c>
      <c r="C1157" s="4" t="s">
        <v>21</v>
      </c>
      <c r="D1157" s="5">
        <v>45840</v>
      </c>
      <c r="E1157" s="5">
        <v>45847</v>
      </c>
      <c r="F1157" s="5">
        <v>45846</v>
      </c>
      <c r="G1157" s="4" t="s">
        <v>22</v>
      </c>
      <c r="H1157" s="4">
        <v>32</v>
      </c>
      <c r="I1157" s="2">
        <v>32</v>
      </c>
      <c r="J1157">
        <f t="shared" si="90"/>
        <v>6</v>
      </c>
      <c r="K1157">
        <f t="shared" si="91"/>
        <v>-1</v>
      </c>
      <c r="L1157" t="str">
        <f t="shared" si="92"/>
        <v>Yes</v>
      </c>
      <c r="M1157" t="str">
        <f t="shared" si="94"/>
        <v>Yes</v>
      </c>
      <c r="N1157" t="str">
        <f t="shared" si="93"/>
        <v>Yes</v>
      </c>
    </row>
    <row r="1158" spans="1:14" x14ac:dyDescent="0.3">
      <c r="A1158" s="2" t="s">
        <v>2333</v>
      </c>
      <c r="B1158" s="2" t="s">
        <v>2334</v>
      </c>
      <c r="C1158" s="2" t="s">
        <v>59</v>
      </c>
      <c r="D1158" s="3">
        <v>45841</v>
      </c>
      <c r="E1158" s="3">
        <v>45842</v>
      </c>
      <c r="F1158" s="3">
        <v>45849</v>
      </c>
      <c r="G1158" s="2" t="s">
        <v>22</v>
      </c>
      <c r="H1158" s="2">
        <v>31</v>
      </c>
      <c r="I1158" s="2">
        <v>31</v>
      </c>
      <c r="J1158">
        <f t="shared" si="90"/>
        <v>8</v>
      </c>
      <c r="K1158">
        <f t="shared" si="91"/>
        <v>7</v>
      </c>
      <c r="L1158" t="str">
        <f t="shared" si="92"/>
        <v>No</v>
      </c>
      <c r="M1158" t="str">
        <f t="shared" si="94"/>
        <v>Yes</v>
      </c>
      <c r="N1158" t="str">
        <f t="shared" si="93"/>
        <v>No</v>
      </c>
    </row>
    <row r="1159" spans="1:14" x14ac:dyDescent="0.3">
      <c r="A1159" s="4" t="s">
        <v>2335</v>
      </c>
      <c r="B1159" s="4" t="s">
        <v>2336</v>
      </c>
      <c r="C1159" s="4" t="s">
        <v>21</v>
      </c>
      <c r="D1159" s="5">
        <v>45839</v>
      </c>
      <c r="E1159" s="5">
        <v>45844</v>
      </c>
      <c r="F1159" s="5">
        <v>45847</v>
      </c>
      <c r="G1159" s="4" t="s">
        <v>15</v>
      </c>
      <c r="H1159" s="4">
        <v>35</v>
      </c>
      <c r="I1159" s="2">
        <v>35</v>
      </c>
      <c r="J1159">
        <f t="shared" si="90"/>
        <v>8</v>
      </c>
      <c r="K1159">
        <f t="shared" si="91"/>
        <v>3</v>
      </c>
      <c r="L1159" t="str">
        <f t="shared" si="92"/>
        <v>No</v>
      </c>
      <c r="M1159" t="str">
        <f t="shared" si="94"/>
        <v>Yes</v>
      </c>
      <c r="N1159" t="str">
        <f t="shared" si="93"/>
        <v>No</v>
      </c>
    </row>
    <row r="1160" spans="1:14" x14ac:dyDescent="0.3">
      <c r="A1160" s="2" t="s">
        <v>2337</v>
      </c>
      <c r="B1160" s="2" t="s">
        <v>2338</v>
      </c>
      <c r="C1160" s="2" t="s">
        <v>27</v>
      </c>
      <c r="D1160" s="3">
        <v>45839</v>
      </c>
      <c r="E1160" s="3">
        <v>45849</v>
      </c>
      <c r="F1160" s="3">
        <v>45852</v>
      </c>
      <c r="G1160" s="2" t="s">
        <v>15</v>
      </c>
      <c r="H1160" s="2">
        <v>20</v>
      </c>
      <c r="I1160" s="2">
        <v>20</v>
      </c>
      <c r="J1160">
        <f t="shared" si="90"/>
        <v>13</v>
      </c>
      <c r="K1160">
        <f t="shared" si="91"/>
        <v>3</v>
      </c>
      <c r="L1160" t="str">
        <f t="shared" si="92"/>
        <v>No</v>
      </c>
      <c r="M1160" t="str">
        <f t="shared" si="94"/>
        <v>Yes</v>
      </c>
      <c r="N1160" t="str">
        <f t="shared" si="93"/>
        <v>No</v>
      </c>
    </row>
    <row r="1161" spans="1:14" x14ac:dyDescent="0.3">
      <c r="A1161" s="4" t="s">
        <v>2339</v>
      </c>
      <c r="B1161" s="4" t="s">
        <v>2340</v>
      </c>
      <c r="C1161" s="4" t="s">
        <v>27</v>
      </c>
      <c r="D1161" s="5">
        <v>45839</v>
      </c>
      <c r="E1161" s="5">
        <v>45842</v>
      </c>
      <c r="F1161" s="5">
        <v>45853</v>
      </c>
      <c r="G1161" s="4" t="s">
        <v>22</v>
      </c>
      <c r="H1161" s="4">
        <v>2</v>
      </c>
      <c r="I1161" s="2">
        <v>2</v>
      </c>
      <c r="J1161">
        <f t="shared" si="90"/>
        <v>14</v>
      </c>
      <c r="K1161">
        <f t="shared" si="91"/>
        <v>11</v>
      </c>
      <c r="L1161" t="str">
        <f t="shared" si="92"/>
        <v>No</v>
      </c>
      <c r="M1161" t="str">
        <f t="shared" si="94"/>
        <v>Yes</v>
      </c>
      <c r="N1161" t="str">
        <f t="shared" si="93"/>
        <v>No</v>
      </c>
    </row>
    <row r="1162" spans="1:14" x14ac:dyDescent="0.3">
      <c r="A1162" s="2" t="s">
        <v>2341</v>
      </c>
      <c r="B1162" s="2" t="s">
        <v>2342</v>
      </c>
      <c r="C1162" s="2" t="s">
        <v>27</v>
      </c>
      <c r="D1162" s="3">
        <v>45840</v>
      </c>
      <c r="E1162" s="3">
        <v>45847</v>
      </c>
      <c r="F1162" s="3">
        <v>45855</v>
      </c>
      <c r="G1162" s="2" t="s">
        <v>40</v>
      </c>
      <c r="H1162" s="2">
        <v>9</v>
      </c>
      <c r="I1162" s="2">
        <v>9</v>
      </c>
      <c r="J1162">
        <f t="shared" si="90"/>
        <v>15</v>
      </c>
      <c r="K1162">
        <f t="shared" si="91"/>
        <v>8</v>
      </c>
      <c r="L1162" t="str">
        <f t="shared" si="92"/>
        <v>No</v>
      </c>
      <c r="M1162" t="str">
        <f t="shared" si="94"/>
        <v>Yes</v>
      </c>
      <c r="N1162" t="str">
        <f t="shared" si="93"/>
        <v>No</v>
      </c>
    </row>
    <row r="1163" spans="1:14" x14ac:dyDescent="0.3">
      <c r="A1163" s="4" t="s">
        <v>2343</v>
      </c>
      <c r="B1163" s="4" t="s">
        <v>2344</v>
      </c>
      <c r="C1163" s="4" t="s">
        <v>34</v>
      </c>
      <c r="D1163" s="5">
        <v>45840</v>
      </c>
      <c r="E1163" s="5">
        <v>45844</v>
      </c>
      <c r="F1163" s="5">
        <v>45851</v>
      </c>
      <c r="G1163" s="4" t="s">
        <v>40</v>
      </c>
      <c r="H1163" s="4">
        <v>35</v>
      </c>
      <c r="I1163" s="2">
        <v>35</v>
      </c>
      <c r="J1163">
        <f t="shared" si="90"/>
        <v>11</v>
      </c>
      <c r="K1163">
        <f t="shared" si="91"/>
        <v>7</v>
      </c>
      <c r="L1163" t="str">
        <f t="shared" si="92"/>
        <v>No</v>
      </c>
      <c r="M1163" t="str">
        <f t="shared" si="94"/>
        <v>Yes</v>
      </c>
      <c r="N1163" t="str">
        <f t="shared" si="93"/>
        <v>No</v>
      </c>
    </row>
    <row r="1164" spans="1:14" x14ac:dyDescent="0.3">
      <c r="A1164" s="2" t="s">
        <v>2345</v>
      </c>
      <c r="B1164" s="2" t="s">
        <v>2346</v>
      </c>
      <c r="C1164" s="2" t="s">
        <v>34</v>
      </c>
      <c r="D1164" s="3">
        <v>45841</v>
      </c>
      <c r="E1164" s="3">
        <v>45845</v>
      </c>
      <c r="F1164" s="3">
        <v>45848</v>
      </c>
      <c r="G1164" s="2" t="s">
        <v>40</v>
      </c>
      <c r="H1164" s="2">
        <v>21</v>
      </c>
      <c r="I1164" s="2">
        <v>21</v>
      </c>
      <c r="J1164">
        <f t="shared" si="90"/>
        <v>7</v>
      </c>
      <c r="K1164">
        <f t="shared" si="91"/>
        <v>3</v>
      </c>
      <c r="L1164" t="str">
        <f t="shared" si="92"/>
        <v>No</v>
      </c>
      <c r="M1164" t="str">
        <f t="shared" si="94"/>
        <v>Yes</v>
      </c>
      <c r="N1164" t="str">
        <f t="shared" si="93"/>
        <v>No</v>
      </c>
    </row>
    <row r="1165" spans="1:14" x14ac:dyDescent="0.3">
      <c r="A1165" s="4" t="s">
        <v>2347</v>
      </c>
      <c r="B1165" s="4" t="s">
        <v>2348</v>
      </c>
      <c r="C1165" s="4" t="s">
        <v>72</v>
      </c>
      <c r="D1165" s="5">
        <v>45841</v>
      </c>
      <c r="E1165" s="5">
        <v>45848</v>
      </c>
      <c r="F1165" s="5">
        <v>45854</v>
      </c>
      <c r="G1165" s="4" t="s">
        <v>40</v>
      </c>
      <c r="H1165" s="4">
        <v>19</v>
      </c>
      <c r="I1165" s="2">
        <v>21</v>
      </c>
      <c r="J1165">
        <f t="shared" si="90"/>
        <v>13</v>
      </c>
      <c r="K1165">
        <f t="shared" si="91"/>
        <v>6</v>
      </c>
      <c r="L1165" t="str">
        <f t="shared" si="92"/>
        <v>No</v>
      </c>
      <c r="M1165" t="str">
        <f t="shared" si="94"/>
        <v>No</v>
      </c>
      <c r="N1165" t="str">
        <f t="shared" si="93"/>
        <v>No</v>
      </c>
    </row>
    <row r="1166" spans="1:14" x14ac:dyDescent="0.3">
      <c r="A1166" s="2" t="s">
        <v>2349</v>
      </c>
      <c r="B1166" s="2" t="s">
        <v>2350</v>
      </c>
      <c r="C1166" s="2" t="s">
        <v>10</v>
      </c>
      <c r="D1166" s="3">
        <v>45842</v>
      </c>
      <c r="E1166" s="3">
        <v>45848</v>
      </c>
      <c r="F1166" s="3">
        <v>45847</v>
      </c>
      <c r="G1166" s="2" t="s">
        <v>11</v>
      </c>
      <c r="H1166" s="2">
        <v>16</v>
      </c>
      <c r="I1166" s="2">
        <v>16</v>
      </c>
      <c r="J1166">
        <f t="shared" si="90"/>
        <v>5</v>
      </c>
      <c r="K1166">
        <f t="shared" si="91"/>
        <v>-1</v>
      </c>
      <c r="L1166" t="str">
        <f t="shared" si="92"/>
        <v>Yes</v>
      </c>
      <c r="M1166" t="str">
        <f t="shared" si="94"/>
        <v>Yes</v>
      </c>
      <c r="N1166" t="str">
        <f t="shared" si="93"/>
        <v>Yes</v>
      </c>
    </row>
    <row r="1167" spans="1:14" x14ac:dyDescent="0.3">
      <c r="A1167" s="4" t="s">
        <v>2351</v>
      </c>
      <c r="B1167" s="4" t="s">
        <v>2352</v>
      </c>
      <c r="C1167" s="4" t="s">
        <v>59</v>
      </c>
      <c r="D1167" s="5">
        <v>45842</v>
      </c>
      <c r="E1167" s="5">
        <v>45846</v>
      </c>
      <c r="F1167" s="5">
        <v>45845</v>
      </c>
      <c r="G1167" s="4" t="s">
        <v>22</v>
      </c>
      <c r="H1167" s="4">
        <v>21</v>
      </c>
      <c r="I1167" s="2">
        <v>21</v>
      </c>
      <c r="J1167">
        <f t="shared" si="90"/>
        <v>3</v>
      </c>
      <c r="K1167">
        <f t="shared" si="91"/>
        <v>-1</v>
      </c>
      <c r="L1167" t="str">
        <f t="shared" si="92"/>
        <v>Yes</v>
      </c>
      <c r="M1167" t="str">
        <f t="shared" si="94"/>
        <v>Yes</v>
      </c>
      <c r="N1167" t="str">
        <f t="shared" si="93"/>
        <v>Yes</v>
      </c>
    </row>
    <row r="1168" spans="1:14" x14ac:dyDescent="0.3">
      <c r="A1168" s="2" t="s">
        <v>2353</v>
      </c>
      <c r="B1168" s="2" t="s">
        <v>2354</v>
      </c>
      <c r="C1168" s="2" t="s">
        <v>21</v>
      </c>
      <c r="D1168" s="3">
        <v>45842</v>
      </c>
      <c r="E1168" s="3">
        <v>45850</v>
      </c>
      <c r="F1168" s="3">
        <v>45848</v>
      </c>
      <c r="G1168" s="2" t="s">
        <v>22</v>
      </c>
      <c r="H1168" s="2">
        <v>28</v>
      </c>
      <c r="I1168" s="2">
        <v>28</v>
      </c>
      <c r="J1168">
        <f t="shared" si="90"/>
        <v>6</v>
      </c>
      <c r="K1168">
        <f t="shared" si="91"/>
        <v>-2</v>
      </c>
      <c r="L1168" t="str">
        <f t="shared" si="92"/>
        <v>Yes</v>
      </c>
      <c r="M1168" t="str">
        <f t="shared" si="94"/>
        <v>Yes</v>
      </c>
      <c r="N1168" t="str">
        <f t="shared" si="93"/>
        <v>Yes</v>
      </c>
    </row>
    <row r="1169" spans="1:14" x14ac:dyDescent="0.3">
      <c r="A1169" s="4" t="s">
        <v>2355</v>
      </c>
      <c r="B1169" s="4" t="s">
        <v>2356</v>
      </c>
      <c r="C1169" s="4" t="s">
        <v>27</v>
      </c>
      <c r="D1169" s="5">
        <v>45842</v>
      </c>
      <c r="E1169" s="5">
        <v>45843</v>
      </c>
      <c r="F1169" s="5">
        <v>45859</v>
      </c>
      <c r="G1169" s="4" t="s">
        <v>22</v>
      </c>
      <c r="H1169" s="4">
        <v>28</v>
      </c>
      <c r="I1169" s="2">
        <v>28</v>
      </c>
      <c r="J1169">
        <f t="shared" si="90"/>
        <v>17</v>
      </c>
      <c r="K1169">
        <f t="shared" si="91"/>
        <v>16</v>
      </c>
      <c r="L1169" t="str">
        <f t="shared" si="92"/>
        <v>No</v>
      </c>
      <c r="M1169" t="str">
        <f t="shared" si="94"/>
        <v>Yes</v>
      </c>
      <c r="N1169" t="str">
        <f t="shared" si="93"/>
        <v>No</v>
      </c>
    </row>
    <row r="1170" spans="1:14" x14ac:dyDescent="0.3">
      <c r="A1170" s="2" t="s">
        <v>2357</v>
      </c>
      <c r="B1170" s="2" t="s">
        <v>2358</v>
      </c>
      <c r="C1170" s="2" t="s">
        <v>27</v>
      </c>
      <c r="D1170" s="3">
        <v>45840</v>
      </c>
      <c r="E1170" s="3">
        <v>45844</v>
      </c>
      <c r="F1170" s="3">
        <v>45853</v>
      </c>
      <c r="G1170" s="2" t="s">
        <v>40</v>
      </c>
      <c r="H1170" s="2">
        <v>5</v>
      </c>
      <c r="I1170" s="2">
        <v>5</v>
      </c>
      <c r="J1170">
        <f t="shared" si="90"/>
        <v>13</v>
      </c>
      <c r="K1170">
        <f t="shared" si="91"/>
        <v>9</v>
      </c>
      <c r="L1170" t="str">
        <f t="shared" si="92"/>
        <v>No</v>
      </c>
      <c r="M1170" t="str">
        <f t="shared" si="94"/>
        <v>Yes</v>
      </c>
      <c r="N1170" t="str">
        <f t="shared" si="93"/>
        <v>No</v>
      </c>
    </row>
    <row r="1171" spans="1:14" x14ac:dyDescent="0.3">
      <c r="A1171" s="4" t="s">
        <v>2359</v>
      </c>
      <c r="B1171" s="4" t="s">
        <v>2360</v>
      </c>
      <c r="C1171" s="4" t="s">
        <v>37</v>
      </c>
      <c r="D1171" s="5">
        <v>45842</v>
      </c>
      <c r="E1171" s="5">
        <v>45850</v>
      </c>
      <c r="F1171" s="5">
        <v>45855</v>
      </c>
      <c r="G1171" s="4" t="s">
        <v>22</v>
      </c>
      <c r="H1171" s="4">
        <v>28</v>
      </c>
      <c r="I1171" s="2">
        <v>28</v>
      </c>
      <c r="J1171">
        <f t="shared" si="90"/>
        <v>13</v>
      </c>
      <c r="K1171">
        <f t="shared" si="91"/>
        <v>5</v>
      </c>
      <c r="L1171" t="str">
        <f t="shared" si="92"/>
        <v>No</v>
      </c>
      <c r="M1171" t="str">
        <f t="shared" si="94"/>
        <v>Yes</v>
      </c>
      <c r="N1171" t="str">
        <f t="shared" si="93"/>
        <v>No</v>
      </c>
    </row>
    <row r="1172" spans="1:14" x14ac:dyDescent="0.3">
      <c r="A1172" s="2" t="s">
        <v>2361</v>
      </c>
      <c r="B1172" s="2" t="s">
        <v>2362</v>
      </c>
      <c r="C1172" s="2" t="s">
        <v>10</v>
      </c>
      <c r="D1172" s="3">
        <v>45841</v>
      </c>
      <c r="E1172" s="3">
        <v>45847</v>
      </c>
      <c r="F1172" s="3">
        <v>45847</v>
      </c>
      <c r="G1172" s="2" t="s">
        <v>40</v>
      </c>
      <c r="H1172" s="2">
        <v>21</v>
      </c>
      <c r="I1172" s="2">
        <v>21</v>
      </c>
      <c r="J1172">
        <f t="shared" si="90"/>
        <v>6</v>
      </c>
      <c r="K1172">
        <f t="shared" si="91"/>
        <v>0</v>
      </c>
      <c r="L1172" t="str">
        <f t="shared" si="92"/>
        <v>Yes</v>
      </c>
      <c r="M1172" t="str">
        <f t="shared" si="94"/>
        <v>Yes</v>
      </c>
      <c r="N1172" t="str">
        <f t="shared" si="93"/>
        <v>Yes</v>
      </c>
    </row>
    <row r="1173" spans="1:14" x14ac:dyDescent="0.3">
      <c r="A1173" s="4" t="s">
        <v>2363</v>
      </c>
      <c r="B1173" s="4" t="s">
        <v>2364</v>
      </c>
      <c r="C1173" s="4" t="s">
        <v>14</v>
      </c>
      <c r="D1173" s="5">
        <v>45841</v>
      </c>
      <c r="E1173" s="5">
        <v>45851</v>
      </c>
      <c r="F1173" s="5">
        <v>45855</v>
      </c>
      <c r="G1173" s="4" t="s">
        <v>40</v>
      </c>
      <c r="H1173" s="4">
        <v>35</v>
      </c>
      <c r="I1173" s="2">
        <v>38</v>
      </c>
      <c r="J1173">
        <f t="shared" si="90"/>
        <v>14</v>
      </c>
      <c r="K1173">
        <f t="shared" si="91"/>
        <v>4</v>
      </c>
      <c r="L1173" t="str">
        <f t="shared" si="92"/>
        <v>No</v>
      </c>
      <c r="M1173" t="str">
        <f t="shared" si="94"/>
        <v>No</v>
      </c>
      <c r="N1173" t="str">
        <f t="shared" si="93"/>
        <v>No</v>
      </c>
    </row>
    <row r="1174" spans="1:14" x14ac:dyDescent="0.3">
      <c r="A1174" s="2" t="s">
        <v>2365</v>
      </c>
      <c r="B1174" s="2" t="s">
        <v>2366</v>
      </c>
      <c r="C1174" s="2" t="s">
        <v>21</v>
      </c>
      <c r="D1174" s="3">
        <v>45843</v>
      </c>
      <c r="E1174" s="3">
        <v>45848</v>
      </c>
      <c r="F1174" s="3">
        <v>45851</v>
      </c>
      <c r="G1174" s="2" t="s">
        <v>15</v>
      </c>
      <c r="H1174" s="2">
        <v>66</v>
      </c>
      <c r="I1174" s="2">
        <v>66</v>
      </c>
      <c r="J1174">
        <f t="shared" si="90"/>
        <v>8</v>
      </c>
      <c r="K1174">
        <f t="shared" si="91"/>
        <v>3</v>
      </c>
      <c r="L1174" t="str">
        <f t="shared" si="92"/>
        <v>No</v>
      </c>
      <c r="M1174" t="str">
        <f t="shared" si="94"/>
        <v>Yes</v>
      </c>
      <c r="N1174" t="str">
        <f t="shared" si="93"/>
        <v>No</v>
      </c>
    </row>
    <row r="1175" spans="1:14" x14ac:dyDescent="0.3">
      <c r="A1175" s="4" t="s">
        <v>2367</v>
      </c>
      <c r="B1175" s="4" t="s">
        <v>2368</v>
      </c>
      <c r="C1175" s="4" t="s">
        <v>21</v>
      </c>
      <c r="D1175" s="5">
        <v>45842</v>
      </c>
      <c r="E1175" s="5">
        <v>45849</v>
      </c>
      <c r="F1175" s="5">
        <v>45847</v>
      </c>
      <c r="G1175" s="4" t="s">
        <v>18</v>
      </c>
      <c r="H1175" s="4">
        <v>28</v>
      </c>
      <c r="I1175" s="2">
        <v>33</v>
      </c>
      <c r="J1175">
        <f t="shared" si="90"/>
        <v>5</v>
      </c>
      <c r="K1175">
        <f t="shared" si="91"/>
        <v>-2</v>
      </c>
      <c r="L1175" t="str">
        <f t="shared" si="92"/>
        <v>Yes</v>
      </c>
      <c r="M1175" t="str">
        <f t="shared" si="94"/>
        <v>No</v>
      </c>
      <c r="N1175" t="str">
        <f t="shared" si="93"/>
        <v>No</v>
      </c>
    </row>
    <row r="1176" spans="1:14" x14ac:dyDescent="0.3">
      <c r="A1176" s="2" t="s">
        <v>2369</v>
      </c>
      <c r="B1176" s="2" t="s">
        <v>2370</v>
      </c>
      <c r="C1176" s="2" t="s">
        <v>27</v>
      </c>
      <c r="D1176" s="3">
        <v>45841</v>
      </c>
      <c r="E1176" s="3">
        <v>45848</v>
      </c>
      <c r="F1176" s="3">
        <v>45854</v>
      </c>
      <c r="G1176" s="2" t="s">
        <v>15</v>
      </c>
      <c r="H1176" s="2">
        <v>8</v>
      </c>
      <c r="I1176" s="2">
        <v>8</v>
      </c>
      <c r="J1176">
        <f t="shared" si="90"/>
        <v>13</v>
      </c>
      <c r="K1176">
        <f t="shared" si="91"/>
        <v>6</v>
      </c>
      <c r="L1176" t="str">
        <f t="shared" si="92"/>
        <v>No</v>
      </c>
      <c r="M1176" t="str">
        <f t="shared" si="94"/>
        <v>Yes</v>
      </c>
      <c r="N1176" t="str">
        <f t="shared" si="93"/>
        <v>No</v>
      </c>
    </row>
    <row r="1177" spans="1:14" x14ac:dyDescent="0.3">
      <c r="A1177" s="4" t="s">
        <v>2371</v>
      </c>
      <c r="B1177" s="4" t="s">
        <v>2372</v>
      </c>
      <c r="C1177" s="4" t="s">
        <v>72</v>
      </c>
      <c r="D1177" s="5">
        <v>45842</v>
      </c>
      <c r="E1177" s="5">
        <v>45850</v>
      </c>
      <c r="F1177" s="5">
        <v>45860</v>
      </c>
      <c r="G1177" s="4" t="s">
        <v>11</v>
      </c>
      <c r="H1177" s="4">
        <v>7</v>
      </c>
      <c r="I1177" s="2">
        <v>7</v>
      </c>
      <c r="J1177">
        <f t="shared" si="90"/>
        <v>18</v>
      </c>
      <c r="K1177">
        <f t="shared" si="91"/>
        <v>10</v>
      </c>
      <c r="L1177" t="str">
        <f t="shared" si="92"/>
        <v>No</v>
      </c>
      <c r="M1177" t="str">
        <f t="shared" si="94"/>
        <v>Yes</v>
      </c>
      <c r="N1177" t="str">
        <f t="shared" si="93"/>
        <v>No</v>
      </c>
    </row>
    <row r="1178" spans="1:14" x14ac:dyDescent="0.3">
      <c r="A1178" s="2" t="s">
        <v>2373</v>
      </c>
      <c r="B1178" s="2" t="s">
        <v>2374</v>
      </c>
      <c r="C1178" s="2" t="s">
        <v>21</v>
      </c>
      <c r="D1178" s="3">
        <v>45843</v>
      </c>
      <c r="E1178" s="3">
        <v>45848</v>
      </c>
      <c r="F1178" s="3">
        <v>45851</v>
      </c>
      <c r="G1178" s="2" t="s">
        <v>40</v>
      </c>
      <c r="H1178" s="2">
        <v>27</v>
      </c>
      <c r="I1178" s="2">
        <v>32</v>
      </c>
      <c r="J1178">
        <f t="shared" si="90"/>
        <v>8</v>
      </c>
      <c r="K1178">
        <f t="shared" si="91"/>
        <v>3</v>
      </c>
      <c r="L1178" t="str">
        <f t="shared" si="92"/>
        <v>No</v>
      </c>
      <c r="M1178" t="str">
        <f t="shared" si="94"/>
        <v>No</v>
      </c>
      <c r="N1178" t="str">
        <f t="shared" si="93"/>
        <v>No</v>
      </c>
    </row>
    <row r="1179" spans="1:14" x14ac:dyDescent="0.3">
      <c r="A1179" s="4" t="s">
        <v>2375</v>
      </c>
      <c r="B1179" s="4" t="s">
        <v>2376</v>
      </c>
      <c r="C1179" s="4" t="s">
        <v>21</v>
      </c>
      <c r="D1179" s="5">
        <v>45843</v>
      </c>
      <c r="E1179" s="5">
        <v>45847</v>
      </c>
      <c r="F1179" s="5">
        <v>45849</v>
      </c>
      <c r="G1179" s="4" t="s">
        <v>11</v>
      </c>
      <c r="H1179" s="4">
        <v>28</v>
      </c>
      <c r="I1179" s="2">
        <v>28</v>
      </c>
      <c r="J1179">
        <f t="shared" si="90"/>
        <v>6</v>
      </c>
      <c r="K1179">
        <f t="shared" si="91"/>
        <v>2</v>
      </c>
      <c r="L1179" t="str">
        <f t="shared" si="92"/>
        <v>No</v>
      </c>
      <c r="M1179" t="str">
        <f t="shared" si="94"/>
        <v>Yes</v>
      </c>
      <c r="N1179" t="str">
        <f t="shared" si="93"/>
        <v>No</v>
      </c>
    </row>
    <row r="1180" spans="1:14" x14ac:dyDescent="0.3">
      <c r="A1180" s="2" t="s">
        <v>2377</v>
      </c>
      <c r="B1180" s="2" t="s">
        <v>2378</v>
      </c>
      <c r="C1180" s="2" t="s">
        <v>27</v>
      </c>
      <c r="D1180" s="3">
        <v>45842</v>
      </c>
      <c r="E1180" s="3">
        <v>45852</v>
      </c>
      <c r="F1180" s="3">
        <v>45854</v>
      </c>
      <c r="G1180" s="2" t="s">
        <v>11</v>
      </c>
      <c r="H1180" s="2">
        <v>31</v>
      </c>
      <c r="I1180" s="2">
        <v>31</v>
      </c>
      <c r="J1180">
        <f t="shared" si="90"/>
        <v>12</v>
      </c>
      <c r="K1180">
        <f t="shared" si="91"/>
        <v>2</v>
      </c>
      <c r="L1180" t="str">
        <f t="shared" si="92"/>
        <v>No</v>
      </c>
      <c r="M1180" t="str">
        <f t="shared" si="94"/>
        <v>Yes</v>
      </c>
      <c r="N1180" t="str">
        <f t="shared" si="93"/>
        <v>No</v>
      </c>
    </row>
    <row r="1181" spans="1:14" x14ac:dyDescent="0.3">
      <c r="A1181" s="4" t="s">
        <v>2379</v>
      </c>
      <c r="B1181" s="4" t="s">
        <v>2380</v>
      </c>
      <c r="C1181" s="4" t="s">
        <v>37</v>
      </c>
      <c r="D1181" s="5">
        <v>45843</v>
      </c>
      <c r="E1181" s="5">
        <v>45846</v>
      </c>
      <c r="F1181" s="5">
        <v>45856</v>
      </c>
      <c r="G1181" s="4" t="s">
        <v>40</v>
      </c>
      <c r="H1181" s="4">
        <v>17</v>
      </c>
      <c r="I1181" s="2">
        <v>17</v>
      </c>
      <c r="J1181">
        <f t="shared" si="90"/>
        <v>13</v>
      </c>
      <c r="K1181">
        <f t="shared" si="91"/>
        <v>10</v>
      </c>
      <c r="L1181" t="str">
        <f t="shared" si="92"/>
        <v>No</v>
      </c>
      <c r="M1181" t="str">
        <f t="shared" si="94"/>
        <v>Yes</v>
      </c>
      <c r="N1181" t="str">
        <f t="shared" si="93"/>
        <v>No</v>
      </c>
    </row>
    <row r="1182" spans="1:14" x14ac:dyDescent="0.3">
      <c r="A1182" s="2" t="s">
        <v>2381</v>
      </c>
      <c r="B1182" s="2" t="s">
        <v>2382</v>
      </c>
      <c r="C1182" s="2" t="s">
        <v>72</v>
      </c>
      <c r="D1182" s="3">
        <v>45844</v>
      </c>
      <c r="E1182" s="3">
        <v>45851</v>
      </c>
      <c r="F1182" s="3">
        <v>45862</v>
      </c>
      <c r="G1182" s="2" t="s">
        <v>11</v>
      </c>
      <c r="H1182" s="2">
        <v>13</v>
      </c>
      <c r="I1182" s="2">
        <v>17</v>
      </c>
      <c r="J1182">
        <f t="shared" si="90"/>
        <v>18</v>
      </c>
      <c r="K1182">
        <f t="shared" si="91"/>
        <v>11</v>
      </c>
      <c r="L1182" t="str">
        <f t="shared" si="92"/>
        <v>No</v>
      </c>
      <c r="M1182" t="str">
        <f t="shared" si="94"/>
        <v>No</v>
      </c>
      <c r="N1182" t="str">
        <f t="shared" si="93"/>
        <v>No</v>
      </c>
    </row>
    <row r="1183" spans="1:14" x14ac:dyDescent="0.3">
      <c r="A1183" s="4" t="s">
        <v>2383</v>
      </c>
      <c r="B1183" s="4" t="s">
        <v>2384</v>
      </c>
      <c r="C1183" s="4" t="s">
        <v>14</v>
      </c>
      <c r="D1183" s="5">
        <v>45843</v>
      </c>
      <c r="E1183" s="5">
        <v>45851</v>
      </c>
      <c r="F1183" s="5">
        <v>45858</v>
      </c>
      <c r="G1183" s="4" t="s">
        <v>18</v>
      </c>
      <c r="H1183" s="4">
        <v>16</v>
      </c>
      <c r="I1183" s="2">
        <v>16</v>
      </c>
      <c r="J1183">
        <f t="shared" si="90"/>
        <v>15</v>
      </c>
      <c r="K1183">
        <f t="shared" si="91"/>
        <v>7</v>
      </c>
      <c r="L1183" t="str">
        <f t="shared" si="92"/>
        <v>No</v>
      </c>
      <c r="M1183" t="str">
        <f t="shared" si="94"/>
        <v>Yes</v>
      </c>
      <c r="N1183" t="str">
        <f t="shared" si="93"/>
        <v>No</v>
      </c>
    </row>
    <row r="1184" spans="1:14" x14ac:dyDescent="0.3">
      <c r="A1184" s="2" t="s">
        <v>2385</v>
      </c>
      <c r="B1184" s="2" t="s">
        <v>2386</v>
      </c>
      <c r="C1184" s="2" t="s">
        <v>59</v>
      </c>
      <c r="D1184" s="3">
        <v>45843</v>
      </c>
      <c r="E1184" s="3">
        <v>45851</v>
      </c>
      <c r="F1184" s="3">
        <v>45847</v>
      </c>
      <c r="G1184" s="2" t="s">
        <v>40</v>
      </c>
      <c r="H1184" s="2">
        <v>19</v>
      </c>
      <c r="I1184" s="2">
        <v>19</v>
      </c>
      <c r="J1184">
        <f t="shared" si="90"/>
        <v>4</v>
      </c>
      <c r="K1184">
        <f t="shared" si="91"/>
        <v>-4</v>
      </c>
      <c r="L1184" t="str">
        <f t="shared" si="92"/>
        <v>Yes</v>
      </c>
      <c r="M1184" t="str">
        <f t="shared" si="94"/>
        <v>Yes</v>
      </c>
      <c r="N1184" t="str">
        <f t="shared" si="93"/>
        <v>Yes</v>
      </c>
    </row>
    <row r="1185" spans="1:14" x14ac:dyDescent="0.3">
      <c r="A1185" s="4" t="s">
        <v>2387</v>
      </c>
      <c r="B1185" s="4" t="s">
        <v>2388</v>
      </c>
      <c r="C1185" s="4" t="s">
        <v>27</v>
      </c>
      <c r="D1185" s="5">
        <v>45845</v>
      </c>
      <c r="E1185" s="5">
        <v>45853</v>
      </c>
      <c r="F1185" s="5">
        <v>45858</v>
      </c>
      <c r="G1185" s="4" t="s">
        <v>22</v>
      </c>
      <c r="H1185" s="4">
        <v>11</v>
      </c>
      <c r="I1185" s="2">
        <v>11</v>
      </c>
      <c r="J1185">
        <f t="shared" si="90"/>
        <v>13</v>
      </c>
      <c r="K1185">
        <f t="shared" si="91"/>
        <v>5</v>
      </c>
      <c r="L1185" t="str">
        <f t="shared" si="92"/>
        <v>No</v>
      </c>
      <c r="M1185" t="str">
        <f t="shared" si="94"/>
        <v>Yes</v>
      </c>
      <c r="N1185" t="str">
        <f t="shared" si="93"/>
        <v>No</v>
      </c>
    </row>
    <row r="1186" spans="1:14" x14ac:dyDescent="0.3">
      <c r="A1186" s="2" t="s">
        <v>2389</v>
      </c>
      <c r="B1186" s="2" t="s">
        <v>2390</v>
      </c>
      <c r="C1186" s="2" t="s">
        <v>27</v>
      </c>
      <c r="D1186" s="3">
        <v>45844</v>
      </c>
      <c r="E1186" s="3">
        <v>45849</v>
      </c>
      <c r="F1186" s="3">
        <v>45859</v>
      </c>
      <c r="G1186" s="2" t="s">
        <v>11</v>
      </c>
      <c r="H1186" s="2">
        <v>9</v>
      </c>
      <c r="I1186" s="2">
        <v>9</v>
      </c>
      <c r="J1186">
        <f t="shared" si="90"/>
        <v>15</v>
      </c>
      <c r="K1186">
        <f t="shared" si="91"/>
        <v>10</v>
      </c>
      <c r="L1186" t="str">
        <f t="shared" si="92"/>
        <v>No</v>
      </c>
      <c r="M1186" t="str">
        <f t="shared" si="94"/>
        <v>Yes</v>
      </c>
      <c r="N1186" t="str">
        <f t="shared" si="93"/>
        <v>No</v>
      </c>
    </row>
    <row r="1187" spans="1:14" x14ac:dyDescent="0.3">
      <c r="A1187" s="4" t="s">
        <v>2391</v>
      </c>
      <c r="B1187" s="4" t="s">
        <v>2392</v>
      </c>
      <c r="C1187" s="4" t="s">
        <v>34</v>
      </c>
      <c r="D1187" s="5">
        <v>45844</v>
      </c>
      <c r="E1187" s="5">
        <v>45851</v>
      </c>
      <c r="F1187" s="5">
        <v>45855</v>
      </c>
      <c r="G1187" s="4" t="s">
        <v>18</v>
      </c>
      <c r="H1187" s="4">
        <v>10</v>
      </c>
      <c r="I1187" s="2">
        <v>12</v>
      </c>
      <c r="J1187">
        <f t="shared" si="90"/>
        <v>11</v>
      </c>
      <c r="K1187">
        <f t="shared" si="91"/>
        <v>4</v>
      </c>
      <c r="L1187" t="str">
        <f t="shared" si="92"/>
        <v>No</v>
      </c>
      <c r="M1187" t="str">
        <f t="shared" si="94"/>
        <v>No</v>
      </c>
      <c r="N1187" t="str">
        <f t="shared" si="93"/>
        <v>No</v>
      </c>
    </row>
    <row r="1188" spans="1:14" x14ac:dyDescent="0.3">
      <c r="A1188" s="2" t="s">
        <v>2393</v>
      </c>
      <c r="B1188" s="2" t="s">
        <v>2394</v>
      </c>
      <c r="C1188" s="2" t="s">
        <v>34</v>
      </c>
      <c r="D1188" s="3">
        <v>45845</v>
      </c>
      <c r="E1188" s="3">
        <v>45849</v>
      </c>
      <c r="F1188" s="3">
        <v>45856</v>
      </c>
      <c r="G1188" s="2" t="s">
        <v>18</v>
      </c>
      <c r="H1188" s="2">
        <v>42</v>
      </c>
      <c r="I1188" s="2">
        <v>42</v>
      </c>
      <c r="J1188">
        <f t="shared" si="90"/>
        <v>11</v>
      </c>
      <c r="K1188">
        <f t="shared" si="91"/>
        <v>7</v>
      </c>
      <c r="L1188" t="str">
        <f t="shared" si="92"/>
        <v>No</v>
      </c>
      <c r="M1188" t="str">
        <f t="shared" si="94"/>
        <v>Yes</v>
      </c>
      <c r="N1188" t="str">
        <f t="shared" si="93"/>
        <v>No</v>
      </c>
    </row>
    <row r="1189" spans="1:14" x14ac:dyDescent="0.3">
      <c r="A1189" s="4" t="s">
        <v>2395</v>
      </c>
      <c r="B1189" s="4" t="s">
        <v>2396</v>
      </c>
      <c r="C1189" s="4" t="s">
        <v>72</v>
      </c>
      <c r="D1189" s="5">
        <v>45846</v>
      </c>
      <c r="E1189" s="5">
        <v>45850</v>
      </c>
      <c r="F1189" s="5">
        <v>45860</v>
      </c>
      <c r="G1189" s="4" t="s">
        <v>22</v>
      </c>
      <c r="H1189" s="4">
        <v>42</v>
      </c>
      <c r="I1189" s="2">
        <v>42</v>
      </c>
      <c r="J1189">
        <f t="shared" si="90"/>
        <v>14</v>
      </c>
      <c r="K1189">
        <f t="shared" si="91"/>
        <v>10</v>
      </c>
      <c r="L1189" t="str">
        <f t="shared" si="92"/>
        <v>No</v>
      </c>
      <c r="M1189" t="str">
        <f t="shared" si="94"/>
        <v>Yes</v>
      </c>
      <c r="N1189" t="str">
        <f t="shared" si="93"/>
        <v>No</v>
      </c>
    </row>
    <row r="1190" spans="1:14" x14ac:dyDescent="0.3">
      <c r="A1190" s="2" t="s">
        <v>2397</v>
      </c>
      <c r="B1190" s="2" t="s">
        <v>2398</v>
      </c>
      <c r="C1190" s="2" t="s">
        <v>10</v>
      </c>
      <c r="D1190" s="3">
        <v>45846</v>
      </c>
      <c r="E1190" s="3">
        <v>45851</v>
      </c>
      <c r="F1190" s="3">
        <v>45850</v>
      </c>
      <c r="G1190" s="2" t="s">
        <v>11</v>
      </c>
      <c r="H1190" s="2">
        <v>7</v>
      </c>
      <c r="I1190" s="2">
        <v>7</v>
      </c>
      <c r="J1190">
        <f t="shared" si="90"/>
        <v>4</v>
      </c>
      <c r="K1190">
        <f t="shared" si="91"/>
        <v>-1</v>
      </c>
      <c r="L1190" t="str">
        <f t="shared" si="92"/>
        <v>Yes</v>
      </c>
      <c r="M1190" t="str">
        <f t="shared" si="94"/>
        <v>Yes</v>
      </c>
      <c r="N1190" t="str">
        <f t="shared" si="93"/>
        <v>Yes</v>
      </c>
    </row>
    <row r="1191" spans="1:14" x14ac:dyDescent="0.3">
      <c r="A1191" s="4" t="s">
        <v>2399</v>
      </c>
      <c r="B1191" s="4" t="s">
        <v>2400</v>
      </c>
      <c r="C1191" s="4" t="s">
        <v>59</v>
      </c>
      <c r="D1191" s="5">
        <v>45844</v>
      </c>
      <c r="E1191" s="5">
        <v>45853</v>
      </c>
      <c r="F1191" s="5">
        <v>45848</v>
      </c>
      <c r="G1191" s="4" t="s">
        <v>22</v>
      </c>
      <c r="H1191" s="4">
        <v>1</v>
      </c>
      <c r="I1191" s="2">
        <v>1</v>
      </c>
      <c r="J1191">
        <f t="shared" si="90"/>
        <v>4</v>
      </c>
      <c r="K1191">
        <f t="shared" si="91"/>
        <v>-5</v>
      </c>
      <c r="L1191" t="str">
        <f t="shared" si="92"/>
        <v>Yes</v>
      </c>
      <c r="M1191" t="str">
        <f t="shared" si="94"/>
        <v>Yes</v>
      </c>
      <c r="N1191" t="str">
        <f t="shared" si="93"/>
        <v>Yes</v>
      </c>
    </row>
    <row r="1192" spans="1:14" x14ac:dyDescent="0.3">
      <c r="A1192" s="2" t="s">
        <v>2401</v>
      </c>
      <c r="B1192" s="2" t="s">
        <v>2402</v>
      </c>
      <c r="C1192" s="2" t="s">
        <v>14</v>
      </c>
      <c r="D1192" s="3">
        <v>45846</v>
      </c>
      <c r="E1192" s="3">
        <v>45848</v>
      </c>
      <c r="F1192" s="3">
        <v>45862</v>
      </c>
      <c r="G1192" s="2" t="s">
        <v>11</v>
      </c>
      <c r="H1192" s="2">
        <v>23</v>
      </c>
      <c r="I1192" s="2">
        <v>23</v>
      </c>
      <c r="J1192">
        <f t="shared" si="90"/>
        <v>16</v>
      </c>
      <c r="K1192">
        <f t="shared" si="91"/>
        <v>14</v>
      </c>
      <c r="L1192" t="str">
        <f t="shared" si="92"/>
        <v>No</v>
      </c>
      <c r="M1192" t="str">
        <f t="shared" si="94"/>
        <v>Yes</v>
      </c>
      <c r="N1192" t="str">
        <f t="shared" si="93"/>
        <v>No</v>
      </c>
    </row>
    <row r="1193" spans="1:14" x14ac:dyDescent="0.3">
      <c r="A1193" s="4" t="s">
        <v>2403</v>
      </c>
      <c r="B1193" s="4" t="s">
        <v>2404</v>
      </c>
      <c r="C1193" s="4" t="s">
        <v>21</v>
      </c>
      <c r="D1193" s="5">
        <v>45844</v>
      </c>
      <c r="E1193" s="5">
        <v>45850</v>
      </c>
      <c r="F1193" s="5">
        <v>45850</v>
      </c>
      <c r="G1193" s="4" t="s">
        <v>11</v>
      </c>
      <c r="H1193" s="4">
        <v>18</v>
      </c>
      <c r="I1193" s="2">
        <v>18</v>
      </c>
      <c r="J1193">
        <f t="shared" si="90"/>
        <v>6</v>
      </c>
      <c r="K1193">
        <f t="shared" si="91"/>
        <v>0</v>
      </c>
      <c r="L1193" t="str">
        <f t="shared" si="92"/>
        <v>Yes</v>
      </c>
      <c r="M1193" t="str">
        <f t="shared" si="94"/>
        <v>Yes</v>
      </c>
      <c r="N1193" t="str">
        <f t="shared" si="93"/>
        <v>Yes</v>
      </c>
    </row>
    <row r="1194" spans="1:14" x14ac:dyDescent="0.3">
      <c r="A1194" s="2" t="s">
        <v>2405</v>
      </c>
      <c r="B1194" s="2" t="s">
        <v>2406</v>
      </c>
      <c r="C1194" s="2" t="s">
        <v>27</v>
      </c>
      <c r="D1194" s="3">
        <v>45845</v>
      </c>
      <c r="E1194" s="3">
        <v>45847</v>
      </c>
      <c r="F1194" s="3">
        <v>45857</v>
      </c>
      <c r="G1194" s="2" t="s">
        <v>15</v>
      </c>
      <c r="H1194" s="2">
        <v>6</v>
      </c>
      <c r="I1194" s="2">
        <v>6</v>
      </c>
      <c r="J1194">
        <f t="shared" si="90"/>
        <v>12</v>
      </c>
      <c r="K1194">
        <f t="shared" si="91"/>
        <v>10</v>
      </c>
      <c r="L1194" t="str">
        <f t="shared" si="92"/>
        <v>No</v>
      </c>
      <c r="M1194" t="str">
        <f t="shared" si="94"/>
        <v>Yes</v>
      </c>
      <c r="N1194" t="str">
        <f t="shared" si="93"/>
        <v>No</v>
      </c>
    </row>
    <row r="1195" spans="1:14" x14ac:dyDescent="0.3">
      <c r="A1195" s="4" t="s">
        <v>2407</v>
      </c>
      <c r="B1195" s="4" t="s">
        <v>2408</v>
      </c>
      <c r="C1195" s="4" t="s">
        <v>34</v>
      </c>
      <c r="D1195" s="5">
        <v>45847</v>
      </c>
      <c r="E1195" s="5">
        <v>45849</v>
      </c>
      <c r="F1195" s="5">
        <v>45854</v>
      </c>
      <c r="G1195" s="4" t="s">
        <v>40</v>
      </c>
      <c r="H1195" s="4">
        <v>20</v>
      </c>
      <c r="I1195" s="2">
        <v>20</v>
      </c>
      <c r="J1195">
        <f t="shared" si="90"/>
        <v>7</v>
      </c>
      <c r="K1195">
        <f t="shared" si="91"/>
        <v>5</v>
      </c>
      <c r="L1195" t="str">
        <f t="shared" si="92"/>
        <v>No</v>
      </c>
      <c r="M1195" t="str">
        <f t="shared" si="94"/>
        <v>Yes</v>
      </c>
      <c r="N1195" t="str">
        <f t="shared" si="93"/>
        <v>No</v>
      </c>
    </row>
    <row r="1196" spans="1:14" x14ac:dyDescent="0.3">
      <c r="A1196" s="2" t="s">
        <v>2409</v>
      </c>
      <c r="B1196" s="2" t="s">
        <v>2410</v>
      </c>
      <c r="C1196" s="2" t="s">
        <v>37</v>
      </c>
      <c r="D1196" s="3">
        <v>45846</v>
      </c>
      <c r="E1196" s="3">
        <v>45849</v>
      </c>
      <c r="F1196" s="3">
        <v>45863</v>
      </c>
      <c r="G1196" s="2" t="s">
        <v>11</v>
      </c>
      <c r="H1196" s="2">
        <v>29</v>
      </c>
      <c r="I1196" s="2">
        <v>29</v>
      </c>
      <c r="J1196">
        <f t="shared" si="90"/>
        <v>17</v>
      </c>
      <c r="K1196">
        <f t="shared" si="91"/>
        <v>14</v>
      </c>
      <c r="L1196" t="str">
        <f t="shared" si="92"/>
        <v>No</v>
      </c>
      <c r="M1196" t="str">
        <f t="shared" si="94"/>
        <v>Yes</v>
      </c>
      <c r="N1196" t="str">
        <f t="shared" si="93"/>
        <v>No</v>
      </c>
    </row>
    <row r="1197" spans="1:14" x14ac:dyDescent="0.3">
      <c r="A1197" s="4" t="s">
        <v>2411</v>
      </c>
      <c r="B1197" s="4" t="s">
        <v>2412</v>
      </c>
      <c r="C1197" s="4" t="s">
        <v>72</v>
      </c>
      <c r="D1197" s="5">
        <v>45845</v>
      </c>
      <c r="E1197" s="5">
        <v>45848</v>
      </c>
      <c r="F1197" s="5">
        <v>45859</v>
      </c>
      <c r="G1197" s="4" t="s">
        <v>40</v>
      </c>
      <c r="H1197" s="4">
        <v>20</v>
      </c>
      <c r="I1197" s="2">
        <v>20</v>
      </c>
      <c r="J1197">
        <f t="shared" si="90"/>
        <v>14</v>
      </c>
      <c r="K1197">
        <f t="shared" si="91"/>
        <v>11</v>
      </c>
      <c r="L1197" t="str">
        <f t="shared" si="92"/>
        <v>No</v>
      </c>
      <c r="M1197" t="str">
        <f t="shared" si="94"/>
        <v>Yes</v>
      </c>
      <c r="N1197" t="str">
        <f t="shared" si="93"/>
        <v>No</v>
      </c>
    </row>
    <row r="1198" spans="1:14" x14ac:dyDescent="0.3">
      <c r="A1198" s="2" t="s">
        <v>2413</v>
      </c>
      <c r="B1198" s="2" t="s">
        <v>2414</v>
      </c>
      <c r="C1198" s="2" t="s">
        <v>10</v>
      </c>
      <c r="D1198" s="3">
        <v>45846</v>
      </c>
      <c r="E1198" s="3">
        <v>45848</v>
      </c>
      <c r="F1198" s="3">
        <v>45853</v>
      </c>
      <c r="G1198" s="2" t="s">
        <v>11</v>
      </c>
      <c r="H1198" s="2">
        <v>2</v>
      </c>
      <c r="I1198" s="2">
        <v>2</v>
      </c>
      <c r="J1198">
        <f t="shared" si="90"/>
        <v>7</v>
      </c>
      <c r="K1198">
        <f t="shared" si="91"/>
        <v>5</v>
      </c>
      <c r="L1198" t="str">
        <f t="shared" si="92"/>
        <v>No</v>
      </c>
      <c r="M1198" t="str">
        <f t="shared" si="94"/>
        <v>Yes</v>
      </c>
      <c r="N1198" t="str">
        <f t="shared" si="93"/>
        <v>No</v>
      </c>
    </row>
    <row r="1199" spans="1:14" x14ac:dyDescent="0.3">
      <c r="A1199" s="4" t="s">
        <v>2415</v>
      </c>
      <c r="B1199" s="4" t="s">
        <v>2416</v>
      </c>
      <c r="C1199" s="4" t="s">
        <v>27</v>
      </c>
      <c r="D1199" s="5">
        <v>45845</v>
      </c>
      <c r="E1199" s="5">
        <v>45848</v>
      </c>
      <c r="F1199" s="5">
        <v>45857</v>
      </c>
      <c r="G1199" s="4" t="s">
        <v>18</v>
      </c>
      <c r="H1199" s="4">
        <v>29</v>
      </c>
      <c r="I1199" s="2">
        <v>29</v>
      </c>
      <c r="J1199">
        <f t="shared" si="90"/>
        <v>12</v>
      </c>
      <c r="K1199">
        <f t="shared" si="91"/>
        <v>9</v>
      </c>
      <c r="L1199" t="str">
        <f t="shared" si="92"/>
        <v>No</v>
      </c>
      <c r="M1199" t="str">
        <f t="shared" si="94"/>
        <v>Yes</v>
      </c>
      <c r="N1199" t="str">
        <f t="shared" si="93"/>
        <v>No</v>
      </c>
    </row>
    <row r="1200" spans="1:14" x14ac:dyDescent="0.3">
      <c r="A1200" s="2" t="s">
        <v>2417</v>
      </c>
      <c r="B1200" s="2" t="s">
        <v>2418</v>
      </c>
      <c r="C1200" s="2" t="s">
        <v>27</v>
      </c>
      <c r="D1200" s="3">
        <v>45845</v>
      </c>
      <c r="E1200" s="3">
        <v>45850</v>
      </c>
      <c r="F1200" s="3">
        <v>45859</v>
      </c>
      <c r="G1200" s="2" t="s">
        <v>18</v>
      </c>
      <c r="H1200" s="2">
        <v>7</v>
      </c>
      <c r="I1200" s="2">
        <v>7</v>
      </c>
      <c r="J1200">
        <f t="shared" si="90"/>
        <v>14</v>
      </c>
      <c r="K1200">
        <f t="shared" si="91"/>
        <v>9</v>
      </c>
      <c r="L1200" t="str">
        <f t="shared" si="92"/>
        <v>No</v>
      </c>
      <c r="M1200" t="str">
        <f t="shared" si="94"/>
        <v>Yes</v>
      </c>
      <c r="N1200" t="str">
        <f t="shared" si="93"/>
        <v>No</v>
      </c>
    </row>
    <row r="1201" spans="1:14" x14ac:dyDescent="0.3">
      <c r="A1201" s="4" t="s">
        <v>2419</v>
      </c>
      <c r="B1201" s="4" t="s">
        <v>2420</v>
      </c>
      <c r="C1201" s="4" t="s">
        <v>27</v>
      </c>
      <c r="D1201" s="5">
        <v>45846</v>
      </c>
      <c r="E1201" s="5">
        <v>45854</v>
      </c>
      <c r="F1201" s="5">
        <v>45859</v>
      </c>
      <c r="G1201" s="4" t="s">
        <v>40</v>
      </c>
      <c r="H1201" s="4">
        <v>1</v>
      </c>
      <c r="I1201" s="2">
        <v>8</v>
      </c>
      <c r="J1201">
        <f t="shared" si="90"/>
        <v>13</v>
      </c>
      <c r="K1201">
        <f t="shared" si="91"/>
        <v>5</v>
      </c>
      <c r="L1201" t="str">
        <f t="shared" si="92"/>
        <v>No</v>
      </c>
      <c r="M1201" t="str">
        <f t="shared" si="94"/>
        <v>No</v>
      </c>
      <c r="N1201" t="str">
        <f t="shared" si="93"/>
        <v>No</v>
      </c>
    </row>
    <row r="1202" spans="1:14" x14ac:dyDescent="0.3">
      <c r="A1202" s="2" t="s">
        <v>2421</v>
      </c>
      <c r="B1202" s="2" t="s">
        <v>2422</v>
      </c>
      <c r="C1202" s="2" t="s">
        <v>34</v>
      </c>
      <c r="D1202" s="3">
        <v>45846</v>
      </c>
      <c r="E1202" s="3">
        <v>45855</v>
      </c>
      <c r="F1202" s="3">
        <v>45853</v>
      </c>
      <c r="G1202" s="2" t="s">
        <v>11</v>
      </c>
      <c r="H1202" s="2">
        <v>31</v>
      </c>
      <c r="I1202" s="2">
        <v>31</v>
      </c>
      <c r="J1202">
        <f t="shared" si="90"/>
        <v>7</v>
      </c>
      <c r="K1202">
        <f t="shared" si="91"/>
        <v>-2</v>
      </c>
      <c r="L1202" t="str">
        <f t="shared" si="92"/>
        <v>Yes</v>
      </c>
      <c r="M1202" t="str">
        <f t="shared" si="94"/>
        <v>Yes</v>
      </c>
      <c r="N1202" t="str">
        <f t="shared" si="93"/>
        <v>Yes</v>
      </c>
    </row>
    <row r="1203" spans="1:14" x14ac:dyDescent="0.3">
      <c r="A1203" s="4" t="s">
        <v>2423</v>
      </c>
      <c r="B1203" s="4" t="s">
        <v>2424</v>
      </c>
      <c r="C1203" s="4" t="s">
        <v>10</v>
      </c>
      <c r="D1203" s="5">
        <v>45848</v>
      </c>
      <c r="E1203" s="5">
        <v>45850</v>
      </c>
      <c r="F1203" s="5">
        <v>45852</v>
      </c>
      <c r="G1203" s="4" t="s">
        <v>11</v>
      </c>
      <c r="H1203" s="4">
        <v>15</v>
      </c>
      <c r="I1203" s="2">
        <v>15</v>
      </c>
      <c r="J1203">
        <f t="shared" si="90"/>
        <v>4</v>
      </c>
      <c r="K1203">
        <f t="shared" si="91"/>
        <v>2</v>
      </c>
      <c r="L1203" t="str">
        <f t="shared" si="92"/>
        <v>No</v>
      </c>
      <c r="M1203" t="str">
        <f t="shared" si="94"/>
        <v>Yes</v>
      </c>
      <c r="N1203" t="str">
        <f t="shared" si="93"/>
        <v>No</v>
      </c>
    </row>
    <row r="1204" spans="1:14" x14ac:dyDescent="0.3">
      <c r="A1204" s="2" t="s">
        <v>2425</v>
      </c>
      <c r="B1204" s="2" t="s">
        <v>2426</v>
      </c>
      <c r="C1204" s="2" t="s">
        <v>14</v>
      </c>
      <c r="D1204" s="3">
        <v>45848</v>
      </c>
      <c r="E1204" s="3">
        <v>45850</v>
      </c>
      <c r="F1204" s="3">
        <v>45862</v>
      </c>
      <c r="G1204" s="2" t="s">
        <v>15</v>
      </c>
      <c r="H1204" s="2">
        <v>42</v>
      </c>
      <c r="I1204" s="2">
        <v>42</v>
      </c>
      <c r="J1204">
        <f t="shared" si="90"/>
        <v>14</v>
      </c>
      <c r="K1204">
        <f t="shared" si="91"/>
        <v>12</v>
      </c>
      <c r="L1204" t="str">
        <f t="shared" si="92"/>
        <v>No</v>
      </c>
      <c r="M1204" t="str">
        <f t="shared" si="94"/>
        <v>Yes</v>
      </c>
      <c r="N1204" t="str">
        <f t="shared" si="93"/>
        <v>No</v>
      </c>
    </row>
    <row r="1205" spans="1:14" x14ac:dyDescent="0.3">
      <c r="A1205" s="4" t="s">
        <v>2427</v>
      </c>
      <c r="B1205" s="4" t="s">
        <v>2428</v>
      </c>
      <c r="C1205" s="4" t="s">
        <v>21</v>
      </c>
      <c r="D1205" s="5">
        <v>45846</v>
      </c>
      <c r="E1205" s="5">
        <v>45853</v>
      </c>
      <c r="F1205" s="5">
        <v>45852</v>
      </c>
      <c r="G1205" s="4" t="s">
        <v>22</v>
      </c>
      <c r="H1205" s="4">
        <v>44</v>
      </c>
      <c r="I1205" s="2">
        <v>44</v>
      </c>
      <c r="J1205">
        <f t="shared" si="90"/>
        <v>6</v>
      </c>
      <c r="K1205">
        <f t="shared" si="91"/>
        <v>-1</v>
      </c>
      <c r="L1205" t="str">
        <f t="shared" si="92"/>
        <v>Yes</v>
      </c>
      <c r="M1205" t="str">
        <f t="shared" si="94"/>
        <v>Yes</v>
      </c>
      <c r="N1205" t="str">
        <f t="shared" si="93"/>
        <v>Yes</v>
      </c>
    </row>
    <row r="1206" spans="1:14" x14ac:dyDescent="0.3">
      <c r="A1206" s="2" t="s">
        <v>2429</v>
      </c>
      <c r="B1206" s="2" t="s">
        <v>2430</v>
      </c>
      <c r="C1206" s="2" t="s">
        <v>27</v>
      </c>
      <c r="D1206" s="3">
        <v>45846</v>
      </c>
      <c r="E1206" s="3">
        <v>45851</v>
      </c>
      <c r="F1206" s="3">
        <v>45858</v>
      </c>
      <c r="G1206" s="2" t="s">
        <v>11</v>
      </c>
      <c r="H1206" s="2">
        <v>21</v>
      </c>
      <c r="I1206" s="2">
        <v>27</v>
      </c>
      <c r="J1206">
        <f t="shared" si="90"/>
        <v>12</v>
      </c>
      <c r="K1206">
        <f t="shared" si="91"/>
        <v>7</v>
      </c>
      <c r="L1206" t="str">
        <f t="shared" si="92"/>
        <v>No</v>
      </c>
      <c r="M1206" t="str">
        <f t="shared" si="94"/>
        <v>No</v>
      </c>
      <c r="N1206" t="str">
        <f t="shared" si="93"/>
        <v>No</v>
      </c>
    </row>
    <row r="1207" spans="1:14" x14ac:dyDescent="0.3">
      <c r="A1207" s="4" t="s">
        <v>2431</v>
      </c>
      <c r="B1207" s="4" t="s">
        <v>2432</v>
      </c>
      <c r="C1207" s="4" t="s">
        <v>37</v>
      </c>
      <c r="D1207" s="5">
        <v>45849</v>
      </c>
      <c r="E1207" s="5">
        <v>45852</v>
      </c>
      <c r="F1207" s="5">
        <v>45864</v>
      </c>
      <c r="G1207" s="4" t="s">
        <v>40</v>
      </c>
      <c r="H1207" s="4">
        <v>36</v>
      </c>
      <c r="I1207" s="2">
        <v>36</v>
      </c>
      <c r="J1207">
        <f t="shared" si="90"/>
        <v>15</v>
      </c>
      <c r="K1207">
        <f t="shared" si="91"/>
        <v>12</v>
      </c>
      <c r="L1207" t="str">
        <f t="shared" si="92"/>
        <v>No</v>
      </c>
      <c r="M1207" t="str">
        <f t="shared" si="94"/>
        <v>Yes</v>
      </c>
      <c r="N1207" t="str">
        <f t="shared" si="93"/>
        <v>No</v>
      </c>
    </row>
    <row r="1208" spans="1:14" x14ac:dyDescent="0.3">
      <c r="A1208" s="2" t="s">
        <v>2433</v>
      </c>
      <c r="B1208" s="2" t="s">
        <v>2434</v>
      </c>
      <c r="C1208" s="2" t="s">
        <v>37</v>
      </c>
      <c r="D1208" s="3">
        <v>45847</v>
      </c>
      <c r="E1208" s="3">
        <v>45850</v>
      </c>
      <c r="F1208" s="3">
        <v>45859</v>
      </c>
      <c r="G1208" s="2" t="s">
        <v>22</v>
      </c>
      <c r="H1208" s="2">
        <v>14</v>
      </c>
      <c r="I1208" s="2">
        <v>14</v>
      </c>
      <c r="J1208">
        <f t="shared" si="90"/>
        <v>12</v>
      </c>
      <c r="K1208">
        <f t="shared" si="91"/>
        <v>9</v>
      </c>
      <c r="L1208" t="str">
        <f t="shared" si="92"/>
        <v>No</v>
      </c>
      <c r="M1208" t="str">
        <f t="shared" si="94"/>
        <v>Yes</v>
      </c>
      <c r="N1208" t="str">
        <f t="shared" si="93"/>
        <v>No</v>
      </c>
    </row>
    <row r="1209" spans="1:14" x14ac:dyDescent="0.3">
      <c r="A1209" s="4" t="s">
        <v>2435</v>
      </c>
      <c r="B1209" s="4" t="s">
        <v>2436</v>
      </c>
      <c r="C1209" s="4" t="s">
        <v>34</v>
      </c>
      <c r="D1209" s="5">
        <v>45849</v>
      </c>
      <c r="E1209" s="5">
        <v>45850</v>
      </c>
      <c r="F1209" s="5">
        <v>45858</v>
      </c>
      <c r="G1209" s="4" t="s">
        <v>15</v>
      </c>
      <c r="H1209" s="4">
        <v>45</v>
      </c>
      <c r="I1209" s="2">
        <v>45</v>
      </c>
      <c r="J1209">
        <f t="shared" si="90"/>
        <v>9</v>
      </c>
      <c r="K1209">
        <f t="shared" si="91"/>
        <v>8</v>
      </c>
      <c r="L1209" t="str">
        <f t="shared" si="92"/>
        <v>No</v>
      </c>
      <c r="M1209" t="str">
        <f t="shared" si="94"/>
        <v>Yes</v>
      </c>
      <c r="N1209" t="str">
        <f t="shared" si="93"/>
        <v>No</v>
      </c>
    </row>
    <row r="1210" spans="1:14" x14ac:dyDescent="0.3">
      <c r="A1210" s="2" t="s">
        <v>2437</v>
      </c>
      <c r="B1210" s="2" t="s">
        <v>2438</v>
      </c>
      <c r="C1210" s="2" t="s">
        <v>10</v>
      </c>
      <c r="D1210" s="3">
        <v>45847</v>
      </c>
      <c r="E1210" s="3">
        <v>45851</v>
      </c>
      <c r="F1210" s="3">
        <v>45852</v>
      </c>
      <c r="G1210" s="2" t="s">
        <v>22</v>
      </c>
      <c r="H1210" s="2">
        <v>10</v>
      </c>
      <c r="I1210" s="2">
        <v>17</v>
      </c>
      <c r="J1210">
        <f t="shared" si="90"/>
        <v>5</v>
      </c>
      <c r="K1210">
        <f t="shared" si="91"/>
        <v>1</v>
      </c>
      <c r="L1210" t="str">
        <f t="shared" si="92"/>
        <v>No</v>
      </c>
      <c r="M1210" t="str">
        <f t="shared" si="94"/>
        <v>No</v>
      </c>
      <c r="N1210" t="str">
        <f t="shared" si="93"/>
        <v>No</v>
      </c>
    </row>
    <row r="1211" spans="1:14" x14ac:dyDescent="0.3">
      <c r="A1211" s="4" t="s">
        <v>2439</v>
      </c>
      <c r="B1211" s="4" t="s">
        <v>2440</v>
      </c>
      <c r="C1211" s="4" t="s">
        <v>59</v>
      </c>
      <c r="D1211" s="5">
        <v>45847</v>
      </c>
      <c r="E1211" s="5">
        <v>45855</v>
      </c>
      <c r="F1211" s="5">
        <v>45851</v>
      </c>
      <c r="G1211" s="4" t="s">
        <v>22</v>
      </c>
      <c r="H1211" s="4">
        <v>29</v>
      </c>
      <c r="I1211" s="2">
        <v>33</v>
      </c>
      <c r="J1211">
        <f t="shared" si="90"/>
        <v>4</v>
      </c>
      <c r="K1211">
        <f t="shared" si="91"/>
        <v>-4</v>
      </c>
      <c r="L1211" t="str">
        <f t="shared" si="92"/>
        <v>Yes</v>
      </c>
      <c r="M1211" t="str">
        <f t="shared" si="94"/>
        <v>No</v>
      </c>
      <c r="N1211" t="str">
        <f t="shared" si="93"/>
        <v>No</v>
      </c>
    </row>
    <row r="1212" spans="1:14" x14ac:dyDescent="0.3">
      <c r="A1212" s="2" t="s">
        <v>2441</v>
      </c>
      <c r="B1212" s="2" t="s">
        <v>2442</v>
      </c>
      <c r="C1212" s="2" t="s">
        <v>21</v>
      </c>
      <c r="D1212" s="3">
        <v>45849</v>
      </c>
      <c r="E1212" s="3">
        <v>45850</v>
      </c>
      <c r="F1212" s="3">
        <v>45859</v>
      </c>
      <c r="G1212" s="2" t="s">
        <v>18</v>
      </c>
      <c r="H1212" s="2">
        <v>46</v>
      </c>
      <c r="I1212" s="2">
        <v>46</v>
      </c>
      <c r="J1212">
        <f t="shared" si="90"/>
        <v>10</v>
      </c>
      <c r="K1212">
        <f t="shared" si="91"/>
        <v>9</v>
      </c>
      <c r="L1212" t="str">
        <f t="shared" si="92"/>
        <v>No</v>
      </c>
      <c r="M1212" t="str">
        <f t="shared" si="94"/>
        <v>Yes</v>
      </c>
      <c r="N1212" t="str">
        <f t="shared" si="93"/>
        <v>No</v>
      </c>
    </row>
    <row r="1213" spans="1:14" x14ac:dyDescent="0.3">
      <c r="A1213" s="4" t="s">
        <v>2443</v>
      </c>
      <c r="B1213" s="4" t="s">
        <v>2444</v>
      </c>
      <c r="C1213" s="4" t="s">
        <v>27</v>
      </c>
      <c r="D1213" s="5">
        <v>45847</v>
      </c>
      <c r="E1213" s="5">
        <v>45857</v>
      </c>
      <c r="F1213" s="5">
        <v>45859</v>
      </c>
      <c r="G1213" s="4" t="s">
        <v>22</v>
      </c>
      <c r="H1213" s="4">
        <v>11</v>
      </c>
      <c r="I1213" s="2">
        <v>11</v>
      </c>
      <c r="J1213">
        <f t="shared" si="90"/>
        <v>12</v>
      </c>
      <c r="K1213">
        <f t="shared" si="91"/>
        <v>2</v>
      </c>
      <c r="L1213" t="str">
        <f t="shared" si="92"/>
        <v>No</v>
      </c>
      <c r="M1213" t="str">
        <f t="shared" si="94"/>
        <v>Yes</v>
      </c>
      <c r="N1213" t="str">
        <f t="shared" si="93"/>
        <v>No</v>
      </c>
    </row>
    <row r="1214" spans="1:14" x14ac:dyDescent="0.3">
      <c r="A1214" s="2" t="s">
        <v>2445</v>
      </c>
      <c r="B1214" s="2" t="s">
        <v>2446</v>
      </c>
      <c r="C1214" s="2" t="s">
        <v>37</v>
      </c>
      <c r="D1214" s="3">
        <v>45848</v>
      </c>
      <c r="E1214" s="3">
        <v>45851</v>
      </c>
      <c r="F1214" s="3">
        <v>45861</v>
      </c>
      <c r="G1214" s="2" t="s">
        <v>15</v>
      </c>
      <c r="H1214" s="2">
        <v>8</v>
      </c>
      <c r="I1214" s="2">
        <v>8</v>
      </c>
      <c r="J1214">
        <f t="shared" si="90"/>
        <v>13</v>
      </c>
      <c r="K1214">
        <f t="shared" si="91"/>
        <v>10</v>
      </c>
      <c r="L1214" t="str">
        <f t="shared" si="92"/>
        <v>No</v>
      </c>
      <c r="M1214" t="str">
        <f t="shared" si="94"/>
        <v>Yes</v>
      </c>
      <c r="N1214" t="str">
        <f t="shared" si="93"/>
        <v>No</v>
      </c>
    </row>
    <row r="1215" spans="1:14" x14ac:dyDescent="0.3">
      <c r="A1215" s="4" t="s">
        <v>2447</v>
      </c>
      <c r="B1215" s="4" t="s">
        <v>2448</v>
      </c>
      <c r="C1215" s="4" t="s">
        <v>37</v>
      </c>
      <c r="D1215" s="5">
        <v>45848</v>
      </c>
      <c r="E1215" s="5">
        <v>45851</v>
      </c>
      <c r="F1215" s="5">
        <v>45860</v>
      </c>
      <c r="G1215" s="4" t="s">
        <v>15</v>
      </c>
      <c r="H1215" s="4">
        <v>49</v>
      </c>
      <c r="I1215" s="2">
        <v>49</v>
      </c>
      <c r="J1215">
        <f t="shared" si="90"/>
        <v>12</v>
      </c>
      <c r="K1215">
        <f t="shared" si="91"/>
        <v>9</v>
      </c>
      <c r="L1215" t="str">
        <f t="shared" si="92"/>
        <v>No</v>
      </c>
      <c r="M1215" t="str">
        <f t="shared" si="94"/>
        <v>Yes</v>
      </c>
      <c r="N1215" t="str">
        <f t="shared" si="93"/>
        <v>No</v>
      </c>
    </row>
    <row r="1216" spans="1:14" x14ac:dyDescent="0.3">
      <c r="A1216" s="2" t="s">
        <v>2449</v>
      </c>
      <c r="B1216" s="2" t="s">
        <v>2450</v>
      </c>
      <c r="C1216" s="2" t="s">
        <v>10</v>
      </c>
      <c r="D1216" s="3">
        <v>45850</v>
      </c>
      <c r="E1216" s="3">
        <v>45856</v>
      </c>
      <c r="F1216" s="3">
        <v>45859</v>
      </c>
      <c r="G1216" s="2" t="s">
        <v>18</v>
      </c>
      <c r="H1216" s="2">
        <v>7</v>
      </c>
      <c r="I1216" s="2">
        <v>7</v>
      </c>
      <c r="J1216">
        <f t="shared" si="90"/>
        <v>9</v>
      </c>
      <c r="K1216">
        <f t="shared" si="91"/>
        <v>3</v>
      </c>
      <c r="L1216" t="str">
        <f t="shared" si="92"/>
        <v>No</v>
      </c>
      <c r="M1216" t="str">
        <f t="shared" si="94"/>
        <v>Yes</v>
      </c>
      <c r="N1216" t="str">
        <f t="shared" si="93"/>
        <v>No</v>
      </c>
    </row>
    <row r="1217" spans="1:14" x14ac:dyDescent="0.3">
      <c r="A1217" s="4" t="s">
        <v>2451</v>
      </c>
      <c r="B1217" s="4" t="s">
        <v>2452</v>
      </c>
      <c r="C1217" s="4" t="s">
        <v>72</v>
      </c>
      <c r="D1217" s="5">
        <v>45848</v>
      </c>
      <c r="E1217" s="5">
        <v>45855</v>
      </c>
      <c r="F1217" s="5">
        <v>45866</v>
      </c>
      <c r="G1217" s="4" t="s">
        <v>15</v>
      </c>
      <c r="H1217" s="4">
        <v>32</v>
      </c>
      <c r="I1217" s="2">
        <v>32</v>
      </c>
      <c r="J1217">
        <f t="shared" si="90"/>
        <v>18</v>
      </c>
      <c r="K1217">
        <f t="shared" si="91"/>
        <v>11</v>
      </c>
      <c r="L1217" t="str">
        <f t="shared" si="92"/>
        <v>No</v>
      </c>
      <c r="M1217" t="str">
        <f t="shared" si="94"/>
        <v>Yes</v>
      </c>
      <c r="N1217" t="str">
        <f t="shared" si="93"/>
        <v>No</v>
      </c>
    </row>
    <row r="1218" spans="1:14" x14ac:dyDescent="0.3">
      <c r="A1218" s="2" t="s">
        <v>2453</v>
      </c>
      <c r="B1218" s="2" t="s">
        <v>2454</v>
      </c>
      <c r="C1218" s="2" t="s">
        <v>59</v>
      </c>
      <c r="D1218" s="3">
        <v>45849</v>
      </c>
      <c r="E1218" s="3">
        <v>45851</v>
      </c>
      <c r="F1218" s="3">
        <v>45855</v>
      </c>
      <c r="G1218" s="2" t="s">
        <v>22</v>
      </c>
      <c r="H1218" s="2">
        <v>32</v>
      </c>
      <c r="I1218" s="2">
        <v>32</v>
      </c>
      <c r="J1218">
        <f t="shared" si="90"/>
        <v>6</v>
      </c>
      <c r="K1218">
        <f t="shared" si="91"/>
        <v>4</v>
      </c>
      <c r="L1218" t="str">
        <f t="shared" si="92"/>
        <v>No</v>
      </c>
      <c r="M1218" t="str">
        <f t="shared" si="94"/>
        <v>Yes</v>
      </c>
      <c r="N1218" t="str">
        <f t="shared" si="93"/>
        <v>No</v>
      </c>
    </row>
    <row r="1219" spans="1:14" x14ac:dyDescent="0.3">
      <c r="A1219" s="4" t="s">
        <v>2455</v>
      </c>
      <c r="B1219" s="4" t="s">
        <v>2456</v>
      </c>
      <c r="C1219" s="4" t="s">
        <v>21</v>
      </c>
      <c r="D1219" s="5">
        <v>45848</v>
      </c>
      <c r="E1219" s="5">
        <v>45853</v>
      </c>
      <c r="F1219" s="5">
        <v>45855</v>
      </c>
      <c r="G1219" s="4" t="s">
        <v>15</v>
      </c>
      <c r="H1219" s="4">
        <v>35</v>
      </c>
      <c r="I1219" s="2">
        <v>35</v>
      </c>
      <c r="J1219">
        <f t="shared" ref="J1219:J1282" si="95">F1219-D1219</f>
        <v>7</v>
      </c>
      <c r="K1219">
        <f t="shared" ref="K1219:K1282" si="96">F1219-E1219</f>
        <v>2</v>
      </c>
      <c r="L1219" t="str">
        <f t="shared" ref="L1219:L1282" si="97">IF(K1219&lt;=0,"Yes","No")</f>
        <v>No</v>
      </c>
      <c r="M1219" t="str">
        <f t="shared" si="94"/>
        <v>Yes</v>
      </c>
      <c r="N1219" t="str">
        <f t="shared" ref="N1219:N1282" si="98">IF(AND(L1219="Yes",M1219="Yes"),"Yes","No")</f>
        <v>No</v>
      </c>
    </row>
    <row r="1220" spans="1:14" x14ac:dyDescent="0.3">
      <c r="A1220" s="2" t="s">
        <v>2457</v>
      </c>
      <c r="B1220" s="2" t="s">
        <v>2458</v>
      </c>
      <c r="C1220" s="2" t="s">
        <v>21</v>
      </c>
      <c r="D1220" s="3">
        <v>45849</v>
      </c>
      <c r="E1220" s="3">
        <v>45856</v>
      </c>
      <c r="F1220" s="3">
        <v>45854</v>
      </c>
      <c r="G1220" s="2" t="s">
        <v>22</v>
      </c>
      <c r="H1220" s="2">
        <v>42</v>
      </c>
      <c r="I1220" s="2">
        <v>42</v>
      </c>
      <c r="J1220">
        <f t="shared" si="95"/>
        <v>5</v>
      </c>
      <c r="K1220">
        <f t="shared" si="96"/>
        <v>-2</v>
      </c>
      <c r="L1220" t="str">
        <f t="shared" si="97"/>
        <v>Yes</v>
      </c>
      <c r="M1220" t="str">
        <f t="shared" ref="M1220:M1283" si="99">IF(H1220=I1220,"Yes","No")</f>
        <v>Yes</v>
      </c>
      <c r="N1220" t="str">
        <f t="shared" si="98"/>
        <v>Yes</v>
      </c>
    </row>
    <row r="1221" spans="1:14" x14ac:dyDescent="0.3">
      <c r="A1221" s="4" t="s">
        <v>2459</v>
      </c>
      <c r="B1221" s="4" t="s">
        <v>2460</v>
      </c>
      <c r="C1221" s="4" t="s">
        <v>37</v>
      </c>
      <c r="D1221" s="5">
        <v>45850</v>
      </c>
      <c r="E1221" s="5">
        <v>45854</v>
      </c>
      <c r="F1221" s="5">
        <v>45863</v>
      </c>
      <c r="G1221" s="4" t="s">
        <v>18</v>
      </c>
      <c r="H1221" s="4">
        <v>23</v>
      </c>
      <c r="I1221" s="2">
        <v>23</v>
      </c>
      <c r="J1221">
        <f t="shared" si="95"/>
        <v>13</v>
      </c>
      <c r="K1221">
        <f t="shared" si="96"/>
        <v>9</v>
      </c>
      <c r="L1221" t="str">
        <f t="shared" si="97"/>
        <v>No</v>
      </c>
      <c r="M1221" t="str">
        <f t="shared" si="99"/>
        <v>Yes</v>
      </c>
      <c r="N1221" t="str">
        <f t="shared" si="98"/>
        <v>No</v>
      </c>
    </row>
    <row r="1222" spans="1:14" x14ac:dyDescent="0.3">
      <c r="A1222" s="2" t="s">
        <v>2461</v>
      </c>
      <c r="B1222" s="2" t="s">
        <v>2462</v>
      </c>
      <c r="C1222" s="2" t="s">
        <v>37</v>
      </c>
      <c r="D1222" s="3">
        <v>45851</v>
      </c>
      <c r="E1222" s="3">
        <v>45858</v>
      </c>
      <c r="F1222" s="3">
        <v>45863</v>
      </c>
      <c r="G1222" s="2" t="s">
        <v>18</v>
      </c>
      <c r="H1222" s="2">
        <v>24</v>
      </c>
      <c r="I1222" s="2">
        <v>27</v>
      </c>
      <c r="J1222">
        <f t="shared" si="95"/>
        <v>12</v>
      </c>
      <c r="K1222">
        <f t="shared" si="96"/>
        <v>5</v>
      </c>
      <c r="L1222" t="str">
        <f t="shared" si="97"/>
        <v>No</v>
      </c>
      <c r="M1222" t="str">
        <f t="shared" si="99"/>
        <v>No</v>
      </c>
      <c r="N1222" t="str">
        <f t="shared" si="98"/>
        <v>No</v>
      </c>
    </row>
    <row r="1223" spans="1:14" x14ac:dyDescent="0.3">
      <c r="A1223" s="4" t="s">
        <v>2463</v>
      </c>
      <c r="B1223" s="4" t="s">
        <v>2464</v>
      </c>
      <c r="C1223" s="4" t="s">
        <v>14</v>
      </c>
      <c r="D1223" s="5">
        <v>45851</v>
      </c>
      <c r="E1223" s="5">
        <v>45854</v>
      </c>
      <c r="F1223" s="5">
        <v>45868</v>
      </c>
      <c r="G1223" s="4" t="s">
        <v>15</v>
      </c>
      <c r="H1223" s="4">
        <v>46</v>
      </c>
      <c r="I1223" s="2">
        <v>49</v>
      </c>
      <c r="J1223">
        <f t="shared" si="95"/>
        <v>17</v>
      </c>
      <c r="K1223">
        <f t="shared" si="96"/>
        <v>14</v>
      </c>
      <c r="L1223" t="str">
        <f t="shared" si="97"/>
        <v>No</v>
      </c>
      <c r="M1223" t="str">
        <f t="shared" si="99"/>
        <v>No</v>
      </c>
      <c r="N1223" t="str">
        <f t="shared" si="98"/>
        <v>No</v>
      </c>
    </row>
    <row r="1224" spans="1:14" x14ac:dyDescent="0.3">
      <c r="A1224" s="2" t="s">
        <v>2465</v>
      </c>
      <c r="B1224" s="2" t="s">
        <v>2466</v>
      </c>
      <c r="C1224" s="2" t="s">
        <v>59</v>
      </c>
      <c r="D1224" s="3">
        <v>45851</v>
      </c>
      <c r="E1224" s="3">
        <v>45859</v>
      </c>
      <c r="F1224" s="3">
        <v>45855</v>
      </c>
      <c r="G1224" s="2" t="s">
        <v>15</v>
      </c>
      <c r="H1224" s="2">
        <v>23</v>
      </c>
      <c r="I1224" s="2">
        <v>23</v>
      </c>
      <c r="J1224">
        <f t="shared" si="95"/>
        <v>4</v>
      </c>
      <c r="K1224">
        <f t="shared" si="96"/>
        <v>-4</v>
      </c>
      <c r="L1224" t="str">
        <f t="shared" si="97"/>
        <v>Yes</v>
      </c>
      <c r="M1224" t="str">
        <f t="shared" si="99"/>
        <v>Yes</v>
      </c>
      <c r="N1224" t="str">
        <f t="shared" si="98"/>
        <v>Yes</v>
      </c>
    </row>
    <row r="1225" spans="1:14" x14ac:dyDescent="0.3">
      <c r="A1225" s="4" t="s">
        <v>2467</v>
      </c>
      <c r="B1225" s="4" t="s">
        <v>2468</v>
      </c>
      <c r="C1225" s="4" t="s">
        <v>27</v>
      </c>
      <c r="D1225" s="5">
        <v>45850</v>
      </c>
      <c r="E1225" s="5">
        <v>45858</v>
      </c>
      <c r="F1225" s="5">
        <v>45862</v>
      </c>
      <c r="G1225" s="4" t="s">
        <v>18</v>
      </c>
      <c r="H1225" s="4">
        <v>8</v>
      </c>
      <c r="I1225" s="2">
        <v>8</v>
      </c>
      <c r="J1225">
        <f t="shared" si="95"/>
        <v>12</v>
      </c>
      <c r="K1225">
        <f t="shared" si="96"/>
        <v>4</v>
      </c>
      <c r="L1225" t="str">
        <f t="shared" si="97"/>
        <v>No</v>
      </c>
      <c r="M1225" t="str">
        <f t="shared" si="99"/>
        <v>Yes</v>
      </c>
      <c r="N1225" t="str">
        <f t="shared" si="98"/>
        <v>No</v>
      </c>
    </row>
    <row r="1226" spans="1:14" x14ac:dyDescent="0.3">
      <c r="A1226" s="2" t="s">
        <v>2469</v>
      </c>
      <c r="B1226" s="2" t="s">
        <v>2470</v>
      </c>
      <c r="C1226" s="2" t="s">
        <v>37</v>
      </c>
      <c r="D1226" s="3">
        <v>45852</v>
      </c>
      <c r="E1226" s="3">
        <v>45860</v>
      </c>
      <c r="F1226" s="3">
        <v>45865</v>
      </c>
      <c r="G1226" s="2" t="s">
        <v>40</v>
      </c>
      <c r="H1226" s="2">
        <v>21</v>
      </c>
      <c r="I1226" s="2">
        <v>21</v>
      </c>
      <c r="J1226">
        <f t="shared" si="95"/>
        <v>13</v>
      </c>
      <c r="K1226">
        <f t="shared" si="96"/>
        <v>5</v>
      </c>
      <c r="L1226" t="str">
        <f t="shared" si="97"/>
        <v>No</v>
      </c>
      <c r="M1226" t="str">
        <f t="shared" si="99"/>
        <v>Yes</v>
      </c>
      <c r="N1226" t="str">
        <f t="shared" si="98"/>
        <v>No</v>
      </c>
    </row>
    <row r="1227" spans="1:14" x14ac:dyDescent="0.3">
      <c r="A1227" s="4" t="s">
        <v>2471</v>
      </c>
      <c r="B1227" s="4" t="s">
        <v>2472</v>
      </c>
      <c r="C1227" s="4" t="s">
        <v>10</v>
      </c>
      <c r="D1227" s="5">
        <v>45850</v>
      </c>
      <c r="E1227" s="5">
        <v>45856</v>
      </c>
      <c r="F1227" s="5">
        <v>45857</v>
      </c>
      <c r="G1227" s="4" t="s">
        <v>18</v>
      </c>
      <c r="H1227" s="4">
        <v>19</v>
      </c>
      <c r="I1227" s="2">
        <v>19</v>
      </c>
      <c r="J1227">
        <f t="shared" si="95"/>
        <v>7</v>
      </c>
      <c r="K1227">
        <f t="shared" si="96"/>
        <v>1</v>
      </c>
      <c r="L1227" t="str">
        <f t="shared" si="97"/>
        <v>No</v>
      </c>
      <c r="M1227" t="str">
        <f t="shared" si="99"/>
        <v>Yes</v>
      </c>
      <c r="N1227" t="str">
        <f t="shared" si="98"/>
        <v>No</v>
      </c>
    </row>
    <row r="1228" spans="1:14" x14ac:dyDescent="0.3">
      <c r="A1228" s="2" t="s">
        <v>2473</v>
      </c>
      <c r="B1228" s="2" t="s">
        <v>2474</v>
      </c>
      <c r="C1228" s="2" t="s">
        <v>14</v>
      </c>
      <c r="D1228" s="3">
        <v>45851</v>
      </c>
      <c r="E1228" s="3">
        <v>45855</v>
      </c>
      <c r="F1228" s="3">
        <v>45866</v>
      </c>
      <c r="G1228" s="2" t="s">
        <v>22</v>
      </c>
      <c r="H1228" s="2">
        <v>10</v>
      </c>
      <c r="I1228" s="2">
        <v>10</v>
      </c>
      <c r="J1228">
        <f t="shared" si="95"/>
        <v>15</v>
      </c>
      <c r="K1228">
        <f t="shared" si="96"/>
        <v>11</v>
      </c>
      <c r="L1228" t="str">
        <f t="shared" si="97"/>
        <v>No</v>
      </c>
      <c r="M1228" t="str">
        <f t="shared" si="99"/>
        <v>Yes</v>
      </c>
      <c r="N1228" t="str">
        <f t="shared" si="98"/>
        <v>No</v>
      </c>
    </row>
    <row r="1229" spans="1:14" x14ac:dyDescent="0.3">
      <c r="A1229" s="4" t="s">
        <v>2475</v>
      </c>
      <c r="B1229" s="4" t="s">
        <v>2476</v>
      </c>
      <c r="C1229" s="4" t="s">
        <v>59</v>
      </c>
      <c r="D1229" s="5">
        <v>45851</v>
      </c>
      <c r="E1229" s="5">
        <v>45854</v>
      </c>
      <c r="F1229" s="5">
        <v>45855</v>
      </c>
      <c r="G1229" s="4" t="s">
        <v>22</v>
      </c>
      <c r="H1229" s="4">
        <v>32</v>
      </c>
      <c r="I1229" s="2">
        <v>32</v>
      </c>
      <c r="J1229">
        <f t="shared" si="95"/>
        <v>4</v>
      </c>
      <c r="K1229">
        <f t="shared" si="96"/>
        <v>1</v>
      </c>
      <c r="L1229" t="str">
        <f t="shared" si="97"/>
        <v>No</v>
      </c>
      <c r="M1229" t="str">
        <f t="shared" si="99"/>
        <v>Yes</v>
      </c>
      <c r="N1229" t="str">
        <f t="shared" si="98"/>
        <v>No</v>
      </c>
    </row>
    <row r="1230" spans="1:14" x14ac:dyDescent="0.3">
      <c r="A1230" s="2" t="s">
        <v>2477</v>
      </c>
      <c r="B1230" s="2" t="s">
        <v>2478</v>
      </c>
      <c r="C1230" s="2" t="s">
        <v>21</v>
      </c>
      <c r="D1230" s="3">
        <v>45851</v>
      </c>
      <c r="E1230" s="3">
        <v>45858</v>
      </c>
      <c r="F1230" s="3">
        <v>45858</v>
      </c>
      <c r="G1230" s="2" t="s">
        <v>22</v>
      </c>
      <c r="H1230" s="2">
        <v>54</v>
      </c>
      <c r="I1230" s="2">
        <v>54</v>
      </c>
      <c r="J1230">
        <f t="shared" si="95"/>
        <v>7</v>
      </c>
      <c r="K1230">
        <f t="shared" si="96"/>
        <v>0</v>
      </c>
      <c r="L1230" t="str">
        <f t="shared" si="97"/>
        <v>Yes</v>
      </c>
      <c r="M1230" t="str">
        <f t="shared" si="99"/>
        <v>Yes</v>
      </c>
      <c r="N1230" t="str">
        <f t="shared" si="98"/>
        <v>Yes</v>
      </c>
    </row>
    <row r="1231" spans="1:14" x14ac:dyDescent="0.3">
      <c r="A1231" s="4" t="s">
        <v>2479</v>
      </c>
      <c r="B1231" s="4" t="s">
        <v>2480</v>
      </c>
      <c r="C1231" s="4" t="s">
        <v>27</v>
      </c>
      <c r="D1231" s="5">
        <v>45851</v>
      </c>
      <c r="E1231" s="5">
        <v>45860</v>
      </c>
      <c r="F1231" s="5">
        <v>45865</v>
      </c>
      <c r="G1231" s="4" t="s">
        <v>11</v>
      </c>
      <c r="H1231" s="4">
        <v>22</v>
      </c>
      <c r="I1231" s="2">
        <v>28</v>
      </c>
      <c r="J1231">
        <f t="shared" si="95"/>
        <v>14</v>
      </c>
      <c r="K1231">
        <f t="shared" si="96"/>
        <v>5</v>
      </c>
      <c r="L1231" t="str">
        <f t="shared" si="97"/>
        <v>No</v>
      </c>
      <c r="M1231" t="str">
        <f t="shared" si="99"/>
        <v>No</v>
      </c>
      <c r="N1231" t="str">
        <f t="shared" si="98"/>
        <v>No</v>
      </c>
    </row>
    <row r="1232" spans="1:14" x14ac:dyDescent="0.3">
      <c r="A1232" s="2" t="s">
        <v>2481</v>
      </c>
      <c r="B1232" s="2" t="s">
        <v>2482</v>
      </c>
      <c r="C1232" s="2" t="s">
        <v>27</v>
      </c>
      <c r="D1232" s="3">
        <v>45852</v>
      </c>
      <c r="E1232" s="3">
        <v>45854</v>
      </c>
      <c r="F1232" s="3">
        <v>45864</v>
      </c>
      <c r="G1232" s="2" t="s">
        <v>11</v>
      </c>
      <c r="H1232" s="2">
        <v>2</v>
      </c>
      <c r="I1232" s="2">
        <v>7</v>
      </c>
      <c r="J1232">
        <f t="shared" si="95"/>
        <v>12</v>
      </c>
      <c r="K1232">
        <f t="shared" si="96"/>
        <v>10</v>
      </c>
      <c r="L1232" t="str">
        <f t="shared" si="97"/>
        <v>No</v>
      </c>
      <c r="M1232" t="str">
        <f t="shared" si="99"/>
        <v>No</v>
      </c>
      <c r="N1232" t="str">
        <f t="shared" si="98"/>
        <v>No</v>
      </c>
    </row>
    <row r="1233" spans="1:14" x14ac:dyDescent="0.3">
      <c r="A1233" s="4" t="s">
        <v>2483</v>
      </c>
      <c r="B1233" s="4" t="s">
        <v>2484</v>
      </c>
      <c r="C1233" s="4" t="s">
        <v>27</v>
      </c>
      <c r="D1233" s="5">
        <v>45850</v>
      </c>
      <c r="E1233" s="5">
        <v>45854</v>
      </c>
      <c r="F1233" s="5">
        <v>45863</v>
      </c>
      <c r="G1233" s="4" t="s">
        <v>40</v>
      </c>
      <c r="H1233" s="4">
        <v>11</v>
      </c>
      <c r="I1233" s="2">
        <v>11</v>
      </c>
      <c r="J1233">
        <f t="shared" si="95"/>
        <v>13</v>
      </c>
      <c r="K1233">
        <f t="shared" si="96"/>
        <v>9</v>
      </c>
      <c r="L1233" t="str">
        <f t="shared" si="97"/>
        <v>No</v>
      </c>
      <c r="M1233" t="str">
        <f t="shared" si="99"/>
        <v>Yes</v>
      </c>
      <c r="N1233" t="str">
        <f t="shared" si="98"/>
        <v>No</v>
      </c>
    </row>
    <row r="1234" spans="1:14" x14ac:dyDescent="0.3">
      <c r="A1234" s="2" t="s">
        <v>2485</v>
      </c>
      <c r="B1234" s="2" t="s">
        <v>2486</v>
      </c>
      <c r="C1234" s="2" t="s">
        <v>37</v>
      </c>
      <c r="D1234" s="3">
        <v>45851</v>
      </c>
      <c r="E1234" s="3">
        <v>45857</v>
      </c>
      <c r="F1234" s="3">
        <v>45864</v>
      </c>
      <c r="G1234" s="2" t="s">
        <v>15</v>
      </c>
      <c r="H1234" s="2">
        <v>36</v>
      </c>
      <c r="I1234" s="2">
        <v>36</v>
      </c>
      <c r="J1234">
        <f t="shared" si="95"/>
        <v>13</v>
      </c>
      <c r="K1234">
        <f t="shared" si="96"/>
        <v>7</v>
      </c>
      <c r="L1234" t="str">
        <f t="shared" si="97"/>
        <v>No</v>
      </c>
      <c r="M1234" t="str">
        <f t="shared" si="99"/>
        <v>Yes</v>
      </c>
      <c r="N1234" t="str">
        <f t="shared" si="98"/>
        <v>No</v>
      </c>
    </row>
    <row r="1235" spans="1:14" x14ac:dyDescent="0.3">
      <c r="A1235" s="4" t="s">
        <v>2487</v>
      </c>
      <c r="B1235" s="4" t="s">
        <v>2488</v>
      </c>
      <c r="C1235" s="4" t="s">
        <v>34</v>
      </c>
      <c r="D1235" s="5">
        <v>45853</v>
      </c>
      <c r="E1235" s="5">
        <v>45858</v>
      </c>
      <c r="F1235" s="5">
        <v>45860</v>
      </c>
      <c r="G1235" s="4" t="s">
        <v>11</v>
      </c>
      <c r="H1235" s="4">
        <v>37</v>
      </c>
      <c r="I1235" s="2">
        <v>37</v>
      </c>
      <c r="J1235">
        <f t="shared" si="95"/>
        <v>7</v>
      </c>
      <c r="K1235">
        <f t="shared" si="96"/>
        <v>2</v>
      </c>
      <c r="L1235" t="str">
        <f t="shared" si="97"/>
        <v>No</v>
      </c>
      <c r="M1235" t="str">
        <f t="shared" si="99"/>
        <v>Yes</v>
      </c>
      <c r="N1235" t="str">
        <f t="shared" si="98"/>
        <v>No</v>
      </c>
    </row>
    <row r="1236" spans="1:14" x14ac:dyDescent="0.3">
      <c r="A1236" s="2" t="s">
        <v>2489</v>
      </c>
      <c r="B1236" s="2" t="s">
        <v>2490</v>
      </c>
      <c r="C1236" s="2" t="s">
        <v>14</v>
      </c>
      <c r="D1236" s="3">
        <v>45853</v>
      </c>
      <c r="E1236" s="3">
        <v>45860</v>
      </c>
      <c r="F1236" s="3">
        <v>45868</v>
      </c>
      <c r="G1236" s="2" t="s">
        <v>11</v>
      </c>
      <c r="H1236" s="2">
        <v>24</v>
      </c>
      <c r="I1236" s="2">
        <v>32</v>
      </c>
      <c r="J1236">
        <f t="shared" si="95"/>
        <v>15</v>
      </c>
      <c r="K1236">
        <f t="shared" si="96"/>
        <v>8</v>
      </c>
      <c r="L1236" t="str">
        <f t="shared" si="97"/>
        <v>No</v>
      </c>
      <c r="M1236" t="str">
        <f t="shared" si="99"/>
        <v>No</v>
      </c>
      <c r="N1236" t="str">
        <f t="shared" si="98"/>
        <v>No</v>
      </c>
    </row>
    <row r="1237" spans="1:14" x14ac:dyDescent="0.3">
      <c r="A1237" s="4" t="s">
        <v>2491</v>
      </c>
      <c r="B1237" s="4" t="s">
        <v>2492</v>
      </c>
      <c r="C1237" s="4" t="s">
        <v>21</v>
      </c>
      <c r="D1237" s="5">
        <v>45852</v>
      </c>
      <c r="E1237" s="5">
        <v>45860</v>
      </c>
      <c r="F1237" s="5">
        <v>45859</v>
      </c>
      <c r="G1237" s="4" t="s">
        <v>40</v>
      </c>
      <c r="H1237" s="4">
        <v>42</v>
      </c>
      <c r="I1237" s="2">
        <v>42</v>
      </c>
      <c r="J1237">
        <f t="shared" si="95"/>
        <v>7</v>
      </c>
      <c r="K1237">
        <f t="shared" si="96"/>
        <v>-1</v>
      </c>
      <c r="L1237" t="str">
        <f t="shared" si="97"/>
        <v>Yes</v>
      </c>
      <c r="M1237" t="str">
        <f t="shared" si="99"/>
        <v>Yes</v>
      </c>
      <c r="N1237" t="str">
        <f t="shared" si="98"/>
        <v>Yes</v>
      </c>
    </row>
    <row r="1238" spans="1:14" x14ac:dyDescent="0.3">
      <c r="A1238" s="2" t="s">
        <v>2493</v>
      </c>
      <c r="B1238" s="2" t="s">
        <v>2494</v>
      </c>
      <c r="C1238" s="2" t="s">
        <v>27</v>
      </c>
      <c r="D1238" s="3">
        <v>45853</v>
      </c>
      <c r="E1238" s="3">
        <v>45861</v>
      </c>
      <c r="F1238" s="3">
        <v>45868</v>
      </c>
      <c r="G1238" s="2" t="s">
        <v>40</v>
      </c>
      <c r="H1238" s="2">
        <v>6</v>
      </c>
      <c r="I1238" s="2">
        <v>6</v>
      </c>
      <c r="J1238">
        <f t="shared" si="95"/>
        <v>15</v>
      </c>
      <c r="K1238">
        <f t="shared" si="96"/>
        <v>7</v>
      </c>
      <c r="L1238" t="str">
        <f t="shared" si="97"/>
        <v>No</v>
      </c>
      <c r="M1238" t="str">
        <f t="shared" si="99"/>
        <v>Yes</v>
      </c>
      <c r="N1238" t="str">
        <f t="shared" si="98"/>
        <v>No</v>
      </c>
    </row>
    <row r="1239" spans="1:14" x14ac:dyDescent="0.3">
      <c r="A1239" s="4" t="s">
        <v>2495</v>
      </c>
      <c r="B1239" s="4" t="s">
        <v>2496</v>
      </c>
      <c r="C1239" s="4" t="s">
        <v>27</v>
      </c>
      <c r="D1239" s="5">
        <v>45852</v>
      </c>
      <c r="E1239" s="5">
        <v>45855</v>
      </c>
      <c r="F1239" s="5">
        <v>45864</v>
      </c>
      <c r="G1239" s="4" t="s">
        <v>15</v>
      </c>
      <c r="H1239" s="4">
        <v>13</v>
      </c>
      <c r="I1239" s="2">
        <v>13</v>
      </c>
      <c r="J1239">
        <f t="shared" si="95"/>
        <v>12</v>
      </c>
      <c r="K1239">
        <f t="shared" si="96"/>
        <v>9</v>
      </c>
      <c r="L1239" t="str">
        <f t="shared" si="97"/>
        <v>No</v>
      </c>
      <c r="M1239" t="str">
        <f t="shared" si="99"/>
        <v>Yes</v>
      </c>
      <c r="N1239" t="str">
        <f t="shared" si="98"/>
        <v>No</v>
      </c>
    </row>
    <row r="1240" spans="1:14" x14ac:dyDescent="0.3">
      <c r="A1240" s="2" t="s">
        <v>2497</v>
      </c>
      <c r="B1240" s="2" t="s">
        <v>2498</v>
      </c>
      <c r="C1240" s="2" t="s">
        <v>34</v>
      </c>
      <c r="D1240" s="3">
        <v>45852</v>
      </c>
      <c r="E1240" s="3">
        <v>45862</v>
      </c>
      <c r="F1240" s="3">
        <v>45859</v>
      </c>
      <c r="G1240" s="2" t="s">
        <v>22</v>
      </c>
      <c r="H1240" s="2">
        <v>36</v>
      </c>
      <c r="I1240" s="2">
        <v>44</v>
      </c>
      <c r="J1240">
        <f t="shared" si="95"/>
        <v>7</v>
      </c>
      <c r="K1240">
        <f t="shared" si="96"/>
        <v>-3</v>
      </c>
      <c r="L1240" t="str">
        <f t="shared" si="97"/>
        <v>Yes</v>
      </c>
      <c r="M1240" t="str">
        <f t="shared" si="99"/>
        <v>No</v>
      </c>
      <c r="N1240" t="str">
        <f t="shared" si="98"/>
        <v>No</v>
      </c>
    </row>
    <row r="1241" spans="1:14" x14ac:dyDescent="0.3">
      <c r="A1241" s="4" t="s">
        <v>2499</v>
      </c>
      <c r="B1241" s="4" t="s">
        <v>2500</v>
      </c>
      <c r="C1241" s="4" t="s">
        <v>37</v>
      </c>
      <c r="D1241" s="5">
        <v>45852</v>
      </c>
      <c r="E1241" s="5">
        <v>45857</v>
      </c>
      <c r="F1241" s="5">
        <v>45865</v>
      </c>
      <c r="G1241" s="4" t="s">
        <v>40</v>
      </c>
      <c r="H1241" s="4">
        <v>10</v>
      </c>
      <c r="I1241" s="2">
        <v>15</v>
      </c>
      <c r="J1241">
        <f t="shared" si="95"/>
        <v>13</v>
      </c>
      <c r="K1241">
        <f t="shared" si="96"/>
        <v>8</v>
      </c>
      <c r="L1241" t="str">
        <f t="shared" si="97"/>
        <v>No</v>
      </c>
      <c r="M1241" t="str">
        <f t="shared" si="99"/>
        <v>No</v>
      </c>
      <c r="N1241" t="str">
        <f t="shared" si="98"/>
        <v>No</v>
      </c>
    </row>
    <row r="1242" spans="1:14" x14ac:dyDescent="0.3">
      <c r="A1242" s="2" t="s">
        <v>2501</v>
      </c>
      <c r="B1242" s="2" t="s">
        <v>2502</v>
      </c>
      <c r="C1242" s="2" t="s">
        <v>72</v>
      </c>
      <c r="D1242" s="3">
        <v>45852</v>
      </c>
      <c r="E1242" s="3">
        <v>45861</v>
      </c>
      <c r="F1242" s="3">
        <v>45868</v>
      </c>
      <c r="G1242" s="2" t="s">
        <v>22</v>
      </c>
      <c r="H1242" s="2">
        <v>29</v>
      </c>
      <c r="I1242" s="2">
        <v>29</v>
      </c>
      <c r="J1242">
        <f t="shared" si="95"/>
        <v>16</v>
      </c>
      <c r="K1242">
        <f t="shared" si="96"/>
        <v>7</v>
      </c>
      <c r="L1242" t="str">
        <f t="shared" si="97"/>
        <v>No</v>
      </c>
      <c r="M1242" t="str">
        <f t="shared" si="99"/>
        <v>Yes</v>
      </c>
      <c r="N1242" t="str">
        <f t="shared" si="98"/>
        <v>No</v>
      </c>
    </row>
    <row r="1243" spans="1:14" x14ac:dyDescent="0.3">
      <c r="A1243" s="4" t="s">
        <v>2503</v>
      </c>
      <c r="B1243" s="4" t="s">
        <v>2504</v>
      </c>
      <c r="C1243" s="4" t="s">
        <v>10</v>
      </c>
      <c r="D1243" s="5">
        <v>45854</v>
      </c>
      <c r="E1243" s="5">
        <v>45855</v>
      </c>
      <c r="F1243" s="5">
        <v>45859</v>
      </c>
      <c r="G1243" s="4" t="s">
        <v>11</v>
      </c>
      <c r="H1243" s="4">
        <v>19</v>
      </c>
      <c r="I1243" s="2">
        <v>19</v>
      </c>
      <c r="J1243">
        <f t="shared" si="95"/>
        <v>5</v>
      </c>
      <c r="K1243">
        <f t="shared" si="96"/>
        <v>4</v>
      </c>
      <c r="L1243" t="str">
        <f t="shared" si="97"/>
        <v>No</v>
      </c>
      <c r="M1243" t="str">
        <f t="shared" si="99"/>
        <v>Yes</v>
      </c>
      <c r="N1243" t="str">
        <f t="shared" si="98"/>
        <v>No</v>
      </c>
    </row>
    <row r="1244" spans="1:14" x14ac:dyDescent="0.3">
      <c r="A1244" s="2" t="s">
        <v>2505</v>
      </c>
      <c r="B1244" s="2" t="s">
        <v>2506</v>
      </c>
      <c r="C1244" s="2" t="s">
        <v>59</v>
      </c>
      <c r="D1244" s="3">
        <v>45852</v>
      </c>
      <c r="E1244" s="3">
        <v>45861</v>
      </c>
      <c r="F1244" s="3">
        <v>45855</v>
      </c>
      <c r="G1244" s="2" t="s">
        <v>15</v>
      </c>
      <c r="H1244" s="2">
        <v>50</v>
      </c>
      <c r="I1244" s="2">
        <v>52</v>
      </c>
      <c r="J1244">
        <f t="shared" si="95"/>
        <v>3</v>
      </c>
      <c r="K1244">
        <f t="shared" si="96"/>
        <v>-6</v>
      </c>
      <c r="L1244" t="str">
        <f t="shared" si="97"/>
        <v>Yes</v>
      </c>
      <c r="M1244" t="str">
        <f t="shared" si="99"/>
        <v>No</v>
      </c>
      <c r="N1244" t="str">
        <f t="shared" si="98"/>
        <v>No</v>
      </c>
    </row>
    <row r="1245" spans="1:14" x14ac:dyDescent="0.3">
      <c r="A1245" s="4" t="s">
        <v>2507</v>
      </c>
      <c r="B1245" s="4" t="s">
        <v>2508</v>
      </c>
      <c r="C1245" s="4" t="s">
        <v>21</v>
      </c>
      <c r="D1245" s="5">
        <v>45852</v>
      </c>
      <c r="E1245" s="5">
        <v>45861</v>
      </c>
      <c r="F1245" s="5">
        <v>45858</v>
      </c>
      <c r="G1245" s="4" t="s">
        <v>22</v>
      </c>
      <c r="H1245" s="4">
        <v>34</v>
      </c>
      <c r="I1245" s="2">
        <v>34</v>
      </c>
      <c r="J1245">
        <f t="shared" si="95"/>
        <v>6</v>
      </c>
      <c r="K1245">
        <f t="shared" si="96"/>
        <v>-3</v>
      </c>
      <c r="L1245" t="str">
        <f t="shared" si="97"/>
        <v>Yes</v>
      </c>
      <c r="M1245" t="str">
        <f t="shared" si="99"/>
        <v>Yes</v>
      </c>
      <c r="N1245" t="str">
        <f t="shared" si="98"/>
        <v>Yes</v>
      </c>
    </row>
    <row r="1246" spans="1:14" x14ac:dyDescent="0.3">
      <c r="A1246" s="2" t="s">
        <v>2509</v>
      </c>
      <c r="B1246" s="2" t="s">
        <v>2510</v>
      </c>
      <c r="C1246" s="2" t="s">
        <v>21</v>
      </c>
      <c r="D1246" s="3">
        <v>45852</v>
      </c>
      <c r="E1246" s="3">
        <v>45859</v>
      </c>
      <c r="F1246" s="3">
        <v>45858</v>
      </c>
      <c r="G1246" s="2" t="s">
        <v>15</v>
      </c>
      <c r="H1246" s="2">
        <v>25</v>
      </c>
      <c r="I1246" s="2">
        <v>25</v>
      </c>
      <c r="J1246">
        <f t="shared" si="95"/>
        <v>6</v>
      </c>
      <c r="K1246">
        <f t="shared" si="96"/>
        <v>-1</v>
      </c>
      <c r="L1246" t="str">
        <f t="shared" si="97"/>
        <v>Yes</v>
      </c>
      <c r="M1246" t="str">
        <f t="shared" si="99"/>
        <v>Yes</v>
      </c>
      <c r="N1246" t="str">
        <f t="shared" si="98"/>
        <v>Yes</v>
      </c>
    </row>
    <row r="1247" spans="1:14" x14ac:dyDescent="0.3">
      <c r="A1247" s="4" t="s">
        <v>2511</v>
      </c>
      <c r="B1247" s="4" t="s">
        <v>2512</v>
      </c>
      <c r="C1247" s="4" t="s">
        <v>21</v>
      </c>
      <c r="D1247" s="5">
        <v>45854</v>
      </c>
      <c r="E1247" s="5">
        <v>45857</v>
      </c>
      <c r="F1247" s="5">
        <v>45860</v>
      </c>
      <c r="G1247" s="4" t="s">
        <v>18</v>
      </c>
      <c r="H1247" s="4">
        <v>22</v>
      </c>
      <c r="I1247" s="2">
        <v>22</v>
      </c>
      <c r="J1247">
        <f t="shared" si="95"/>
        <v>6</v>
      </c>
      <c r="K1247">
        <f t="shared" si="96"/>
        <v>3</v>
      </c>
      <c r="L1247" t="str">
        <f t="shared" si="97"/>
        <v>No</v>
      </c>
      <c r="M1247" t="str">
        <f t="shared" si="99"/>
        <v>Yes</v>
      </c>
      <c r="N1247" t="str">
        <f t="shared" si="98"/>
        <v>No</v>
      </c>
    </row>
    <row r="1248" spans="1:14" x14ac:dyDescent="0.3">
      <c r="A1248" s="2" t="s">
        <v>2513</v>
      </c>
      <c r="B1248" s="2" t="s">
        <v>2514</v>
      </c>
      <c r="C1248" s="2" t="s">
        <v>27</v>
      </c>
      <c r="D1248" s="3">
        <v>45854</v>
      </c>
      <c r="E1248" s="3">
        <v>45861</v>
      </c>
      <c r="F1248" s="3">
        <v>45867</v>
      </c>
      <c r="G1248" s="2" t="s">
        <v>40</v>
      </c>
      <c r="H1248" s="2">
        <v>32</v>
      </c>
      <c r="I1248" s="2">
        <v>32</v>
      </c>
      <c r="J1248">
        <f t="shared" si="95"/>
        <v>13</v>
      </c>
      <c r="K1248">
        <f t="shared" si="96"/>
        <v>6</v>
      </c>
      <c r="L1248" t="str">
        <f t="shared" si="97"/>
        <v>No</v>
      </c>
      <c r="M1248" t="str">
        <f t="shared" si="99"/>
        <v>Yes</v>
      </c>
      <c r="N1248" t="str">
        <f t="shared" si="98"/>
        <v>No</v>
      </c>
    </row>
    <row r="1249" spans="1:14" x14ac:dyDescent="0.3">
      <c r="A1249" s="4" t="s">
        <v>2515</v>
      </c>
      <c r="B1249" s="4" t="s">
        <v>2516</v>
      </c>
      <c r="C1249" s="4" t="s">
        <v>27</v>
      </c>
      <c r="D1249" s="5">
        <v>45854</v>
      </c>
      <c r="E1249" s="5">
        <v>45856</v>
      </c>
      <c r="F1249" s="5">
        <v>45871</v>
      </c>
      <c r="G1249" s="4" t="s">
        <v>11</v>
      </c>
      <c r="H1249" s="4">
        <v>11</v>
      </c>
      <c r="I1249" s="2">
        <v>11</v>
      </c>
      <c r="J1249">
        <f t="shared" si="95"/>
        <v>17</v>
      </c>
      <c r="K1249">
        <f t="shared" si="96"/>
        <v>15</v>
      </c>
      <c r="L1249" t="str">
        <f t="shared" si="97"/>
        <v>No</v>
      </c>
      <c r="M1249" t="str">
        <f t="shared" si="99"/>
        <v>Yes</v>
      </c>
      <c r="N1249" t="str">
        <f t="shared" si="98"/>
        <v>No</v>
      </c>
    </row>
    <row r="1250" spans="1:14" x14ac:dyDescent="0.3">
      <c r="A1250" s="2" t="s">
        <v>2517</v>
      </c>
      <c r="B1250" s="2" t="s">
        <v>2518</v>
      </c>
      <c r="C1250" s="2" t="s">
        <v>27</v>
      </c>
      <c r="D1250" s="3">
        <v>45853</v>
      </c>
      <c r="E1250" s="3">
        <v>45861</v>
      </c>
      <c r="F1250" s="3">
        <v>45867</v>
      </c>
      <c r="G1250" s="2" t="s">
        <v>11</v>
      </c>
      <c r="H1250" s="2">
        <v>10</v>
      </c>
      <c r="I1250" s="2">
        <v>11</v>
      </c>
      <c r="J1250">
        <f t="shared" si="95"/>
        <v>14</v>
      </c>
      <c r="K1250">
        <f t="shared" si="96"/>
        <v>6</v>
      </c>
      <c r="L1250" t="str">
        <f t="shared" si="97"/>
        <v>No</v>
      </c>
      <c r="M1250" t="str">
        <f t="shared" si="99"/>
        <v>No</v>
      </c>
      <c r="N1250" t="str">
        <f t="shared" si="98"/>
        <v>No</v>
      </c>
    </row>
    <row r="1251" spans="1:14" x14ac:dyDescent="0.3">
      <c r="A1251" s="4" t="s">
        <v>2519</v>
      </c>
      <c r="B1251" s="4" t="s">
        <v>2520</v>
      </c>
      <c r="C1251" s="4" t="s">
        <v>37</v>
      </c>
      <c r="D1251" s="5">
        <v>45853</v>
      </c>
      <c r="E1251" s="5">
        <v>45862</v>
      </c>
      <c r="F1251" s="5">
        <v>45870</v>
      </c>
      <c r="G1251" s="4" t="s">
        <v>15</v>
      </c>
      <c r="H1251" s="4">
        <v>17</v>
      </c>
      <c r="I1251" s="2">
        <v>17</v>
      </c>
      <c r="J1251">
        <f t="shared" si="95"/>
        <v>17</v>
      </c>
      <c r="K1251">
        <f t="shared" si="96"/>
        <v>8</v>
      </c>
      <c r="L1251" t="str">
        <f t="shared" si="97"/>
        <v>No</v>
      </c>
      <c r="M1251" t="str">
        <f t="shared" si="99"/>
        <v>Yes</v>
      </c>
      <c r="N1251" t="str">
        <f t="shared" si="98"/>
        <v>No</v>
      </c>
    </row>
    <row r="1252" spans="1:14" x14ac:dyDescent="0.3">
      <c r="A1252" s="2" t="s">
        <v>2521</v>
      </c>
      <c r="B1252" s="2" t="s">
        <v>2522</v>
      </c>
      <c r="C1252" s="2" t="s">
        <v>34</v>
      </c>
      <c r="D1252" s="3">
        <v>45854</v>
      </c>
      <c r="E1252" s="3">
        <v>45859</v>
      </c>
      <c r="F1252" s="3">
        <v>45865</v>
      </c>
      <c r="G1252" s="2" t="s">
        <v>15</v>
      </c>
      <c r="H1252" s="2">
        <v>42</v>
      </c>
      <c r="I1252" s="2">
        <v>42</v>
      </c>
      <c r="J1252">
        <f t="shared" si="95"/>
        <v>11</v>
      </c>
      <c r="K1252">
        <f t="shared" si="96"/>
        <v>6</v>
      </c>
      <c r="L1252" t="str">
        <f t="shared" si="97"/>
        <v>No</v>
      </c>
      <c r="M1252" t="str">
        <f t="shared" si="99"/>
        <v>Yes</v>
      </c>
      <c r="N1252" t="str">
        <f t="shared" si="98"/>
        <v>No</v>
      </c>
    </row>
    <row r="1253" spans="1:14" x14ac:dyDescent="0.3">
      <c r="A1253" s="4" t="s">
        <v>2523</v>
      </c>
      <c r="B1253" s="4" t="s">
        <v>2524</v>
      </c>
      <c r="C1253" s="4" t="s">
        <v>72</v>
      </c>
      <c r="D1253" s="5">
        <v>45853</v>
      </c>
      <c r="E1253" s="5">
        <v>45860</v>
      </c>
      <c r="F1253" s="5">
        <v>45867</v>
      </c>
      <c r="G1253" s="4" t="s">
        <v>18</v>
      </c>
      <c r="H1253" s="4">
        <v>12</v>
      </c>
      <c r="I1253" s="2">
        <v>12</v>
      </c>
      <c r="J1253">
        <f t="shared" si="95"/>
        <v>14</v>
      </c>
      <c r="K1253">
        <f t="shared" si="96"/>
        <v>7</v>
      </c>
      <c r="L1253" t="str">
        <f t="shared" si="97"/>
        <v>No</v>
      </c>
      <c r="M1253" t="str">
        <f t="shared" si="99"/>
        <v>Yes</v>
      </c>
      <c r="N1253" t="str">
        <f t="shared" si="98"/>
        <v>No</v>
      </c>
    </row>
    <row r="1254" spans="1:14" x14ac:dyDescent="0.3">
      <c r="A1254" s="2" t="s">
        <v>2525</v>
      </c>
      <c r="B1254" s="2" t="s">
        <v>2526</v>
      </c>
      <c r="C1254" s="2" t="s">
        <v>14</v>
      </c>
      <c r="D1254" s="3">
        <v>45854</v>
      </c>
      <c r="E1254" s="3">
        <v>45857</v>
      </c>
      <c r="F1254" s="3">
        <v>45871</v>
      </c>
      <c r="G1254" s="2" t="s">
        <v>22</v>
      </c>
      <c r="H1254" s="2">
        <v>23</v>
      </c>
      <c r="I1254" s="2">
        <v>23</v>
      </c>
      <c r="J1254">
        <f t="shared" si="95"/>
        <v>17</v>
      </c>
      <c r="K1254">
        <f t="shared" si="96"/>
        <v>14</v>
      </c>
      <c r="L1254" t="str">
        <f t="shared" si="97"/>
        <v>No</v>
      </c>
      <c r="M1254" t="str">
        <f t="shared" si="99"/>
        <v>Yes</v>
      </c>
      <c r="N1254" t="str">
        <f t="shared" si="98"/>
        <v>No</v>
      </c>
    </row>
    <row r="1255" spans="1:14" x14ac:dyDescent="0.3">
      <c r="A1255" s="4" t="s">
        <v>2527</v>
      </c>
      <c r="B1255" s="4" t="s">
        <v>2528</v>
      </c>
      <c r="C1255" s="4" t="s">
        <v>37</v>
      </c>
      <c r="D1255" s="5">
        <v>45856</v>
      </c>
      <c r="E1255" s="5">
        <v>45864</v>
      </c>
      <c r="F1255" s="5">
        <v>45873</v>
      </c>
      <c r="G1255" s="4" t="s">
        <v>15</v>
      </c>
      <c r="H1255" s="4">
        <v>25</v>
      </c>
      <c r="I1255" s="2">
        <v>33</v>
      </c>
      <c r="J1255">
        <f t="shared" si="95"/>
        <v>17</v>
      </c>
      <c r="K1255">
        <f t="shared" si="96"/>
        <v>9</v>
      </c>
      <c r="L1255" t="str">
        <f t="shared" si="97"/>
        <v>No</v>
      </c>
      <c r="M1255" t="str">
        <f t="shared" si="99"/>
        <v>No</v>
      </c>
      <c r="N1255" t="str">
        <f t="shared" si="98"/>
        <v>No</v>
      </c>
    </row>
    <row r="1256" spans="1:14" x14ac:dyDescent="0.3">
      <c r="A1256" s="2" t="s">
        <v>2529</v>
      </c>
      <c r="B1256" s="2" t="s">
        <v>2530</v>
      </c>
      <c r="C1256" s="2" t="s">
        <v>34</v>
      </c>
      <c r="D1256" s="3">
        <v>45854</v>
      </c>
      <c r="E1256" s="3">
        <v>45863</v>
      </c>
      <c r="F1256" s="3">
        <v>45861</v>
      </c>
      <c r="G1256" s="2" t="s">
        <v>11</v>
      </c>
      <c r="H1256" s="2">
        <v>22</v>
      </c>
      <c r="I1256" s="2">
        <v>22</v>
      </c>
      <c r="J1256">
        <f t="shared" si="95"/>
        <v>7</v>
      </c>
      <c r="K1256">
        <f t="shared" si="96"/>
        <v>-2</v>
      </c>
      <c r="L1256" t="str">
        <f t="shared" si="97"/>
        <v>Yes</v>
      </c>
      <c r="M1256" t="str">
        <f t="shared" si="99"/>
        <v>Yes</v>
      </c>
      <c r="N1256" t="str">
        <f t="shared" si="98"/>
        <v>Yes</v>
      </c>
    </row>
    <row r="1257" spans="1:14" x14ac:dyDescent="0.3">
      <c r="A1257" s="4" t="s">
        <v>2531</v>
      </c>
      <c r="B1257" s="4" t="s">
        <v>2532</v>
      </c>
      <c r="C1257" s="4" t="s">
        <v>14</v>
      </c>
      <c r="D1257" s="5">
        <v>45856</v>
      </c>
      <c r="E1257" s="5">
        <v>45858</v>
      </c>
      <c r="F1257" s="5">
        <v>45870</v>
      </c>
      <c r="G1257" s="4" t="s">
        <v>11</v>
      </c>
      <c r="H1257" s="4">
        <v>5</v>
      </c>
      <c r="I1257" s="2">
        <v>5</v>
      </c>
      <c r="J1257">
        <f t="shared" si="95"/>
        <v>14</v>
      </c>
      <c r="K1257">
        <f t="shared" si="96"/>
        <v>12</v>
      </c>
      <c r="L1257" t="str">
        <f t="shared" si="97"/>
        <v>No</v>
      </c>
      <c r="M1257" t="str">
        <f t="shared" si="99"/>
        <v>Yes</v>
      </c>
      <c r="N1257" t="str">
        <f t="shared" si="98"/>
        <v>No</v>
      </c>
    </row>
    <row r="1258" spans="1:14" x14ac:dyDescent="0.3">
      <c r="A1258" s="2" t="s">
        <v>2533</v>
      </c>
      <c r="B1258" s="2" t="s">
        <v>2534</v>
      </c>
      <c r="C1258" s="2" t="s">
        <v>59</v>
      </c>
      <c r="D1258" s="3">
        <v>45855</v>
      </c>
      <c r="E1258" s="3">
        <v>45861</v>
      </c>
      <c r="F1258" s="3">
        <v>45863</v>
      </c>
      <c r="G1258" s="2" t="s">
        <v>22</v>
      </c>
      <c r="H1258" s="2">
        <v>48</v>
      </c>
      <c r="I1258" s="2">
        <v>48</v>
      </c>
      <c r="J1258">
        <f t="shared" si="95"/>
        <v>8</v>
      </c>
      <c r="K1258">
        <f t="shared" si="96"/>
        <v>2</v>
      </c>
      <c r="L1258" t="str">
        <f t="shared" si="97"/>
        <v>No</v>
      </c>
      <c r="M1258" t="str">
        <f t="shared" si="99"/>
        <v>Yes</v>
      </c>
      <c r="N1258" t="str">
        <f t="shared" si="98"/>
        <v>No</v>
      </c>
    </row>
    <row r="1259" spans="1:14" x14ac:dyDescent="0.3">
      <c r="A1259" s="4" t="s">
        <v>2535</v>
      </c>
      <c r="B1259" s="4" t="s">
        <v>2536</v>
      </c>
      <c r="C1259" s="4" t="s">
        <v>21</v>
      </c>
      <c r="D1259" s="5">
        <v>45854</v>
      </c>
      <c r="E1259" s="5">
        <v>45864</v>
      </c>
      <c r="F1259" s="5">
        <v>45860</v>
      </c>
      <c r="G1259" s="4" t="s">
        <v>22</v>
      </c>
      <c r="H1259" s="4">
        <v>31</v>
      </c>
      <c r="I1259" s="2">
        <v>31</v>
      </c>
      <c r="J1259">
        <f t="shared" si="95"/>
        <v>6</v>
      </c>
      <c r="K1259">
        <f t="shared" si="96"/>
        <v>-4</v>
      </c>
      <c r="L1259" t="str">
        <f t="shared" si="97"/>
        <v>Yes</v>
      </c>
      <c r="M1259" t="str">
        <f t="shared" si="99"/>
        <v>Yes</v>
      </c>
      <c r="N1259" t="str">
        <f t="shared" si="98"/>
        <v>Yes</v>
      </c>
    </row>
    <row r="1260" spans="1:14" x14ac:dyDescent="0.3">
      <c r="A1260" s="2" t="s">
        <v>2537</v>
      </c>
      <c r="B1260" s="2" t="s">
        <v>2538</v>
      </c>
      <c r="C1260" s="2" t="s">
        <v>27</v>
      </c>
      <c r="D1260" s="3">
        <v>45855</v>
      </c>
      <c r="E1260" s="3">
        <v>45862</v>
      </c>
      <c r="F1260" s="3">
        <v>45872</v>
      </c>
      <c r="G1260" s="2" t="s">
        <v>11</v>
      </c>
      <c r="H1260" s="2">
        <v>38</v>
      </c>
      <c r="I1260" s="2">
        <v>38</v>
      </c>
      <c r="J1260">
        <f t="shared" si="95"/>
        <v>17</v>
      </c>
      <c r="K1260">
        <f t="shared" si="96"/>
        <v>10</v>
      </c>
      <c r="L1260" t="str">
        <f t="shared" si="97"/>
        <v>No</v>
      </c>
      <c r="M1260" t="str">
        <f t="shared" si="99"/>
        <v>Yes</v>
      </c>
      <c r="N1260" t="str">
        <f t="shared" si="98"/>
        <v>No</v>
      </c>
    </row>
    <row r="1261" spans="1:14" x14ac:dyDescent="0.3">
      <c r="A1261" s="4" t="s">
        <v>2539</v>
      </c>
      <c r="B1261" s="4" t="s">
        <v>2540</v>
      </c>
      <c r="C1261" s="4" t="s">
        <v>27</v>
      </c>
      <c r="D1261" s="5">
        <v>45855</v>
      </c>
      <c r="E1261" s="5">
        <v>45860</v>
      </c>
      <c r="F1261" s="5">
        <v>45872</v>
      </c>
      <c r="G1261" s="4" t="s">
        <v>40</v>
      </c>
      <c r="H1261" s="4">
        <v>8</v>
      </c>
      <c r="I1261" s="2">
        <v>8</v>
      </c>
      <c r="J1261">
        <f t="shared" si="95"/>
        <v>17</v>
      </c>
      <c r="K1261">
        <f t="shared" si="96"/>
        <v>12</v>
      </c>
      <c r="L1261" t="str">
        <f t="shared" si="97"/>
        <v>No</v>
      </c>
      <c r="M1261" t="str">
        <f t="shared" si="99"/>
        <v>Yes</v>
      </c>
      <c r="N1261" t="str">
        <f t="shared" si="98"/>
        <v>No</v>
      </c>
    </row>
    <row r="1262" spans="1:14" x14ac:dyDescent="0.3">
      <c r="A1262" s="2" t="s">
        <v>2541</v>
      </c>
      <c r="B1262" s="2" t="s">
        <v>2542</v>
      </c>
      <c r="C1262" s="2" t="s">
        <v>37</v>
      </c>
      <c r="D1262" s="3">
        <v>45856</v>
      </c>
      <c r="E1262" s="3">
        <v>45864</v>
      </c>
      <c r="F1262" s="3">
        <v>45868</v>
      </c>
      <c r="G1262" s="2" t="s">
        <v>22</v>
      </c>
      <c r="H1262" s="2">
        <v>27</v>
      </c>
      <c r="I1262" s="2">
        <v>27</v>
      </c>
      <c r="J1262">
        <f t="shared" si="95"/>
        <v>12</v>
      </c>
      <c r="K1262">
        <f t="shared" si="96"/>
        <v>4</v>
      </c>
      <c r="L1262" t="str">
        <f t="shared" si="97"/>
        <v>No</v>
      </c>
      <c r="M1262" t="str">
        <f t="shared" si="99"/>
        <v>Yes</v>
      </c>
      <c r="N1262" t="str">
        <f t="shared" si="98"/>
        <v>No</v>
      </c>
    </row>
    <row r="1263" spans="1:14" x14ac:dyDescent="0.3">
      <c r="A1263" s="4" t="s">
        <v>2543</v>
      </c>
      <c r="B1263" s="4" t="s">
        <v>2544</v>
      </c>
      <c r="C1263" s="4" t="s">
        <v>34</v>
      </c>
      <c r="D1263" s="5">
        <v>45855</v>
      </c>
      <c r="E1263" s="5">
        <v>45858</v>
      </c>
      <c r="F1263" s="5">
        <v>45861</v>
      </c>
      <c r="G1263" s="4" t="s">
        <v>15</v>
      </c>
      <c r="H1263" s="4">
        <v>16</v>
      </c>
      <c r="I1263" s="2">
        <v>16</v>
      </c>
      <c r="J1263">
        <f t="shared" si="95"/>
        <v>6</v>
      </c>
      <c r="K1263">
        <f t="shared" si="96"/>
        <v>3</v>
      </c>
      <c r="L1263" t="str">
        <f t="shared" si="97"/>
        <v>No</v>
      </c>
      <c r="M1263" t="str">
        <f t="shared" si="99"/>
        <v>Yes</v>
      </c>
      <c r="N1263" t="str">
        <f t="shared" si="98"/>
        <v>No</v>
      </c>
    </row>
    <row r="1264" spans="1:14" x14ac:dyDescent="0.3">
      <c r="A1264" s="2" t="s">
        <v>2545</v>
      </c>
      <c r="B1264" s="2" t="s">
        <v>2546</v>
      </c>
      <c r="C1264" s="2" t="s">
        <v>10</v>
      </c>
      <c r="D1264" s="3">
        <v>45856</v>
      </c>
      <c r="E1264" s="3">
        <v>45865</v>
      </c>
      <c r="F1264" s="3">
        <v>45861</v>
      </c>
      <c r="G1264" s="2" t="s">
        <v>15</v>
      </c>
      <c r="H1264" s="2">
        <v>22</v>
      </c>
      <c r="I1264" s="2">
        <v>22</v>
      </c>
      <c r="J1264">
        <f t="shared" si="95"/>
        <v>5</v>
      </c>
      <c r="K1264">
        <f t="shared" si="96"/>
        <v>-4</v>
      </c>
      <c r="L1264" t="str">
        <f t="shared" si="97"/>
        <v>Yes</v>
      </c>
      <c r="M1264" t="str">
        <f t="shared" si="99"/>
        <v>Yes</v>
      </c>
      <c r="N1264" t="str">
        <f t="shared" si="98"/>
        <v>Yes</v>
      </c>
    </row>
    <row r="1265" spans="1:14" x14ac:dyDescent="0.3">
      <c r="A1265" s="4" t="s">
        <v>2547</v>
      </c>
      <c r="B1265" s="4" t="s">
        <v>2548</v>
      </c>
      <c r="C1265" s="4" t="s">
        <v>59</v>
      </c>
      <c r="D1265" s="5">
        <v>45856</v>
      </c>
      <c r="E1265" s="5">
        <v>45865</v>
      </c>
      <c r="F1265" s="5">
        <v>45862</v>
      </c>
      <c r="G1265" s="4" t="s">
        <v>40</v>
      </c>
      <c r="H1265" s="4">
        <v>9</v>
      </c>
      <c r="I1265" s="2">
        <v>9</v>
      </c>
      <c r="J1265">
        <f t="shared" si="95"/>
        <v>6</v>
      </c>
      <c r="K1265">
        <f t="shared" si="96"/>
        <v>-3</v>
      </c>
      <c r="L1265" t="str">
        <f t="shared" si="97"/>
        <v>Yes</v>
      </c>
      <c r="M1265" t="str">
        <f t="shared" si="99"/>
        <v>Yes</v>
      </c>
      <c r="N1265" t="str">
        <f t="shared" si="98"/>
        <v>Yes</v>
      </c>
    </row>
    <row r="1266" spans="1:14" x14ac:dyDescent="0.3">
      <c r="A1266" s="2" t="s">
        <v>2549</v>
      </c>
      <c r="B1266" s="2" t="s">
        <v>2550</v>
      </c>
      <c r="C1266" s="2" t="s">
        <v>21</v>
      </c>
      <c r="D1266" s="3">
        <v>45856</v>
      </c>
      <c r="E1266" s="3">
        <v>45862</v>
      </c>
      <c r="F1266" s="3">
        <v>45862</v>
      </c>
      <c r="G1266" s="2" t="s">
        <v>40</v>
      </c>
      <c r="H1266" s="2">
        <v>44</v>
      </c>
      <c r="I1266" s="2">
        <v>44</v>
      </c>
      <c r="J1266">
        <f t="shared" si="95"/>
        <v>6</v>
      </c>
      <c r="K1266">
        <f t="shared" si="96"/>
        <v>0</v>
      </c>
      <c r="L1266" t="str">
        <f t="shared" si="97"/>
        <v>Yes</v>
      </c>
      <c r="M1266" t="str">
        <f t="shared" si="99"/>
        <v>Yes</v>
      </c>
      <c r="N1266" t="str">
        <f t="shared" si="98"/>
        <v>Yes</v>
      </c>
    </row>
    <row r="1267" spans="1:14" x14ac:dyDescent="0.3">
      <c r="A1267" s="4" t="s">
        <v>2551</v>
      </c>
      <c r="B1267" s="4" t="s">
        <v>2552</v>
      </c>
      <c r="C1267" s="4" t="s">
        <v>21</v>
      </c>
      <c r="D1267" s="5">
        <v>45855</v>
      </c>
      <c r="E1267" s="5">
        <v>45858</v>
      </c>
      <c r="F1267" s="5">
        <v>45861</v>
      </c>
      <c r="G1267" s="4" t="s">
        <v>22</v>
      </c>
      <c r="H1267" s="4">
        <v>39</v>
      </c>
      <c r="I1267" s="2">
        <v>39</v>
      </c>
      <c r="J1267">
        <f t="shared" si="95"/>
        <v>6</v>
      </c>
      <c r="K1267">
        <f t="shared" si="96"/>
        <v>3</v>
      </c>
      <c r="L1267" t="str">
        <f t="shared" si="97"/>
        <v>No</v>
      </c>
      <c r="M1267" t="str">
        <f t="shared" si="99"/>
        <v>Yes</v>
      </c>
      <c r="N1267" t="str">
        <f t="shared" si="98"/>
        <v>No</v>
      </c>
    </row>
    <row r="1268" spans="1:14" x14ac:dyDescent="0.3">
      <c r="A1268" s="2" t="s">
        <v>2553</v>
      </c>
      <c r="B1268" s="2" t="s">
        <v>2554</v>
      </c>
      <c r="C1268" s="2" t="s">
        <v>21</v>
      </c>
      <c r="D1268" s="3">
        <v>45857</v>
      </c>
      <c r="E1268" s="3">
        <v>45858</v>
      </c>
      <c r="F1268" s="3">
        <v>45867</v>
      </c>
      <c r="G1268" s="2" t="s">
        <v>15</v>
      </c>
      <c r="H1268" s="2">
        <v>22</v>
      </c>
      <c r="I1268" s="2">
        <v>22</v>
      </c>
      <c r="J1268">
        <f t="shared" si="95"/>
        <v>10</v>
      </c>
      <c r="K1268">
        <f t="shared" si="96"/>
        <v>9</v>
      </c>
      <c r="L1268" t="str">
        <f t="shared" si="97"/>
        <v>No</v>
      </c>
      <c r="M1268" t="str">
        <f t="shared" si="99"/>
        <v>Yes</v>
      </c>
      <c r="N1268" t="str">
        <f t="shared" si="98"/>
        <v>No</v>
      </c>
    </row>
    <row r="1269" spans="1:14" x14ac:dyDescent="0.3">
      <c r="A1269" s="4" t="s">
        <v>2555</v>
      </c>
      <c r="B1269" s="4" t="s">
        <v>2556</v>
      </c>
      <c r="C1269" s="4" t="s">
        <v>27</v>
      </c>
      <c r="D1269" s="5">
        <v>45856</v>
      </c>
      <c r="E1269" s="5">
        <v>45858</v>
      </c>
      <c r="F1269" s="5">
        <v>45868</v>
      </c>
      <c r="G1269" s="4" t="s">
        <v>11</v>
      </c>
      <c r="H1269" s="4">
        <v>27</v>
      </c>
      <c r="I1269" s="2">
        <v>30</v>
      </c>
      <c r="J1269">
        <f t="shared" si="95"/>
        <v>12</v>
      </c>
      <c r="K1269">
        <f t="shared" si="96"/>
        <v>10</v>
      </c>
      <c r="L1269" t="str">
        <f t="shared" si="97"/>
        <v>No</v>
      </c>
      <c r="M1269" t="str">
        <f t="shared" si="99"/>
        <v>No</v>
      </c>
      <c r="N1269" t="str">
        <f t="shared" si="98"/>
        <v>No</v>
      </c>
    </row>
    <row r="1270" spans="1:14" x14ac:dyDescent="0.3">
      <c r="A1270" s="2" t="s">
        <v>2557</v>
      </c>
      <c r="B1270" s="2" t="s">
        <v>2558</v>
      </c>
      <c r="C1270" s="2" t="s">
        <v>27</v>
      </c>
      <c r="D1270" s="3">
        <v>45856</v>
      </c>
      <c r="E1270" s="3">
        <v>45858</v>
      </c>
      <c r="F1270" s="3">
        <v>45871</v>
      </c>
      <c r="G1270" s="2" t="s">
        <v>40</v>
      </c>
      <c r="H1270" s="2">
        <v>6</v>
      </c>
      <c r="I1270" s="2">
        <v>6</v>
      </c>
      <c r="J1270">
        <f t="shared" si="95"/>
        <v>15</v>
      </c>
      <c r="K1270">
        <f t="shared" si="96"/>
        <v>13</v>
      </c>
      <c r="L1270" t="str">
        <f t="shared" si="97"/>
        <v>No</v>
      </c>
      <c r="M1270" t="str">
        <f t="shared" si="99"/>
        <v>Yes</v>
      </c>
      <c r="N1270" t="str">
        <f t="shared" si="98"/>
        <v>No</v>
      </c>
    </row>
    <row r="1271" spans="1:14" x14ac:dyDescent="0.3">
      <c r="A1271" s="4" t="s">
        <v>2559</v>
      </c>
      <c r="B1271" s="4" t="s">
        <v>2560</v>
      </c>
      <c r="C1271" s="4" t="s">
        <v>34</v>
      </c>
      <c r="D1271" s="5">
        <v>45856</v>
      </c>
      <c r="E1271" s="5">
        <v>45862</v>
      </c>
      <c r="F1271" s="5">
        <v>45864</v>
      </c>
      <c r="G1271" s="4" t="s">
        <v>11</v>
      </c>
      <c r="H1271" s="4">
        <v>19</v>
      </c>
      <c r="I1271" s="2">
        <v>19</v>
      </c>
      <c r="J1271">
        <f t="shared" si="95"/>
        <v>8</v>
      </c>
      <c r="K1271">
        <f t="shared" si="96"/>
        <v>2</v>
      </c>
      <c r="L1271" t="str">
        <f t="shared" si="97"/>
        <v>No</v>
      </c>
      <c r="M1271" t="str">
        <f t="shared" si="99"/>
        <v>Yes</v>
      </c>
      <c r="N1271" t="str">
        <f t="shared" si="98"/>
        <v>No</v>
      </c>
    </row>
    <row r="1272" spans="1:14" x14ac:dyDescent="0.3">
      <c r="A1272" s="2" t="s">
        <v>2561</v>
      </c>
      <c r="B1272" s="2" t="s">
        <v>2562</v>
      </c>
      <c r="C1272" s="2" t="s">
        <v>37</v>
      </c>
      <c r="D1272" s="3">
        <v>45857</v>
      </c>
      <c r="E1272" s="3">
        <v>45862</v>
      </c>
      <c r="F1272" s="3">
        <v>45870</v>
      </c>
      <c r="G1272" s="2" t="s">
        <v>40</v>
      </c>
      <c r="H1272" s="2">
        <v>37</v>
      </c>
      <c r="I1272" s="2">
        <v>37</v>
      </c>
      <c r="J1272">
        <f t="shared" si="95"/>
        <v>13</v>
      </c>
      <c r="K1272">
        <f t="shared" si="96"/>
        <v>8</v>
      </c>
      <c r="L1272" t="str">
        <f t="shared" si="97"/>
        <v>No</v>
      </c>
      <c r="M1272" t="str">
        <f t="shared" si="99"/>
        <v>Yes</v>
      </c>
      <c r="N1272" t="str">
        <f t="shared" si="98"/>
        <v>No</v>
      </c>
    </row>
    <row r="1273" spans="1:14" x14ac:dyDescent="0.3">
      <c r="A1273" s="4" t="s">
        <v>2563</v>
      </c>
      <c r="B1273" s="4" t="s">
        <v>2564</v>
      </c>
      <c r="C1273" s="4" t="s">
        <v>10</v>
      </c>
      <c r="D1273" s="5">
        <v>45857</v>
      </c>
      <c r="E1273" s="5">
        <v>45860</v>
      </c>
      <c r="F1273" s="5">
        <v>45864</v>
      </c>
      <c r="G1273" s="4" t="s">
        <v>40</v>
      </c>
      <c r="H1273" s="4">
        <v>14</v>
      </c>
      <c r="I1273" s="2">
        <v>14</v>
      </c>
      <c r="J1273">
        <f t="shared" si="95"/>
        <v>7</v>
      </c>
      <c r="K1273">
        <f t="shared" si="96"/>
        <v>4</v>
      </c>
      <c r="L1273" t="str">
        <f t="shared" si="97"/>
        <v>No</v>
      </c>
      <c r="M1273" t="str">
        <f t="shared" si="99"/>
        <v>Yes</v>
      </c>
      <c r="N1273" t="str">
        <f t="shared" si="98"/>
        <v>No</v>
      </c>
    </row>
    <row r="1274" spans="1:14" x14ac:dyDescent="0.3">
      <c r="A1274" s="2" t="s">
        <v>2565</v>
      </c>
      <c r="B1274" s="2" t="s">
        <v>2566</v>
      </c>
      <c r="C1274" s="2" t="s">
        <v>10</v>
      </c>
      <c r="D1274" s="3">
        <v>45857</v>
      </c>
      <c r="E1274" s="3">
        <v>45864</v>
      </c>
      <c r="F1274" s="3">
        <v>45861</v>
      </c>
      <c r="G1274" s="2" t="s">
        <v>40</v>
      </c>
      <c r="H1274" s="2">
        <v>5</v>
      </c>
      <c r="I1274" s="2">
        <v>5</v>
      </c>
      <c r="J1274">
        <f t="shared" si="95"/>
        <v>4</v>
      </c>
      <c r="K1274">
        <f t="shared" si="96"/>
        <v>-3</v>
      </c>
      <c r="L1274" t="str">
        <f t="shared" si="97"/>
        <v>Yes</v>
      </c>
      <c r="M1274" t="str">
        <f t="shared" si="99"/>
        <v>Yes</v>
      </c>
      <c r="N1274" t="str">
        <f t="shared" si="98"/>
        <v>Yes</v>
      </c>
    </row>
    <row r="1275" spans="1:14" x14ac:dyDescent="0.3">
      <c r="A1275" s="4" t="s">
        <v>2567</v>
      </c>
      <c r="B1275" s="4" t="s">
        <v>2568</v>
      </c>
      <c r="C1275" s="4" t="s">
        <v>14</v>
      </c>
      <c r="D1275" s="5">
        <v>45856</v>
      </c>
      <c r="E1275" s="5">
        <v>45865</v>
      </c>
      <c r="F1275" s="5">
        <v>45873</v>
      </c>
      <c r="G1275" s="4" t="s">
        <v>15</v>
      </c>
      <c r="H1275" s="4">
        <v>18</v>
      </c>
      <c r="I1275" s="2">
        <v>18</v>
      </c>
      <c r="J1275">
        <f t="shared" si="95"/>
        <v>17</v>
      </c>
      <c r="K1275">
        <f t="shared" si="96"/>
        <v>8</v>
      </c>
      <c r="L1275" t="str">
        <f t="shared" si="97"/>
        <v>No</v>
      </c>
      <c r="M1275" t="str">
        <f t="shared" si="99"/>
        <v>Yes</v>
      </c>
      <c r="N1275" t="str">
        <f t="shared" si="98"/>
        <v>No</v>
      </c>
    </row>
    <row r="1276" spans="1:14" x14ac:dyDescent="0.3">
      <c r="A1276" s="2" t="s">
        <v>2569</v>
      </c>
      <c r="B1276" s="2" t="s">
        <v>2570</v>
      </c>
      <c r="C1276" s="2" t="s">
        <v>21</v>
      </c>
      <c r="D1276" s="3">
        <v>45857</v>
      </c>
      <c r="E1276" s="3">
        <v>45865</v>
      </c>
      <c r="F1276" s="3">
        <v>45865</v>
      </c>
      <c r="G1276" s="2" t="s">
        <v>40</v>
      </c>
      <c r="H1276" s="2">
        <v>30</v>
      </c>
      <c r="I1276" s="2">
        <v>33</v>
      </c>
      <c r="J1276">
        <f t="shared" si="95"/>
        <v>8</v>
      </c>
      <c r="K1276">
        <f t="shared" si="96"/>
        <v>0</v>
      </c>
      <c r="L1276" t="str">
        <f t="shared" si="97"/>
        <v>Yes</v>
      </c>
      <c r="M1276" t="str">
        <f t="shared" si="99"/>
        <v>No</v>
      </c>
      <c r="N1276" t="str">
        <f t="shared" si="98"/>
        <v>No</v>
      </c>
    </row>
    <row r="1277" spans="1:14" x14ac:dyDescent="0.3">
      <c r="A1277" s="4" t="s">
        <v>2571</v>
      </c>
      <c r="B1277" s="4" t="s">
        <v>2572</v>
      </c>
      <c r="C1277" s="4" t="s">
        <v>21</v>
      </c>
      <c r="D1277" s="5">
        <v>45858</v>
      </c>
      <c r="E1277" s="5">
        <v>45862</v>
      </c>
      <c r="F1277" s="5">
        <v>45865</v>
      </c>
      <c r="G1277" s="4" t="s">
        <v>18</v>
      </c>
      <c r="H1277" s="4">
        <v>45</v>
      </c>
      <c r="I1277" s="2">
        <v>45</v>
      </c>
      <c r="J1277">
        <f t="shared" si="95"/>
        <v>7</v>
      </c>
      <c r="K1277">
        <f t="shared" si="96"/>
        <v>3</v>
      </c>
      <c r="L1277" t="str">
        <f t="shared" si="97"/>
        <v>No</v>
      </c>
      <c r="M1277" t="str">
        <f t="shared" si="99"/>
        <v>Yes</v>
      </c>
      <c r="N1277" t="str">
        <f t="shared" si="98"/>
        <v>No</v>
      </c>
    </row>
    <row r="1278" spans="1:14" x14ac:dyDescent="0.3">
      <c r="A1278" s="2" t="s">
        <v>2573</v>
      </c>
      <c r="B1278" s="2" t="s">
        <v>2574</v>
      </c>
      <c r="C1278" s="2" t="s">
        <v>21</v>
      </c>
      <c r="D1278" s="3">
        <v>45857</v>
      </c>
      <c r="E1278" s="3">
        <v>45864</v>
      </c>
      <c r="F1278" s="3">
        <v>45865</v>
      </c>
      <c r="G1278" s="2" t="s">
        <v>11</v>
      </c>
      <c r="H1278" s="2">
        <v>31</v>
      </c>
      <c r="I1278" s="2">
        <v>31</v>
      </c>
      <c r="J1278">
        <f t="shared" si="95"/>
        <v>8</v>
      </c>
      <c r="K1278">
        <f t="shared" si="96"/>
        <v>1</v>
      </c>
      <c r="L1278" t="str">
        <f t="shared" si="97"/>
        <v>No</v>
      </c>
      <c r="M1278" t="str">
        <f t="shared" si="99"/>
        <v>Yes</v>
      </c>
      <c r="N1278" t="str">
        <f t="shared" si="98"/>
        <v>No</v>
      </c>
    </row>
    <row r="1279" spans="1:14" x14ac:dyDescent="0.3">
      <c r="A1279" s="4" t="s">
        <v>2575</v>
      </c>
      <c r="B1279" s="4" t="s">
        <v>2576</v>
      </c>
      <c r="C1279" s="4" t="s">
        <v>27</v>
      </c>
      <c r="D1279" s="5">
        <v>45858</v>
      </c>
      <c r="E1279" s="5">
        <v>45866</v>
      </c>
      <c r="F1279" s="5">
        <v>45873</v>
      </c>
      <c r="G1279" s="4" t="s">
        <v>22</v>
      </c>
      <c r="H1279" s="4">
        <v>3</v>
      </c>
      <c r="I1279" s="2">
        <v>3</v>
      </c>
      <c r="J1279">
        <f t="shared" si="95"/>
        <v>15</v>
      </c>
      <c r="K1279">
        <f t="shared" si="96"/>
        <v>7</v>
      </c>
      <c r="L1279" t="str">
        <f t="shared" si="97"/>
        <v>No</v>
      </c>
      <c r="M1279" t="str">
        <f t="shared" si="99"/>
        <v>Yes</v>
      </c>
      <c r="N1279" t="str">
        <f t="shared" si="98"/>
        <v>No</v>
      </c>
    </row>
    <row r="1280" spans="1:14" x14ac:dyDescent="0.3">
      <c r="A1280" s="2" t="s">
        <v>2577</v>
      </c>
      <c r="B1280" s="2" t="s">
        <v>2578</v>
      </c>
      <c r="C1280" s="2" t="s">
        <v>27</v>
      </c>
      <c r="D1280" s="3">
        <v>45857</v>
      </c>
      <c r="E1280" s="3">
        <v>45865</v>
      </c>
      <c r="F1280" s="3">
        <v>45874</v>
      </c>
      <c r="G1280" s="2" t="s">
        <v>22</v>
      </c>
      <c r="H1280" s="2">
        <v>11</v>
      </c>
      <c r="I1280" s="2">
        <v>11</v>
      </c>
      <c r="J1280">
        <f t="shared" si="95"/>
        <v>17</v>
      </c>
      <c r="K1280">
        <f t="shared" si="96"/>
        <v>9</v>
      </c>
      <c r="L1280" t="str">
        <f t="shared" si="97"/>
        <v>No</v>
      </c>
      <c r="M1280" t="str">
        <f t="shared" si="99"/>
        <v>Yes</v>
      </c>
      <c r="N1280" t="str">
        <f t="shared" si="98"/>
        <v>No</v>
      </c>
    </row>
    <row r="1281" spans="1:14" x14ac:dyDescent="0.3">
      <c r="A1281" s="4" t="s">
        <v>2579</v>
      </c>
      <c r="B1281" s="4" t="s">
        <v>2580</v>
      </c>
      <c r="C1281" s="4" t="s">
        <v>34</v>
      </c>
      <c r="D1281" s="5">
        <v>45857</v>
      </c>
      <c r="E1281" s="5">
        <v>45865</v>
      </c>
      <c r="F1281" s="5">
        <v>45866</v>
      </c>
      <c r="G1281" s="4" t="s">
        <v>18</v>
      </c>
      <c r="H1281" s="4">
        <v>39</v>
      </c>
      <c r="I1281" s="2">
        <v>39</v>
      </c>
      <c r="J1281">
        <f t="shared" si="95"/>
        <v>9</v>
      </c>
      <c r="K1281">
        <f t="shared" si="96"/>
        <v>1</v>
      </c>
      <c r="L1281" t="str">
        <f t="shared" si="97"/>
        <v>No</v>
      </c>
      <c r="M1281" t="str">
        <f t="shared" si="99"/>
        <v>Yes</v>
      </c>
      <c r="N1281" t="str">
        <f t="shared" si="98"/>
        <v>No</v>
      </c>
    </row>
    <row r="1282" spans="1:14" x14ac:dyDescent="0.3">
      <c r="A1282" s="2" t="s">
        <v>2581</v>
      </c>
      <c r="B1282" s="2" t="s">
        <v>2582</v>
      </c>
      <c r="C1282" s="2" t="s">
        <v>37</v>
      </c>
      <c r="D1282" s="3">
        <v>45858</v>
      </c>
      <c r="E1282" s="3">
        <v>45867</v>
      </c>
      <c r="F1282" s="3">
        <v>45871</v>
      </c>
      <c r="G1282" s="2" t="s">
        <v>22</v>
      </c>
      <c r="H1282" s="2">
        <v>30</v>
      </c>
      <c r="I1282" s="2">
        <v>30</v>
      </c>
      <c r="J1282">
        <f t="shared" si="95"/>
        <v>13</v>
      </c>
      <c r="K1282">
        <f t="shared" si="96"/>
        <v>4</v>
      </c>
      <c r="L1282" t="str">
        <f t="shared" si="97"/>
        <v>No</v>
      </c>
      <c r="M1282" t="str">
        <f t="shared" si="99"/>
        <v>Yes</v>
      </c>
      <c r="N1282" t="str">
        <f t="shared" si="98"/>
        <v>No</v>
      </c>
    </row>
    <row r="1283" spans="1:14" x14ac:dyDescent="0.3">
      <c r="A1283" s="4" t="s">
        <v>2583</v>
      </c>
      <c r="B1283" s="4" t="s">
        <v>2584</v>
      </c>
      <c r="C1283" s="4" t="s">
        <v>72</v>
      </c>
      <c r="D1283" s="5">
        <v>45859</v>
      </c>
      <c r="E1283" s="5">
        <v>45860</v>
      </c>
      <c r="F1283" s="5">
        <v>45877</v>
      </c>
      <c r="G1283" s="4" t="s">
        <v>11</v>
      </c>
      <c r="H1283" s="4">
        <v>29</v>
      </c>
      <c r="I1283" s="2">
        <v>29</v>
      </c>
      <c r="J1283">
        <f t="shared" ref="J1283:J1346" si="100">F1283-D1283</f>
        <v>18</v>
      </c>
      <c r="K1283">
        <f t="shared" ref="K1283:K1346" si="101">F1283-E1283</f>
        <v>17</v>
      </c>
      <c r="L1283" t="str">
        <f t="shared" ref="L1283:L1346" si="102">IF(K1283&lt;=0,"Yes","No")</f>
        <v>No</v>
      </c>
      <c r="M1283" t="str">
        <f t="shared" si="99"/>
        <v>Yes</v>
      </c>
      <c r="N1283" t="str">
        <f t="shared" ref="N1283:N1346" si="103">IF(AND(L1283="Yes",M1283="Yes"),"Yes","No")</f>
        <v>No</v>
      </c>
    </row>
    <row r="1284" spans="1:14" x14ac:dyDescent="0.3">
      <c r="A1284" s="2" t="s">
        <v>2585</v>
      </c>
      <c r="B1284" s="2" t="s">
        <v>2586</v>
      </c>
      <c r="C1284" s="2" t="s">
        <v>10</v>
      </c>
      <c r="D1284" s="3">
        <v>45858</v>
      </c>
      <c r="E1284" s="3">
        <v>45861</v>
      </c>
      <c r="F1284" s="3">
        <v>45863</v>
      </c>
      <c r="G1284" s="2" t="s">
        <v>11</v>
      </c>
      <c r="H1284" s="2">
        <v>13</v>
      </c>
      <c r="I1284" s="2">
        <v>13</v>
      </c>
      <c r="J1284">
        <f t="shared" si="100"/>
        <v>5</v>
      </c>
      <c r="K1284">
        <f t="shared" si="101"/>
        <v>2</v>
      </c>
      <c r="L1284" t="str">
        <f t="shared" si="102"/>
        <v>No</v>
      </c>
      <c r="M1284" t="str">
        <f t="shared" ref="M1284:M1347" si="104">IF(H1284=I1284,"Yes","No")</f>
        <v>Yes</v>
      </c>
      <c r="N1284" t="str">
        <f t="shared" si="103"/>
        <v>No</v>
      </c>
    </row>
    <row r="1285" spans="1:14" x14ac:dyDescent="0.3">
      <c r="A1285" s="4" t="s">
        <v>2587</v>
      </c>
      <c r="B1285" s="4" t="s">
        <v>2588</v>
      </c>
      <c r="C1285" s="4" t="s">
        <v>14</v>
      </c>
      <c r="D1285" s="5">
        <v>45858</v>
      </c>
      <c r="E1285" s="5">
        <v>45864</v>
      </c>
      <c r="F1285" s="5">
        <v>45872</v>
      </c>
      <c r="G1285" s="4" t="s">
        <v>18</v>
      </c>
      <c r="H1285" s="4">
        <v>6</v>
      </c>
      <c r="I1285" s="2">
        <v>6</v>
      </c>
      <c r="J1285">
        <f t="shared" si="100"/>
        <v>14</v>
      </c>
      <c r="K1285">
        <f t="shared" si="101"/>
        <v>8</v>
      </c>
      <c r="L1285" t="str">
        <f t="shared" si="102"/>
        <v>No</v>
      </c>
      <c r="M1285" t="str">
        <f t="shared" si="104"/>
        <v>Yes</v>
      </c>
      <c r="N1285" t="str">
        <f t="shared" si="103"/>
        <v>No</v>
      </c>
    </row>
    <row r="1286" spans="1:14" x14ac:dyDescent="0.3">
      <c r="A1286" s="2" t="s">
        <v>2589</v>
      </c>
      <c r="B1286" s="2" t="s">
        <v>2590</v>
      </c>
      <c r="C1286" s="2" t="s">
        <v>14</v>
      </c>
      <c r="D1286" s="3">
        <v>45858</v>
      </c>
      <c r="E1286" s="3">
        <v>45867</v>
      </c>
      <c r="F1286" s="3">
        <v>45875</v>
      </c>
      <c r="G1286" s="2" t="s">
        <v>11</v>
      </c>
      <c r="H1286" s="2">
        <v>33</v>
      </c>
      <c r="I1286" s="2">
        <v>33</v>
      </c>
      <c r="J1286">
        <f t="shared" si="100"/>
        <v>17</v>
      </c>
      <c r="K1286">
        <f t="shared" si="101"/>
        <v>8</v>
      </c>
      <c r="L1286" t="str">
        <f t="shared" si="102"/>
        <v>No</v>
      </c>
      <c r="M1286" t="str">
        <f t="shared" si="104"/>
        <v>Yes</v>
      </c>
      <c r="N1286" t="str">
        <f t="shared" si="103"/>
        <v>No</v>
      </c>
    </row>
    <row r="1287" spans="1:14" x14ac:dyDescent="0.3">
      <c r="A1287" s="4" t="s">
        <v>2591</v>
      </c>
      <c r="B1287" s="4" t="s">
        <v>2592</v>
      </c>
      <c r="C1287" s="4" t="s">
        <v>59</v>
      </c>
      <c r="D1287" s="5">
        <v>45858</v>
      </c>
      <c r="E1287" s="5">
        <v>45865</v>
      </c>
      <c r="F1287" s="5">
        <v>45866</v>
      </c>
      <c r="G1287" s="4" t="s">
        <v>40</v>
      </c>
      <c r="H1287" s="4">
        <v>14</v>
      </c>
      <c r="I1287" s="2">
        <v>15</v>
      </c>
      <c r="J1287">
        <f t="shared" si="100"/>
        <v>8</v>
      </c>
      <c r="K1287">
        <f t="shared" si="101"/>
        <v>1</v>
      </c>
      <c r="L1287" t="str">
        <f t="shared" si="102"/>
        <v>No</v>
      </c>
      <c r="M1287" t="str">
        <f t="shared" si="104"/>
        <v>No</v>
      </c>
      <c r="N1287" t="str">
        <f t="shared" si="103"/>
        <v>No</v>
      </c>
    </row>
    <row r="1288" spans="1:14" x14ac:dyDescent="0.3">
      <c r="A1288" s="2" t="s">
        <v>2593</v>
      </c>
      <c r="B1288" s="2" t="s">
        <v>2594</v>
      </c>
      <c r="C1288" s="2" t="s">
        <v>27</v>
      </c>
      <c r="D1288" s="3">
        <v>45857</v>
      </c>
      <c r="E1288" s="3">
        <v>45865</v>
      </c>
      <c r="F1288" s="3">
        <v>45874</v>
      </c>
      <c r="G1288" s="2" t="s">
        <v>40</v>
      </c>
      <c r="H1288" s="2">
        <v>43</v>
      </c>
      <c r="I1288" s="2">
        <v>43</v>
      </c>
      <c r="J1288">
        <f t="shared" si="100"/>
        <v>17</v>
      </c>
      <c r="K1288">
        <f t="shared" si="101"/>
        <v>9</v>
      </c>
      <c r="L1288" t="str">
        <f t="shared" si="102"/>
        <v>No</v>
      </c>
      <c r="M1288" t="str">
        <f t="shared" si="104"/>
        <v>Yes</v>
      </c>
      <c r="N1288" t="str">
        <f t="shared" si="103"/>
        <v>No</v>
      </c>
    </row>
    <row r="1289" spans="1:14" x14ac:dyDescent="0.3">
      <c r="A1289" s="4" t="s">
        <v>2595</v>
      </c>
      <c r="B1289" s="4" t="s">
        <v>2596</v>
      </c>
      <c r="C1289" s="4" t="s">
        <v>27</v>
      </c>
      <c r="D1289" s="5">
        <v>45859</v>
      </c>
      <c r="E1289" s="5">
        <v>45860</v>
      </c>
      <c r="F1289" s="5">
        <v>45876</v>
      </c>
      <c r="G1289" s="4" t="s">
        <v>40</v>
      </c>
      <c r="H1289" s="4">
        <v>3</v>
      </c>
      <c r="I1289" s="2">
        <v>7</v>
      </c>
      <c r="J1289">
        <f t="shared" si="100"/>
        <v>17</v>
      </c>
      <c r="K1289">
        <f t="shared" si="101"/>
        <v>16</v>
      </c>
      <c r="L1289" t="str">
        <f t="shared" si="102"/>
        <v>No</v>
      </c>
      <c r="M1289" t="str">
        <f t="shared" si="104"/>
        <v>No</v>
      </c>
      <c r="N1289" t="str">
        <f t="shared" si="103"/>
        <v>No</v>
      </c>
    </row>
    <row r="1290" spans="1:14" x14ac:dyDescent="0.3">
      <c r="A1290" s="2" t="s">
        <v>2597</v>
      </c>
      <c r="B1290" s="2" t="s">
        <v>2598</v>
      </c>
      <c r="C1290" s="2" t="s">
        <v>37</v>
      </c>
      <c r="D1290" s="3">
        <v>45860</v>
      </c>
      <c r="E1290" s="3">
        <v>45863</v>
      </c>
      <c r="F1290" s="3">
        <v>45873</v>
      </c>
      <c r="G1290" s="2" t="s">
        <v>15</v>
      </c>
      <c r="H1290" s="2">
        <v>19</v>
      </c>
      <c r="I1290" s="2">
        <v>22</v>
      </c>
      <c r="J1290">
        <f t="shared" si="100"/>
        <v>13</v>
      </c>
      <c r="K1290">
        <f t="shared" si="101"/>
        <v>10</v>
      </c>
      <c r="L1290" t="str">
        <f t="shared" si="102"/>
        <v>No</v>
      </c>
      <c r="M1290" t="str">
        <f t="shared" si="104"/>
        <v>No</v>
      </c>
      <c r="N1290" t="str">
        <f t="shared" si="103"/>
        <v>No</v>
      </c>
    </row>
    <row r="1291" spans="1:14" x14ac:dyDescent="0.3">
      <c r="A1291" s="4" t="s">
        <v>2599</v>
      </c>
      <c r="B1291" s="4" t="s">
        <v>2600</v>
      </c>
      <c r="C1291" s="4" t="s">
        <v>37</v>
      </c>
      <c r="D1291" s="5">
        <v>45858</v>
      </c>
      <c r="E1291" s="5">
        <v>45868</v>
      </c>
      <c r="F1291" s="5">
        <v>45875</v>
      </c>
      <c r="G1291" s="4" t="s">
        <v>11</v>
      </c>
      <c r="H1291" s="4">
        <v>16</v>
      </c>
      <c r="I1291" s="2">
        <v>24</v>
      </c>
      <c r="J1291">
        <f t="shared" si="100"/>
        <v>17</v>
      </c>
      <c r="K1291">
        <f t="shared" si="101"/>
        <v>7</v>
      </c>
      <c r="L1291" t="str">
        <f t="shared" si="102"/>
        <v>No</v>
      </c>
      <c r="M1291" t="str">
        <f t="shared" si="104"/>
        <v>No</v>
      </c>
      <c r="N1291" t="str">
        <f t="shared" si="103"/>
        <v>No</v>
      </c>
    </row>
    <row r="1292" spans="1:14" x14ac:dyDescent="0.3">
      <c r="A1292" s="2" t="s">
        <v>2601</v>
      </c>
      <c r="B1292" s="2" t="s">
        <v>2602</v>
      </c>
      <c r="C1292" s="2" t="s">
        <v>72</v>
      </c>
      <c r="D1292" s="3">
        <v>45859</v>
      </c>
      <c r="E1292" s="3">
        <v>45863</v>
      </c>
      <c r="F1292" s="3">
        <v>45874</v>
      </c>
      <c r="G1292" s="2" t="s">
        <v>22</v>
      </c>
      <c r="H1292" s="2">
        <v>17</v>
      </c>
      <c r="I1292" s="2">
        <v>25</v>
      </c>
      <c r="J1292">
        <f t="shared" si="100"/>
        <v>15</v>
      </c>
      <c r="K1292">
        <f t="shared" si="101"/>
        <v>11</v>
      </c>
      <c r="L1292" t="str">
        <f t="shared" si="102"/>
        <v>No</v>
      </c>
      <c r="M1292" t="str">
        <f t="shared" si="104"/>
        <v>No</v>
      </c>
      <c r="N1292" t="str">
        <f t="shared" si="103"/>
        <v>No</v>
      </c>
    </row>
    <row r="1293" spans="1:14" x14ac:dyDescent="0.3">
      <c r="A1293" s="4" t="s">
        <v>2603</v>
      </c>
      <c r="B1293" s="4" t="s">
        <v>2604</v>
      </c>
      <c r="C1293" s="4" t="s">
        <v>14</v>
      </c>
      <c r="D1293" s="5">
        <v>45858</v>
      </c>
      <c r="E1293" s="5">
        <v>45862</v>
      </c>
      <c r="F1293" s="5">
        <v>45872</v>
      </c>
      <c r="G1293" s="4" t="s">
        <v>40</v>
      </c>
      <c r="H1293" s="4">
        <v>38</v>
      </c>
      <c r="I1293" s="2">
        <v>38</v>
      </c>
      <c r="J1293">
        <f t="shared" si="100"/>
        <v>14</v>
      </c>
      <c r="K1293">
        <f t="shared" si="101"/>
        <v>10</v>
      </c>
      <c r="L1293" t="str">
        <f t="shared" si="102"/>
        <v>No</v>
      </c>
      <c r="M1293" t="str">
        <f t="shared" si="104"/>
        <v>Yes</v>
      </c>
      <c r="N1293" t="str">
        <f t="shared" si="103"/>
        <v>No</v>
      </c>
    </row>
    <row r="1294" spans="1:14" x14ac:dyDescent="0.3">
      <c r="A1294" s="2" t="s">
        <v>2605</v>
      </c>
      <c r="B1294" s="2" t="s">
        <v>2606</v>
      </c>
      <c r="C1294" s="2" t="s">
        <v>14</v>
      </c>
      <c r="D1294" s="3">
        <v>45858</v>
      </c>
      <c r="E1294" s="3">
        <v>45863</v>
      </c>
      <c r="F1294" s="3">
        <v>45873</v>
      </c>
      <c r="G1294" s="2" t="s">
        <v>18</v>
      </c>
      <c r="H1294" s="2">
        <v>18</v>
      </c>
      <c r="I1294" s="2">
        <v>18</v>
      </c>
      <c r="J1294">
        <f t="shared" si="100"/>
        <v>15</v>
      </c>
      <c r="K1294">
        <f t="shared" si="101"/>
        <v>10</v>
      </c>
      <c r="L1294" t="str">
        <f t="shared" si="102"/>
        <v>No</v>
      </c>
      <c r="M1294" t="str">
        <f t="shared" si="104"/>
        <v>Yes</v>
      </c>
      <c r="N1294" t="str">
        <f t="shared" si="103"/>
        <v>No</v>
      </c>
    </row>
    <row r="1295" spans="1:14" x14ac:dyDescent="0.3">
      <c r="A1295" s="4" t="s">
        <v>2607</v>
      </c>
      <c r="B1295" s="4" t="s">
        <v>2608</v>
      </c>
      <c r="C1295" s="4" t="s">
        <v>21</v>
      </c>
      <c r="D1295" s="5">
        <v>45860</v>
      </c>
      <c r="E1295" s="5">
        <v>45868</v>
      </c>
      <c r="F1295" s="5">
        <v>45867</v>
      </c>
      <c r="G1295" s="4" t="s">
        <v>11</v>
      </c>
      <c r="H1295" s="4">
        <v>28</v>
      </c>
      <c r="I1295" s="2">
        <v>28</v>
      </c>
      <c r="J1295">
        <f t="shared" si="100"/>
        <v>7</v>
      </c>
      <c r="K1295">
        <f t="shared" si="101"/>
        <v>-1</v>
      </c>
      <c r="L1295" t="str">
        <f t="shared" si="102"/>
        <v>Yes</v>
      </c>
      <c r="M1295" t="str">
        <f t="shared" si="104"/>
        <v>Yes</v>
      </c>
      <c r="N1295" t="str">
        <f t="shared" si="103"/>
        <v>Yes</v>
      </c>
    </row>
    <row r="1296" spans="1:14" x14ac:dyDescent="0.3">
      <c r="A1296" s="2" t="s">
        <v>2609</v>
      </c>
      <c r="B1296" s="2" t="s">
        <v>2610</v>
      </c>
      <c r="C1296" s="2" t="s">
        <v>21</v>
      </c>
      <c r="D1296" s="3">
        <v>45858</v>
      </c>
      <c r="E1296" s="3">
        <v>45866</v>
      </c>
      <c r="F1296" s="3">
        <v>45868</v>
      </c>
      <c r="G1296" s="2" t="s">
        <v>18</v>
      </c>
      <c r="H1296" s="2">
        <v>39</v>
      </c>
      <c r="I1296" s="2">
        <v>39</v>
      </c>
      <c r="J1296">
        <f t="shared" si="100"/>
        <v>10</v>
      </c>
      <c r="K1296">
        <f t="shared" si="101"/>
        <v>2</v>
      </c>
      <c r="L1296" t="str">
        <f t="shared" si="102"/>
        <v>No</v>
      </c>
      <c r="M1296" t="str">
        <f t="shared" si="104"/>
        <v>Yes</v>
      </c>
      <c r="N1296" t="str">
        <f t="shared" si="103"/>
        <v>No</v>
      </c>
    </row>
    <row r="1297" spans="1:14" x14ac:dyDescent="0.3">
      <c r="A1297" s="4" t="s">
        <v>2611</v>
      </c>
      <c r="B1297" s="4" t="s">
        <v>2612</v>
      </c>
      <c r="C1297" s="4" t="s">
        <v>21</v>
      </c>
      <c r="D1297" s="5">
        <v>45858</v>
      </c>
      <c r="E1297" s="5">
        <v>45868</v>
      </c>
      <c r="F1297" s="5">
        <v>45865</v>
      </c>
      <c r="G1297" s="4" t="s">
        <v>40</v>
      </c>
      <c r="H1297" s="4">
        <v>22</v>
      </c>
      <c r="I1297" s="2">
        <v>22</v>
      </c>
      <c r="J1297">
        <f t="shared" si="100"/>
        <v>7</v>
      </c>
      <c r="K1297">
        <f t="shared" si="101"/>
        <v>-3</v>
      </c>
      <c r="L1297" t="str">
        <f t="shared" si="102"/>
        <v>Yes</v>
      </c>
      <c r="M1297" t="str">
        <f t="shared" si="104"/>
        <v>Yes</v>
      </c>
      <c r="N1297" t="str">
        <f t="shared" si="103"/>
        <v>Yes</v>
      </c>
    </row>
    <row r="1298" spans="1:14" x14ac:dyDescent="0.3">
      <c r="A1298" s="2" t="s">
        <v>2613</v>
      </c>
      <c r="B1298" s="2" t="s">
        <v>2614</v>
      </c>
      <c r="C1298" s="2" t="s">
        <v>37</v>
      </c>
      <c r="D1298" s="3">
        <v>45859</v>
      </c>
      <c r="E1298" s="3">
        <v>45866</v>
      </c>
      <c r="F1298" s="3">
        <v>45872</v>
      </c>
      <c r="G1298" s="2" t="s">
        <v>18</v>
      </c>
      <c r="H1298" s="2">
        <v>16</v>
      </c>
      <c r="I1298" s="2">
        <v>16</v>
      </c>
      <c r="J1298">
        <f t="shared" si="100"/>
        <v>13</v>
      </c>
      <c r="K1298">
        <f t="shared" si="101"/>
        <v>6</v>
      </c>
      <c r="L1298" t="str">
        <f t="shared" si="102"/>
        <v>No</v>
      </c>
      <c r="M1298" t="str">
        <f t="shared" si="104"/>
        <v>Yes</v>
      </c>
      <c r="N1298" t="str">
        <f t="shared" si="103"/>
        <v>No</v>
      </c>
    </row>
    <row r="1299" spans="1:14" x14ac:dyDescent="0.3">
      <c r="A1299" s="4" t="s">
        <v>2615</v>
      </c>
      <c r="B1299" s="4" t="s">
        <v>2616</v>
      </c>
      <c r="C1299" s="4" t="s">
        <v>37</v>
      </c>
      <c r="D1299" s="5">
        <v>45859</v>
      </c>
      <c r="E1299" s="5">
        <v>45868</v>
      </c>
      <c r="F1299" s="5">
        <v>45872</v>
      </c>
      <c r="G1299" s="4" t="s">
        <v>15</v>
      </c>
      <c r="H1299" s="4">
        <v>52</v>
      </c>
      <c r="I1299" s="2">
        <v>52</v>
      </c>
      <c r="J1299">
        <f t="shared" si="100"/>
        <v>13</v>
      </c>
      <c r="K1299">
        <f t="shared" si="101"/>
        <v>4</v>
      </c>
      <c r="L1299" t="str">
        <f t="shared" si="102"/>
        <v>No</v>
      </c>
      <c r="M1299" t="str">
        <f t="shared" si="104"/>
        <v>Yes</v>
      </c>
      <c r="N1299" t="str">
        <f t="shared" si="103"/>
        <v>No</v>
      </c>
    </row>
    <row r="1300" spans="1:14" x14ac:dyDescent="0.3">
      <c r="A1300" s="2" t="s">
        <v>2617</v>
      </c>
      <c r="B1300" s="2" t="s">
        <v>2618</v>
      </c>
      <c r="C1300" s="2" t="s">
        <v>72</v>
      </c>
      <c r="D1300" s="3">
        <v>45860</v>
      </c>
      <c r="E1300" s="3">
        <v>45864</v>
      </c>
      <c r="F1300" s="3">
        <v>45878</v>
      </c>
      <c r="G1300" s="2" t="s">
        <v>18</v>
      </c>
      <c r="H1300" s="2">
        <v>17</v>
      </c>
      <c r="I1300" s="2">
        <v>24</v>
      </c>
      <c r="J1300">
        <f t="shared" si="100"/>
        <v>18</v>
      </c>
      <c r="K1300">
        <f t="shared" si="101"/>
        <v>14</v>
      </c>
      <c r="L1300" t="str">
        <f t="shared" si="102"/>
        <v>No</v>
      </c>
      <c r="M1300" t="str">
        <f t="shared" si="104"/>
        <v>No</v>
      </c>
      <c r="N1300" t="str">
        <f t="shared" si="103"/>
        <v>No</v>
      </c>
    </row>
    <row r="1301" spans="1:14" x14ac:dyDescent="0.3">
      <c r="A1301" s="4" t="s">
        <v>2619</v>
      </c>
      <c r="B1301" s="4" t="s">
        <v>2620</v>
      </c>
      <c r="C1301" s="4" t="s">
        <v>10</v>
      </c>
      <c r="D1301" s="5">
        <v>45859</v>
      </c>
      <c r="E1301" s="5">
        <v>45865</v>
      </c>
      <c r="F1301" s="5">
        <v>45864</v>
      </c>
      <c r="G1301" s="4" t="s">
        <v>22</v>
      </c>
      <c r="H1301" s="4">
        <v>12</v>
      </c>
      <c r="I1301" s="2">
        <v>12</v>
      </c>
      <c r="J1301">
        <f t="shared" si="100"/>
        <v>5</v>
      </c>
      <c r="K1301">
        <f t="shared" si="101"/>
        <v>-1</v>
      </c>
      <c r="L1301" t="str">
        <f t="shared" si="102"/>
        <v>Yes</v>
      </c>
      <c r="M1301" t="str">
        <f t="shared" si="104"/>
        <v>Yes</v>
      </c>
      <c r="N1301" t="str">
        <f t="shared" si="103"/>
        <v>Yes</v>
      </c>
    </row>
    <row r="1302" spans="1:14" x14ac:dyDescent="0.3">
      <c r="A1302" s="2" t="s">
        <v>2621</v>
      </c>
      <c r="B1302" s="2" t="s">
        <v>2622</v>
      </c>
      <c r="C1302" s="2" t="s">
        <v>59</v>
      </c>
      <c r="D1302" s="3">
        <v>45859</v>
      </c>
      <c r="E1302" s="3">
        <v>45868</v>
      </c>
      <c r="F1302" s="3">
        <v>45863</v>
      </c>
      <c r="G1302" s="2" t="s">
        <v>15</v>
      </c>
      <c r="H1302" s="2">
        <v>13</v>
      </c>
      <c r="I1302" s="2">
        <v>13</v>
      </c>
      <c r="J1302">
        <f t="shared" si="100"/>
        <v>4</v>
      </c>
      <c r="K1302">
        <f t="shared" si="101"/>
        <v>-5</v>
      </c>
      <c r="L1302" t="str">
        <f t="shared" si="102"/>
        <v>Yes</v>
      </c>
      <c r="M1302" t="str">
        <f t="shared" si="104"/>
        <v>Yes</v>
      </c>
      <c r="N1302" t="str">
        <f t="shared" si="103"/>
        <v>Yes</v>
      </c>
    </row>
    <row r="1303" spans="1:14" x14ac:dyDescent="0.3">
      <c r="A1303" s="4" t="s">
        <v>2623</v>
      </c>
      <c r="B1303" s="4" t="s">
        <v>2624</v>
      </c>
      <c r="C1303" s="4" t="s">
        <v>21</v>
      </c>
      <c r="D1303" s="5">
        <v>45860</v>
      </c>
      <c r="E1303" s="5">
        <v>45866</v>
      </c>
      <c r="F1303" s="5">
        <v>45868</v>
      </c>
      <c r="G1303" s="4" t="s">
        <v>11</v>
      </c>
      <c r="H1303" s="4">
        <v>45</v>
      </c>
      <c r="I1303" s="2">
        <v>46</v>
      </c>
      <c r="J1303">
        <f t="shared" si="100"/>
        <v>8</v>
      </c>
      <c r="K1303">
        <f t="shared" si="101"/>
        <v>2</v>
      </c>
      <c r="L1303" t="str">
        <f t="shared" si="102"/>
        <v>No</v>
      </c>
      <c r="M1303" t="str">
        <f t="shared" si="104"/>
        <v>No</v>
      </c>
      <c r="N1303" t="str">
        <f t="shared" si="103"/>
        <v>No</v>
      </c>
    </row>
    <row r="1304" spans="1:14" x14ac:dyDescent="0.3">
      <c r="A1304" s="2" t="s">
        <v>2625</v>
      </c>
      <c r="B1304" s="2" t="s">
        <v>2626</v>
      </c>
      <c r="C1304" s="2" t="s">
        <v>21</v>
      </c>
      <c r="D1304" s="3">
        <v>45859</v>
      </c>
      <c r="E1304" s="3">
        <v>45868</v>
      </c>
      <c r="F1304" s="3">
        <v>45865</v>
      </c>
      <c r="G1304" s="2" t="s">
        <v>15</v>
      </c>
      <c r="H1304" s="2">
        <v>68</v>
      </c>
      <c r="I1304" s="2">
        <v>68</v>
      </c>
      <c r="J1304">
        <f t="shared" si="100"/>
        <v>6</v>
      </c>
      <c r="K1304">
        <f t="shared" si="101"/>
        <v>-3</v>
      </c>
      <c r="L1304" t="str">
        <f t="shared" si="102"/>
        <v>Yes</v>
      </c>
      <c r="M1304" t="str">
        <f t="shared" si="104"/>
        <v>Yes</v>
      </c>
      <c r="N1304" t="str">
        <f t="shared" si="103"/>
        <v>Yes</v>
      </c>
    </row>
    <row r="1305" spans="1:14" x14ac:dyDescent="0.3">
      <c r="A1305" s="4" t="s">
        <v>2627</v>
      </c>
      <c r="B1305" s="4" t="s">
        <v>2628</v>
      </c>
      <c r="C1305" s="4" t="s">
        <v>21</v>
      </c>
      <c r="D1305" s="5">
        <v>45860</v>
      </c>
      <c r="E1305" s="5">
        <v>45868</v>
      </c>
      <c r="F1305" s="5">
        <v>45866</v>
      </c>
      <c r="G1305" s="4" t="s">
        <v>40</v>
      </c>
      <c r="H1305" s="4">
        <v>31</v>
      </c>
      <c r="I1305" s="2">
        <v>31</v>
      </c>
      <c r="J1305">
        <f t="shared" si="100"/>
        <v>6</v>
      </c>
      <c r="K1305">
        <f t="shared" si="101"/>
        <v>-2</v>
      </c>
      <c r="L1305" t="str">
        <f t="shared" si="102"/>
        <v>Yes</v>
      </c>
      <c r="M1305" t="str">
        <f t="shared" si="104"/>
        <v>Yes</v>
      </c>
      <c r="N1305" t="str">
        <f t="shared" si="103"/>
        <v>Yes</v>
      </c>
    </row>
    <row r="1306" spans="1:14" x14ac:dyDescent="0.3">
      <c r="A1306" s="2" t="s">
        <v>2629</v>
      </c>
      <c r="B1306" s="2" t="s">
        <v>2630</v>
      </c>
      <c r="C1306" s="2" t="s">
        <v>10</v>
      </c>
      <c r="D1306" s="3">
        <v>45861</v>
      </c>
      <c r="E1306" s="3">
        <v>45863</v>
      </c>
      <c r="F1306" s="3">
        <v>45866</v>
      </c>
      <c r="G1306" s="2" t="s">
        <v>15</v>
      </c>
      <c r="H1306" s="2">
        <v>44</v>
      </c>
      <c r="I1306" s="2">
        <v>44</v>
      </c>
      <c r="J1306">
        <f t="shared" si="100"/>
        <v>5</v>
      </c>
      <c r="K1306">
        <f t="shared" si="101"/>
        <v>3</v>
      </c>
      <c r="L1306" t="str">
        <f t="shared" si="102"/>
        <v>No</v>
      </c>
      <c r="M1306" t="str">
        <f t="shared" si="104"/>
        <v>Yes</v>
      </c>
      <c r="N1306" t="str">
        <f t="shared" si="103"/>
        <v>No</v>
      </c>
    </row>
    <row r="1307" spans="1:14" x14ac:dyDescent="0.3">
      <c r="A1307" s="4" t="s">
        <v>2631</v>
      </c>
      <c r="B1307" s="4" t="s">
        <v>2632</v>
      </c>
      <c r="C1307" s="4" t="s">
        <v>72</v>
      </c>
      <c r="D1307" s="5">
        <v>45860</v>
      </c>
      <c r="E1307" s="5">
        <v>45870</v>
      </c>
      <c r="F1307" s="5">
        <v>45875</v>
      </c>
      <c r="G1307" s="4" t="s">
        <v>18</v>
      </c>
      <c r="H1307" s="4">
        <v>11</v>
      </c>
      <c r="I1307" s="2">
        <v>15</v>
      </c>
      <c r="J1307">
        <f t="shared" si="100"/>
        <v>15</v>
      </c>
      <c r="K1307">
        <f t="shared" si="101"/>
        <v>5</v>
      </c>
      <c r="L1307" t="str">
        <f t="shared" si="102"/>
        <v>No</v>
      </c>
      <c r="M1307" t="str">
        <f t="shared" si="104"/>
        <v>No</v>
      </c>
      <c r="N1307" t="str">
        <f t="shared" si="103"/>
        <v>No</v>
      </c>
    </row>
    <row r="1308" spans="1:14" x14ac:dyDescent="0.3">
      <c r="A1308" s="2" t="s">
        <v>2633</v>
      </c>
      <c r="B1308" s="2" t="s">
        <v>2634</v>
      </c>
      <c r="C1308" s="2" t="s">
        <v>59</v>
      </c>
      <c r="D1308" s="3">
        <v>45862</v>
      </c>
      <c r="E1308" s="3">
        <v>45865</v>
      </c>
      <c r="F1308" s="3">
        <v>45866</v>
      </c>
      <c r="G1308" s="2" t="s">
        <v>11</v>
      </c>
      <c r="H1308" s="2">
        <v>4</v>
      </c>
      <c r="I1308" s="2">
        <v>4</v>
      </c>
      <c r="J1308">
        <f t="shared" si="100"/>
        <v>4</v>
      </c>
      <c r="K1308">
        <f t="shared" si="101"/>
        <v>1</v>
      </c>
      <c r="L1308" t="str">
        <f t="shared" si="102"/>
        <v>No</v>
      </c>
      <c r="M1308" t="str">
        <f t="shared" si="104"/>
        <v>Yes</v>
      </c>
      <c r="N1308" t="str">
        <f t="shared" si="103"/>
        <v>No</v>
      </c>
    </row>
    <row r="1309" spans="1:14" x14ac:dyDescent="0.3">
      <c r="A1309" s="4" t="s">
        <v>2635</v>
      </c>
      <c r="B1309" s="4" t="s">
        <v>2636</v>
      </c>
      <c r="C1309" s="4" t="s">
        <v>21</v>
      </c>
      <c r="D1309" s="5">
        <v>45860</v>
      </c>
      <c r="E1309" s="5">
        <v>45864</v>
      </c>
      <c r="F1309" s="5">
        <v>45866</v>
      </c>
      <c r="G1309" s="4" t="s">
        <v>18</v>
      </c>
      <c r="H1309" s="4">
        <v>19</v>
      </c>
      <c r="I1309" s="2">
        <v>19</v>
      </c>
      <c r="J1309">
        <f t="shared" si="100"/>
        <v>6</v>
      </c>
      <c r="K1309">
        <f t="shared" si="101"/>
        <v>2</v>
      </c>
      <c r="L1309" t="str">
        <f t="shared" si="102"/>
        <v>No</v>
      </c>
      <c r="M1309" t="str">
        <f t="shared" si="104"/>
        <v>Yes</v>
      </c>
      <c r="N1309" t="str">
        <f t="shared" si="103"/>
        <v>No</v>
      </c>
    </row>
    <row r="1310" spans="1:14" x14ac:dyDescent="0.3">
      <c r="A1310" s="2" t="s">
        <v>2637</v>
      </c>
      <c r="B1310" s="2" t="s">
        <v>2638</v>
      </c>
      <c r="C1310" s="2" t="s">
        <v>27</v>
      </c>
      <c r="D1310" s="3">
        <v>45860</v>
      </c>
      <c r="E1310" s="3">
        <v>45869</v>
      </c>
      <c r="F1310" s="3">
        <v>45875</v>
      </c>
      <c r="G1310" s="2" t="s">
        <v>18</v>
      </c>
      <c r="H1310" s="2">
        <v>13</v>
      </c>
      <c r="I1310" s="2">
        <v>13</v>
      </c>
      <c r="J1310">
        <f t="shared" si="100"/>
        <v>15</v>
      </c>
      <c r="K1310">
        <f t="shared" si="101"/>
        <v>6</v>
      </c>
      <c r="L1310" t="str">
        <f t="shared" si="102"/>
        <v>No</v>
      </c>
      <c r="M1310" t="str">
        <f t="shared" si="104"/>
        <v>Yes</v>
      </c>
      <c r="N1310" t="str">
        <f t="shared" si="103"/>
        <v>No</v>
      </c>
    </row>
    <row r="1311" spans="1:14" x14ac:dyDescent="0.3">
      <c r="A1311" s="4" t="s">
        <v>2639</v>
      </c>
      <c r="B1311" s="4" t="s">
        <v>2640</v>
      </c>
      <c r="C1311" s="4" t="s">
        <v>37</v>
      </c>
      <c r="D1311" s="5">
        <v>45861</v>
      </c>
      <c r="E1311" s="5">
        <v>45869</v>
      </c>
      <c r="F1311" s="5">
        <v>45874</v>
      </c>
      <c r="G1311" s="4" t="s">
        <v>15</v>
      </c>
      <c r="H1311" s="4">
        <v>44</v>
      </c>
      <c r="I1311" s="2">
        <v>44</v>
      </c>
      <c r="J1311">
        <f t="shared" si="100"/>
        <v>13</v>
      </c>
      <c r="K1311">
        <f t="shared" si="101"/>
        <v>5</v>
      </c>
      <c r="L1311" t="str">
        <f t="shared" si="102"/>
        <v>No</v>
      </c>
      <c r="M1311" t="str">
        <f t="shared" si="104"/>
        <v>Yes</v>
      </c>
      <c r="N1311" t="str">
        <f t="shared" si="103"/>
        <v>No</v>
      </c>
    </row>
    <row r="1312" spans="1:14" x14ac:dyDescent="0.3">
      <c r="A1312" s="2" t="s">
        <v>2641</v>
      </c>
      <c r="B1312" s="2" t="s">
        <v>2642</v>
      </c>
      <c r="C1312" s="2" t="s">
        <v>10</v>
      </c>
      <c r="D1312" s="3">
        <v>45863</v>
      </c>
      <c r="E1312" s="3">
        <v>45871</v>
      </c>
      <c r="F1312" s="3">
        <v>45872</v>
      </c>
      <c r="G1312" s="2" t="s">
        <v>15</v>
      </c>
      <c r="H1312" s="2">
        <v>7</v>
      </c>
      <c r="I1312" s="2">
        <v>9</v>
      </c>
      <c r="J1312">
        <f t="shared" si="100"/>
        <v>9</v>
      </c>
      <c r="K1312">
        <f t="shared" si="101"/>
        <v>1</v>
      </c>
      <c r="L1312" t="str">
        <f t="shared" si="102"/>
        <v>No</v>
      </c>
      <c r="M1312" t="str">
        <f t="shared" si="104"/>
        <v>No</v>
      </c>
      <c r="N1312" t="str">
        <f t="shared" si="103"/>
        <v>No</v>
      </c>
    </row>
    <row r="1313" spans="1:14" x14ac:dyDescent="0.3">
      <c r="A1313" s="4" t="s">
        <v>2643</v>
      </c>
      <c r="B1313" s="4" t="s">
        <v>2644</v>
      </c>
      <c r="C1313" s="4" t="s">
        <v>59</v>
      </c>
      <c r="D1313" s="5">
        <v>45862</v>
      </c>
      <c r="E1313" s="5">
        <v>45870</v>
      </c>
      <c r="F1313" s="5">
        <v>45868</v>
      </c>
      <c r="G1313" s="4" t="s">
        <v>22</v>
      </c>
      <c r="H1313" s="4">
        <v>20</v>
      </c>
      <c r="I1313" s="2">
        <v>27</v>
      </c>
      <c r="J1313">
        <f t="shared" si="100"/>
        <v>6</v>
      </c>
      <c r="K1313">
        <f t="shared" si="101"/>
        <v>-2</v>
      </c>
      <c r="L1313" t="str">
        <f t="shared" si="102"/>
        <v>Yes</v>
      </c>
      <c r="M1313" t="str">
        <f t="shared" si="104"/>
        <v>No</v>
      </c>
      <c r="N1313" t="str">
        <f t="shared" si="103"/>
        <v>No</v>
      </c>
    </row>
    <row r="1314" spans="1:14" x14ac:dyDescent="0.3">
      <c r="A1314" s="2" t="s">
        <v>2645</v>
      </c>
      <c r="B1314" s="2" t="s">
        <v>2646</v>
      </c>
      <c r="C1314" s="2" t="s">
        <v>21</v>
      </c>
      <c r="D1314" s="3">
        <v>45862</v>
      </c>
      <c r="E1314" s="3">
        <v>45867</v>
      </c>
      <c r="F1314" s="3">
        <v>45870</v>
      </c>
      <c r="G1314" s="2" t="s">
        <v>15</v>
      </c>
      <c r="H1314" s="2">
        <v>23</v>
      </c>
      <c r="I1314" s="2">
        <v>23</v>
      </c>
      <c r="J1314">
        <f t="shared" si="100"/>
        <v>8</v>
      </c>
      <c r="K1314">
        <f t="shared" si="101"/>
        <v>3</v>
      </c>
      <c r="L1314" t="str">
        <f t="shared" si="102"/>
        <v>No</v>
      </c>
      <c r="M1314" t="str">
        <f t="shared" si="104"/>
        <v>Yes</v>
      </c>
      <c r="N1314" t="str">
        <f t="shared" si="103"/>
        <v>No</v>
      </c>
    </row>
    <row r="1315" spans="1:14" x14ac:dyDescent="0.3">
      <c r="A1315" s="4" t="s">
        <v>2647</v>
      </c>
      <c r="B1315" s="4" t="s">
        <v>2648</v>
      </c>
      <c r="C1315" s="4" t="s">
        <v>21</v>
      </c>
      <c r="D1315" s="5">
        <v>45861</v>
      </c>
      <c r="E1315" s="5">
        <v>45867</v>
      </c>
      <c r="F1315" s="5">
        <v>45867</v>
      </c>
      <c r="G1315" s="4" t="s">
        <v>18</v>
      </c>
      <c r="H1315" s="4">
        <v>36</v>
      </c>
      <c r="I1315" s="2">
        <v>36</v>
      </c>
      <c r="J1315">
        <f t="shared" si="100"/>
        <v>6</v>
      </c>
      <c r="K1315">
        <f t="shared" si="101"/>
        <v>0</v>
      </c>
      <c r="L1315" t="str">
        <f t="shared" si="102"/>
        <v>Yes</v>
      </c>
      <c r="M1315" t="str">
        <f t="shared" si="104"/>
        <v>Yes</v>
      </c>
      <c r="N1315" t="str">
        <f t="shared" si="103"/>
        <v>Yes</v>
      </c>
    </row>
    <row r="1316" spans="1:14" x14ac:dyDescent="0.3">
      <c r="A1316" s="2" t="s">
        <v>2649</v>
      </c>
      <c r="B1316" s="2" t="s">
        <v>2650</v>
      </c>
      <c r="C1316" s="2" t="s">
        <v>27</v>
      </c>
      <c r="D1316" s="3">
        <v>45862</v>
      </c>
      <c r="E1316" s="3">
        <v>45868</v>
      </c>
      <c r="F1316" s="3">
        <v>45875</v>
      </c>
      <c r="G1316" s="2" t="s">
        <v>11</v>
      </c>
      <c r="H1316" s="2">
        <v>32</v>
      </c>
      <c r="I1316" s="2">
        <v>32</v>
      </c>
      <c r="J1316">
        <f t="shared" si="100"/>
        <v>13</v>
      </c>
      <c r="K1316">
        <f t="shared" si="101"/>
        <v>7</v>
      </c>
      <c r="L1316" t="str">
        <f t="shared" si="102"/>
        <v>No</v>
      </c>
      <c r="M1316" t="str">
        <f t="shared" si="104"/>
        <v>Yes</v>
      </c>
      <c r="N1316" t="str">
        <f t="shared" si="103"/>
        <v>No</v>
      </c>
    </row>
    <row r="1317" spans="1:14" x14ac:dyDescent="0.3">
      <c r="A1317" s="4" t="s">
        <v>2651</v>
      </c>
      <c r="B1317" s="4" t="s">
        <v>2652</v>
      </c>
      <c r="C1317" s="4" t="s">
        <v>34</v>
      </c>
      <c r="D1317" s="5">
        <v>45862</v>
      </c>
      <c r="E1317" s="5">
        <v>45869</v>
      </c>
      <c r="F1317" s="5">
        <v>45869</v>
      </c>
      <c r="G1317" s="4" t="s">
        <v>18</v>
      </c>
      <c r="H1317" s="4">
        <v>26</v>
      </c>
      <c r="I1317" s="2">
        <v>26</v>
      </c>
      <c r="J1317">
        <f t="shared" si="100"/>
        <v>7</v>
      </c>
      <c r="K1317">
        <f t="shared" si="101"/>
        <v>0</v>
      </c>
      <c r="L1317" t="str">
        <f t="shared" si="102"/>
        <v>Yes</v>
      </c>
      <c r="M1317" t="str">
        <f t="shared" si="104"/>
        <v>Yes</v>
      </c>
      <c r="N1317" t="str">
        <f t="shared" si="103"/>
        <v>Yes</v>
      </c>
    </row>
    <row r="1318" spans="1:14" x14ac:dyDescent="0.3">
      <c r="A1318" s="2" t="s">
        <v>2653</v>
      </c>
      <c r="B1318" s="2" t="s">
        <v>2654</v>
      </c>
      <c r="C1318" s="2" t="s">
        <v>34</v>
      </c>
      <c r="D1318" s="3">
        <v>45863</v>
      </c>
      <c r="E1318" s="3">
        <v>45868</v>
      </c>
      <c r="F1318" s="3">
        <v>45874</v>
      </c>
      <c r="G1318" s="2" t="s">
        <v>11</v>
      </c>
      <c r="H1318" s="2">
        <v>30</v>
      </c>
      <c r="I1318" s="2">
        <v>38</v>
      </c>
      <c r="J1318">
        <f t="shared" si="100"/>
        <v>11</v>
      </c>
      <c r="K1318">
        <f t="shared" si="101"/>
        <v>6</v>
      </c>
      <c r="L1318" t="str">
        <f t="shared" si="102"/>
        <v>No</v>
      </c>
      <c r="M1318" t="str">
        <f t="shared" si="104"/>
        <v>No</v>
      </c>
      <c r="N1318" t="str">
        <f t="shared" si="103"/>
        <v>No</v>
      </c>
    </row>
    <row r="1319" spans="1:14" x14ac:dyDescent="0.3">
      <c r="A1319" s="4" t="s">
        <v>2655</v>
      </c>
      <c r="B1319" s="4" t="s">
        <v>2656</v>
      </c>
      <c r="C1319" s="4" t="s">
        <v>72</v>
      </c>
      <c r="D1319" s="5">
        <v>45862</v>
      </c>
      <c r="E1319" s="5">
        <v>45865</v>
      </c>
      <c r="F1319" s="5">
        <v>45876</v>
      </c>
      <c r="G1319" s="4" t="s">
        <v>22</v>
      </c>
      <c r="H1319" s="4">
        <v>27</v>
      </c>
      <c r="I1319" s="2">
        <v>28</v>
      </c>
      <c r="J1319">
        <f t="shared" si="100"/>
        <v>14</v>
      </c>
      <c r="K1319">
        <f t="shared" si="101"/>
        <v>11</v>
      </c>
      <c r="L1319" t="str">
        <f t="shared" si="102"/>
        <v>No</v>
      </c>
      <c r="M1319" t="str">
        <f t="shared" si="104"/>
        <v>No</v>
      </c>
      <c r="N1319" t="str">
        <f t="shared" si="103"/>
        <v>No</v>
      </c>
    </row>
    <row r="1320" spans="1:14" x14ac:dyDescent="0.3">
      <c r="A1320" s="2" t="s">
        <v>2657</v>
      </c>
      <c r="B1320" s="2" t="s">
        <v>2658</v>
      </c>
      <c r="C1320" s="2" t="s">
        <v>59</v>
      </c>
      <c r="D1320" s="3">
        <v>45864</v>
      </c>
      <c r="E1320" s="3">
        <v>45871</v>
      </c>
      <c r="F1320" s="3">
        <v>45867</v>
      </c>
      <c r="G1320" s="2" t="s">
        <v>11</v>
      </c>
      <c r="H1320" s="2">
        <v>44</v>
      </c>
      <c r="I1320" s="2">
        <v>46</v>
      </c>
      <c r="J1320">
        <f t="shared" si="100"/>
        <v>3</v>
      </c>
      <c r="K1320">
        <f t="shared" si="101"/>
        <v>-4</v>
      </c>
      <c r="L1320" t="str">
        <f t="shared" si="102"/>
        <v>Yes</v>
      </c>
      <c r="M1320" t="str">
        <f t="shared" si="104"/>
        <v>No</v>
      </c>
      <c r="N1320" t="str">
        <f t="shared" si="103"/>
        <v>No</v>
      </c>
    </row>
    <row r="1321" spans="1:14" x14ac:dyDescent="0.3">
      <c r="A1321" s="4" t="s">
        <v>2659</v>
      </c>
      <c r="B1321" s="4" t="s">
        <v>2660</v>
      </c>
      <c r="C1321" s="4" t="s">
        <v>21</v>
      </c>
      <c r="D1321" s="5">
        <v>45862</v>
      </c>
      <c r="E1321" s="5">
        <v>45871</v>
      </c>
      <c r="F1321" s="5">
        <v>45869</v>
      </c>
      <c r="G1321" s="4" t="s">
        <v>18</v>
      </c>
      <c r="H1321" s="4">
        <v>56</v>
      </c>
      <c r="I1321" s="2">
        <v>61</v>
      </c>
      <c r="J1321">
        <f t="shared" si="100"/>
        <v>7</v>
      </c>
      <c r="K1321">
        <f t="shared" si="101"/>
        <v>-2</v>
      </c>
      <c r="L1321" t="str">
        <f t="shared" si="102"/>
        <v>Yes</v>
      </c>
      <c r="M1321" t="str">
        <f t="shared" si="104"/>
        <v>No</v>
      </c>
      <c r="N1321" t="str">
        <f t="shared" si="103"/>
        <v>No</v>
      </c>
    </row>
    <row r="1322" spans="1:14" x14ac:dyDescent="0.3">
      <c r="A1322" s="2" t="s">
        <v>2661</v>
      </c>
      <c r="B1322" s="2" t="s">
        <v>2662</v>
      </c>
      <c r="C1322" s="2" t="s">
        <v>27</v>
      </c>
      <c r="D1322" s="3">
        <v>45864</v>
      </c>
      <c r="E1322" s="3">
        <v>45870</v>
      </c>
      <c r="F1322" s="3">
        <v>45877</v>
      </c>
      <c r="G1322" s="2" t="s">
        <v>11</v>
      </c>
      <c r="H1322" s="2">
        <v>20</v>
      </c>
      <c r="I1322" s="2">
        <v>23</v>
      </c>
      <c r="J1322">
        <f t="shared" si="100"/>
        <v>13</v>
      </c>
      <c r="K1322">
        <f t="shared" si="101"/>
        <v>7</v>
      </c>
      <c r="L1322" t="str">
        <f t="shared" si="102"/>
        <v>No</v>
      </c>
      <c r="M1322" t="str">
        <f t="shared" si="104"/>
        <v>No</v>
      </c>
      <c r="N1322" t="str">
        <f t="shared" si="103"/>
        <v>No</v>
      </c>
    </row>
    <row r="1323" spans="1:14" x14ac:dyDescent="0.3">
      <c r="A1323" s="4" t="s">
        <v>2663</v>
      </c>
      <c r="B1323" s="4" t="s">
        <v>2664</v>
      </c>
      <c r="C1323" s="4" t="s">
        <v>27</v>
      </c>
      <c r="D1323" s="5">
        <v>45862</v>
      </c>
      <c r="E1323" s="5">
        <v>45865</v>
      </c>
      <c r="F1323" s="5">
        <v>45875</v>
      </c>
      <c r="G1323" s="4" t="s">
        <v>40</v>
      </c>
      <c r="H1323" s="4">
        <v>5</v>
      </c>
      <c r="I1323" s="2">
        <v>8</v>
      </c>
      <c r="J1323">
        <f t="shared" si="100"/>
        <v>13</v>
      </c>
      <c r="K1323">
        <f t="shared" si="101"/>
        <v>10</v>
      </c>
      <c r="L1323" t="str">
        <f t="shared" si="102"/>
        <v>No</v>
      </c>
      <c r="M1323" t="str">
        <f t="shared" si="104"/>
        <v>No</v>
      </c>
      <c r="N1323" t="str">
        <f t="shared" si="103"/>
        <v>No</v>
      </c>
    </row>
    <row r="1324" spans="1:14" x14ac:dyDescent="0.3">
      <c r="A1324" s="2" t="s">
        <v>2665</v>
      </c>
      <c r="B1324" s="2" t="s">
        <v>2666</v>
      </c>
      <c r="C1324" s="2" t="s">
        <v>34</v>
      </c>
      <c r="D1324" s="3">
        <v>45863</v>
      </c>
      <c r="E1324" s="3">
        <v>45868</v>
      </c>
      <c r="F1324" s="3">
        <v>45869</v>
      </c>
      <c r="G1324" s="2" t="s">
        <v>11</v>
      </c>
      <c r="H1324" s="2">
        <v>35</v>
      </c>
      <c r="I1324" s="2">
        <v>41</v>
      </c>
      <c r="J1324">
        <f t="shared" si="100"/>
        <v>6</v>
      </c>
      <c r="K1324">
        <f t="shared" si="101"/>
        <v>1</v>
      </c>
      <c r="L1324" t="str">
        <f t="shared" si="102"/>
        <v>No</v>
      </c>
      <c r="M1324" t="str">
        <f t="shared" si="104"/>
        <v>No</v>
      </c>
      <c r="N1324" t="str">
        <f t="shared" si="103"/>
        <v>No</v>
      </c>
    </row>
    <row r="1325" spans="1:14" x14ac:dyDescent="0.3">
      <c r="A1325" s="4" t="s">
        <v>2667</v>
      </c>
      <c r="B1325" s="4" t="s">
        <v>2668</v>
      </c>
      <c r="C1325" s="4" t="s">
        <v>34</v>
      </c>
      <c r="D1325" s="5">
        <v>45863</v>
      </c>
      <c r="E1325" s="5">
        <v>45869</v>
      </c>
      <c r="F1325" s="5">
        <v>45869</v>
      </c>
      <c r="G1325" s="4" t="s">
        <v>40</v>
      </c>
      <c r="H1325" s="4">
        <v>26</v>
      </c>
      <c r="I1325" s="2">
        <v>26</v>
      </c>
      <c r="J1325">
        <f t="shared" si="100"/>
        <v>6</v>
      </c>
      <c r="K1325">
        <f t="shared" si="101"/>
        <v>0</v>
      </c>
      <c r="L1325" t="str">
        <f t="shared" si="102"/>
        <v>Yes</v>
      </c>
      <c r="M1325" t="str">
        <f t="shared" si="104"/>
        <v>Yes</v>
      </c>
      <c r="N1325" t="str">
        <f t="shared" si="103"/>
        <v>Yes</v>
      </c>
    </row>
    <row r="1326" spans="1:14" x14ac:dyDescent="0.3">
      <c r="A1326" s="2" t="s">
        <v>2669</v>
      </c>
      <c r="B1326" s="2" t="s">
        <v>2670</v>
      </c>
      <c r="C1326" s="2" t="s">
        <v>14</v>
      </c>
      <c r="D1326" s="3">
        <v>45864</v>
      </c>
      <c r="E1326" s="3">
        <v>45871</v>
      </c>
      <c r="F1326" s="3">
        <v>45879</v>
      </c>
      <c r="G1326" s="2" t="s">
        <v>22</v>
      </c>
      <c r="H1326" s="2">
        <v>19</v>
      </c>
      <c r="I1326" s="2">
        <v>19</v>
      </c>
      <c r="J1326">
        <f t="shared" si="100"/>
        <v>15</v>
      </c>
      <c r="K1326">
        <f t="shared" si="101"/>
        <v>8</v>
      </c>
      <c r="L1326" t="str">
        <f t="shared" si="102"/>
        <v>No</v>
      </c>
      <c r="M1326" t="str">
        <f t="shared" si="104"/>
        <v>Yes</v>
      </c>
      <c r="N1326" t="str">
        <f t="shared" si="103"/>
        <v>No</v>
      </c>
    </row>
    <row r="1327" spans="1:14" x14ac:dyDescent="0.3">
      <c r="A1327" s="4" t="s">
        <v>2671</v>
      </c>
      <c r="B1327" s="4" t="s">
        <v>2672</v>
      </c>
      <c r="C1327" s="4" t="s">
        <v>21</v>
      </c>
      <c r="D1327" s="5">
        <v>45864</v>
      </c>
      <c r="E1327" s="5">
        <v>45873</v>
      </c>
      <c r="F1327" s="5">
        <v>45871</v>
      </c>
      <c r="G1327" s="4" t="s">
        <v>18</v>
      </c>
      <c r="H1327" s="4">
        <v>50</v>
      </c>
      <c r="I1327" s="2">
        <v>50</v>
      </c>
      <c r="J1327">
        <f t="shared" si="100"/>
        <v>7</v>
      </c>
      <c r="K1327">
        <f t="shared" si="101"/>
        <v>-2</v>
      </c>
      <c r="L1327" t="str">
        <f t="shared" si="102"/>
        <v>Yes</v>
      </c>
      <c r="M1327" t="str">
        <f t="shared" si="104"/>
        <v>Yes</v>
      </c>
      <c r="N1327" t="str">
        <f t="shared" si="103"/>
        <v>Yes</v>
      </c>
    </row>
    <row r="1328" spans="1:14" x14ac:dyDescent="0.3">
      <c r="A1328" s="2" t="s">
        <v>2673</v>
      </c>
      <c r="B1328" s="2" t="s">
        <v>2674</v>
      </c>
      <c r="C1328" s="2" t="s">
        <v>27</v>
      </c>
      <c r="D1328" s="3">
        <v>45865</v>
      </c>
      <c r="E1328" s="3">
        <v>45873</v>
      </c>
      <c r="F1328" s="3">
        <v>45882</v>
      </c>
      <c r="G1328" s="2" t="s">
        <v>40</v>
      </c>
      <c r="H1328" s="2">
        <v>45</v>
      </c>
      <c r="I1328" s="2">
        <v>45</v>
      </c>
      <c r="J1328">
        <f t="shared" si="100"/>
        <v>17</v>
      </c>
      <c r="K1328">
        <f t="shared" si="101"/>
        <v>9</v>
      </c>
      <c r="L1328" t="str">
        <f t="shared" si="102"/>
        <v>No</v>
      </c>
      <c r="M1328" t="str">
        <f t="shared" si="104"/>
        <v>Yes</v>
      </c>
      <c r="N1328" t="str">
        <f t="shared" si="103"/>
        <v>No</v>
      </c>
    </row>
    <row r="1329" spans="1:14" x14ac:dyDescent="0.3">
      <c r="A1329" s="4" t="s">
        <v>2675</v>
      </c>
      <c r="B1329" s="4" t="s">
        <v>2676</v>
      </c>
      <c r="C1329" s="4" t="s">
        <v>27</v>
      </c>
      <c r="D1329" s="5">
        <v>45863</v>
      </c>
      <c r="E1329" s="5">
        <v>45869</v>
      </c>
      <c r="F1329" s="5">
        <v>45876</v>
      </c>
      <c r="G1329" s="4" t="s">
        <v>40</v>
      </c>
      <c r="H1329" s="4">
        <v>6</v>
      </c>
      <c r="I1329" s="2">
        <v>6</v>
      </c>
      <c r="J1329">
        <f t="shared" si="100"/>
        <v>13</v>
      </c>
      <c r="K1329">
        <f t="shared" si="101"/>
        <v>7</v>
      </c>
      <c r="L1329" t="str">
        <f t="shared" si="102"/>
        <v>No</v>
      </c>
      <c r="M1329" t="str">
        <f t="shared" si="104"/>
        <v>Yes</v>
      </c>
      <c r="N1329" t="str">
        <f t="shared" si="103"/>
        <v>No</v>
      </c>
    </row>
    <row r="1330" spans="1:14" x14ac:dyDescent="0.3">
      <c r="A1330" s="2" t="s">
        <v>2677</v>
      </c>
      <c r="B1330" s="2" t="s">
        <v>2678</v>
      </c>
      <c r="C1330" s="2" t="s">
        <v>72</v>
      </c>
      <c r="D1330" s="3">
        <v>45864</v>
      </c>
      <c r="E1330" s="3">
        <v>45874</v>
      </c>
      <c r="F1330" s="3">
        <v>45879</v>
      </c>
      <c r="G1330" s="2" t="s">
        <v>22</v>
      </c>
      <c r="H1330" s="2">
        <v>23</v>
      </c>
      <c r="I1330" s="2">
        <v>23</v>
      </c>
      <c r="J1330">
        <f t="shared" si="100"/>
        <v>15</v>
      </c>
      <c r="K1330">
        <f t="shared" si="101"/>
        <v>5</v>
      </c>
      <c r="L1330" t="str">
        <f t="shared" si="102"/>
        <v>No</v>
      </c>
      <c r="M1330" t="str">
        <f t="shared" si="104"/>
        <v>Yes</v>
      </c>
      <c r="N1330" t="str">
        <f t="shared" si="103"/>
        <v>No</v>
      </c>
    </row>
    <row r="1331" spans="1:14" x14ac:dyDescent="0.3">
      <c r="A1331" s="4" t="s">
        <v>2679</v>
      </c>
      <c r="B1331" s="4" t="s">
        <v>2680</v>
      </c>
      <c r="C1331" s="4" t="s">
        <v>59</v>
      </c>
      <c r="D1331" s="5">
        <v>45865</v>
      </c>
      <c r="E1331" s="5">
        <v>45869</v>
      </c>
      <c r="F1331" s="5">
        <v>45870</v>
      </c>
      <c r="G1331" s="4" t="s">
        <v>18</v>
      </c>
      <c r="H1331" s="4">
        <v>19</v>
      </c>
      <c r="I1331" s="2">
        <v>19</v>
      </c>
      <c r="J1331">
        <f t="shared" si="100"/>
        <v>5</v>
      </c>
      <c r="K1331">
        <f t="shared" si="101"/>
        <v>1</v>
      </c>
      <c r="L1331" t="str">
        <f t="shared" si="102"/>
        <v>No</v>
      </c>
      <c r="M1331" t="str">
        <f t="shared" si="104"/>
        <v>Yes</v>
      </c>
      <c r="N1331" t="str">
        <f t="shared" si="103"/>
        <v>No</v>
      </c>
    </row>
    <row r="1332" spans="1:14" x14ac:dyDescent="0.3">
      <c r="A1332" s="2" t="s">
        <v>2681</v>
      </c>
      <c r="B1332" s="2" t="s">
        <v>2682</v>
      </c>
      <c r="C1332" s="2" t="s">
        <v>21</v>
      </c>
      <c r="D1332" s="3">
        <v>45864</v>
      </c>
      <c r="E1332" s="3">
        <v>45872</v>
      </c>
      <c r="F1332" s="3">
        <v>45870</v>
      </c>
      <c r="G1332" s="2" t="s">
        <v>11</v>
      </c>
      <c r="H1332" s="2">
        <v>41</v>
      </c>
      <c r="I1332" s="2">
        <v>41</v>
      </c>
      <c r="J1332">
        <f t="shared" si="100"/>
        <v>6</v>
      </c>
      <c r="K1332">
        <f t="shared" si="101"/>
        <v>-2</v>
      </c>
      <c r="L1332" t="str">
        <f t="shared" si="102"/>
        <v>Yes</v>
      </c>
      <c r="M1332" t="str">
        <f t="shared" si="104"/>
        <v>Yes</v>
      </c>
      <c r="N1332" t="str">
        <f t="shared" si="103"/>
        <v>Yes</v>
      </c>
    </row>
    <row r="1333" spans="1:14" x14ac:dyDescent="0.3">
      <c r="A1333" s="4" t="s">
        <v>2683</v>
      </c>
      <c r="B1333" s="4" t="s">
        <v>2684</v>
      </c>
      <c r="C1333" s="4" t="s">
        <v>21</v>
      </c>
      <c r="D1333" s="5">
        <v>45864</v>
      </c>
      <c r="E1333" s="5">
        <v>45871</v>
      </c>
      <c r="F1333" s="5">
        <v>45870</v>
      </c>
      <c r="G1333" s="4" t="s">
        <v>22</v>
      </c>
      <c r="H1333" s="4">
        <v>38</v>
      </c>
      <c r="I1333" s="2">
        <v>38</v>
      </c>
      <c r="J1333">
        <f t="shared" si="100"/>
        <v>6</v>
      </c>
      <c r="K1333">
        <f t="shared" si="101"/>
        <v>-1</v>
      </c>
      <c r="L1333" t="str">
        <f t="shared" si="102"/>
        <v>Yes</v>
      </c>
      <c r="M1333" t="str">
        <f t="shared" si="104"/>
        <v>Yes</v>
      </c>
      <c r="N1333" t="str">
        <f t="shared" si="103"/>
        <v>Yes</v>
      </c>
    </row>
    <row r="1334" spans="1:14" x14ac:dyDescent="0.3">
      <c r="A1334" s="2" t="s">
        <v>2685</v>
      </c>
      <c r="B1334" s="2" t="s">
        <v>2686</v>
      </c>
      <c r="C1334" s="2" t="s">
        <v>72</v>
      </c>
      <c r="D1334" s="3">
        <v>45866</v>
      </c>
      <c r="E1334" s="3">
        <v>45869</v>
      </c>
      <c r="F1334" s="3">
        <v>45884</v>
      </c>
      <c r="G1334" s="2" t="s">
        <v>11</v>
      </c>
      <c r="H1334" s="2">
        <v>15</v>
      </c>
      <c r="I1334" s="2">
        <v>15</v>
      </c>
      <c r="J1334">
        <f t="shared" si="100"/>
        <v>18</v>
      </c>
      <c r="K1334">
        <f t="shared" si="101"/>
        <v>15</v>
      </c>
      <c r="L1334" t="str">
        <f t="shared" si="102"/>
        <v>No</v>
      </c>
      <c r="M1334" t="str">
        <f t="shared" si="104"/>
        <v>Yes</v>
      </c>
      <c r="N1334" t="str">
        <f t="shared" si="103"/>
        <v>No</v>
      </c>
    </row>
    <row r="1335" spans="1:14" x14ac:dyDescent="0.3">
      <c r="A1335" s="4" t="s">
        <v>2687</v>
      </c>
      <c r="B1335" s="4" t="s">
        <v>2688</v>
      </c>
      <c r="C1335" s="4" t="s">
        <v>10</v>
      </c>
      <c r="D1335" s="5">
        <v>45865</v>
      </c>
      <c r="E1335" s="5">
        <v>45874</v>
      </c>
      <c r="F1335" s="5">
        <v>45869</v>
      </c>
      <c r="G1335" s="4" t="s">
        <v>15</v>
      </c>
      <c r="H1335" s="4">
        <v>31</v>
      </c>
      <c r="I1335" s="2">
        <v>39</v>
      </c>
      <c r="J1335">
        <f t="shared" si="100"/>
        <v>4</v>
      </c>
      <c r="K1335">
        <f t="shared" si="101"/>
        <v>-5</v>
      </c>
      <c r="L1335" t="str">
        <f t="shared" si="102"/>
        <v>Yes</v>
      </c>
      <c r="M1335" t="str">
        <f t="shared" si="104"/>
        <v>No</v>
      </c>
      <c r="N1335" t="str">
        <f t="shared" si="103"/>
        <v>No</v>
      </c>
    </row>
    <row r="1336" spans="1:14" x14ac:dyDescent="0.3">
      <c r="A1336" s="2" t="s">
        <v>2689</v>
      </c>
      <c r="B1336" s="2" t="s">
        <v>2690</v>
      </c>
      <c r="C1336" s="2" t="s">
        <v>59</v>
      </c>
      <c r="D1336" s="3">
        <v>45865</v>
      </c>
      <c r="E1336" s="3">
        <v>45869</v>
      </c>
      <c r="F1336" s="3">
        <v>45869</v>
      </c>
      <c r="G1336" s="2" t="s">
        <v>18</v>
      </c>
      <c r="H1336" s="2">
        <v>15</v>
      </c>
      <c r="I1336" s="2">
        <v>15</v>
      </c>
      <c r="J1336">
        <f t="shared" si="100"/>
        <v>4</v>
      </c>
      <c r="K1336">
        <f t="shared" si="101"/>
        <v>0</v>
      </c>
      <c r="L1336" t="str">
        <f t="shared" si="102"/>
        <v>Yes</v>
      </c>
      <c r="M1336" t="str">
        <f t="shared" si="104"/>
        <v>Yes</v>
      </c>
      <c r="N1336" t="str">
        <f t="shared" si="103"/>
        <v>Yes</v>
      </c>
    </row>
    <row r="1337" spans="1:14" x14ac:dyDescent="0.3">
      <c r="A1337" s="4" t="s">
        <v>2691</v>
      </c>
      <c r="B1337" s="4" t="s">
        <v>2692</v>
      </c>
      <c r="C1337" s="4" t="s">
        <v>14</v>
      </c>
      <c r="D1337" s="5">
        <v>45866</v>
      </c>
      <c r="E1337" s="5">
        <v>45873</v>
      </c>
      <c r="F1337" s="5">
        <v>45881</v>
      </c>
      <c r="G1337" s="4" t="s">
        <v>15</v>
      </c>
      <c r="H1337" s="4">
        <v>20</v>
      </c>
      <c r="I1337" s="2">
        <v>21</v>
      </c>
      <c r="J1337">
        <f t="shared" si="100"/>
        <v>15</v>
      </c>
      <c r="K1337">
        <f t="shared" si="101"/>
        <v>8</v>
      </c>
      <c r="L1337" t="str">
        <f t="shared" si="102"/>
        <v>No</v>
      </c>
      <c r="M1337" t="str">
        <f t="shared" si="104"/>
        <v>No</v>
      </c>
      <c r="N1337" t="str">
        <f t="shared" si="103"/>
        <v>No</v>
      </c>
    </row>
    <row r="1338" spans="1:14" x14ac:dyDescent="0.3">
      <c r="A1338" s="2" t="s">
        <v>2693</v>
      </c>
      <c r="B1338" s="2" t="s">
        <v>2694</v>
      </c>
      <c r="C1338" s="2" t="s">
        <v>21</v>
      </c>
      <c r="D1338" s="3">
        <v>45867</v>
      </c>
      <c r="E1338" s="3">
        <v>45874</v>
      </c>
      <c r="F1338" s="3">
        <v>45877</v>
      </c>
      <c r="G1338" s="2" t="s">
        <v>22</v>
      </c>
      <c r="H1338" s="2">
        <v>36</v>
      </c>
      <c r="I1338" s="2">
        <v>36</v>
      </c>
      <c r="J1338">
        <f t="shared" si="100"/>
        <v>10</v>
      </c>
      <c r="K1338">
        <f t="shared" si="101"/>
        <v>3</v>
      </c>
      <c r="L1338" t="str">
        <f t="shared" si="102"/>
        <v>No</v>
      </c>
      <c r="M1338" t="str">
        <f t="shared" si="104"/>
        <v>Yes</v>
      </c>
      <c r="N1338" t="str">
        <f t="shared" si="103"/>
        <v>No</v>
      </c>
    </row>
    <row r="1339" spans="1:14" x14ac:dyDescent="0.3">
      <c r="A1339" s="4" t="s">
        <v>2695</v>
      </c>
      <c r="B1339" s="4" t="s">
        <v>2696</v>
      </c>
      <c r="C1339" s="4" t="s">
        <v>37</v>
      </c>
      <c r="D1339" s="5">
        <v>45867</v>
      </c>
      <c r="E1339" s="5">
        <v>45872</v>
      </c>
      <c r="F1339" s="5">
        <v>45880</v>
      </c>
      <c r="G1339" s="4" t="s">
        <v>22</v>
      </c>
      <c r="H1339" s="4">
        <v>39</v>
      </c>
      <c r="I1339" s="2">
        <v>39</v>
      </c>
      <c r="J1339">
        <f t="shared" si="100"/>
        <v>13</v>
      </c>
      <c r="K1339">
        <f t="shared" si="101"/>
        <v>8</v>
      </c>
      <c r="L1339" t="str">
        <f t="shared" si="102"/>
        <v>No</v>
      </c>
      <c r="M1339" t="str">
        <f t="shared" si="104"/>
        <v>Yes</v>
      </c>
      <c r="N1339" t="str">
        <f t="shared" si="103"/>
        <v>No</v>
      </c>
    </row>
    <row r="1340" spans="1:14" x14ac:dyDescent="0.3">
      <c r="A1340" s="2" t="s">
        <v>2697</v>
      </c>
      <c r="B1340" s="2" t="s">
        <v>2698</v>
      </c>
      <c r="C1340" s="2" t="s">
        <v>37</v>
      </c>
      <c r="D1340" s="3">
        <v>45866</v>
      </c>
      <c r="E1340" s="3">
        <v>45873</v>
      </c>
      <c r="F1340" s="3">
        <v>45879</v>
      </c>
      <c r="G1340" s="2" t="s">
        <v>40</v>
      </c>
      <c r="H1340" s="2">
        <v>20</v>
      </c>
      <c r="I1340" s="2">
        <v>20</v>
      </c>
      <c r="J1340">
        <f t="shared" si="100"/>
        <v>13</v>
      </c>
      <c r="K1340">
        <f t="shared" si="101"/>
        <v>6</v>
      </c>
      <c r="L1340" t="str">
        <f t="shared" si="102"/>
        <v>No</v>
      </c>
      <c r="M1340" t="str">
        <f t="shared" si="104"/>
        <v>Yes</v>
      </c>
      <c r="N1340" t="str">
        <f t="shared" si="103"/>
        <v>No</v>
      </c>
    </row>
    <row r="1341" spans="1:14" x14ac:dyDescent="0.3">
      <c r="A1341" s="4" t="s">
        <v>2699</v>
      </c>
      <c r="B1341" s="4" t="s">
        <v>2700</v>
      </c>
      <c r="C1341" s="4" t="s">
        <v>10</v>
      </c>
      <c r="D1341" s="5">
        <v>45867</v>
      </c>
      <c r="E1341" s="5">
        <v>45873</v>
      </c>
      <c r="F1341" s="5">
        <v>45872</v>
      </c>
      <c r="G1341" s="4" t="s">
        <v>15</v>
      </c>
      <c r="H1341" s="4">
        <v>10</v>
      </c>
      <c r="I1341" s="2">
        <v>10</v>
      </c>
      <c r="J1341">
        <f t="shared" si="100"/>
        <v>5</v>
      </c>
      <c r="K1341">
        <f t="shared" si="101"/>
        <v>-1</v>
      </c>
      <c r="L1341" t="str">
        <f t="shared" si="102"/>
        <v>Yes</v>
      </c>
      <c r="M1341" t="str">
        <f t="shared" si="104"/>
        <v>Yes</v>
      </c>
      <c r="N1341" t="str">
        <f t="shared" si="103"/>
        <v>Yes</v>
      </c>
    </row>
    <row r="1342" spans="1:14" x14ac:dyDescent="0.3">
      <c r="A1342" s="2" t="s">
        <v>2701</v>
      </c>
      <c r="B1342" s="2" t="s">
        <v>2702</v>
      </c>
      <c r="C1342" s="2" t="s">
        <v>10</v>
      </c>
      <c r="D1342" s="3">
        <v>45867</v>
      </c>
      <c r="E1342" s="3">
        <v>45876</v>
      </c>
      <c r="F1342" s="3">
        <v>45876</v>
      </c>
      <c r="G1342" s="2" t="s">
        <v>15</v>
      </c>
      <c r="H1342" s="2">
        <v>16</v>
      </c>
      <c r="I1342" s="2">
        <v>16</v>
      </c>
      <c r="J1342">
        <f t="shared" si="100"/>
        <v>9</v>
      </c>
      <c r="K1342">
        <f t="shared" si="101"/>
        <v>0</v>
      </c>
      <c r="L1342" t="str">
        <f t="shared" si="102"/>
        <v>Yes</v>
      </c>
      <c r="M1342" t="str">
        <f t="shared" si="104"/>
        <v>Yes</v>
      </c>
      <c r="N1342" t="str">
        <f t="shared" si="103"/>
        <v>Yes</v>
      </c>
    </row>
    <row r="1343" spans="1:14" x14ac:dyDescent="0.3">
      <c r="A1343" s="4" t="s">
        <v>2703</v>
      </c>
      <c r="B1343" s="4" t="s">
        <v>2704</v>
      </c>
      <c r="C1343" s="4" t="s">
        <v>14</v>
      </c>
      <c r="D1343" s="5">
        <v>45866</v>
      </c>
      <c r="E1343" s="5">
        <v>45874</v>
      </c>
      <c r="F1343" s="5">
        <v>45883</v>
      </c>
      <c r="G1343" s="4" t="s">
        <v>15</v>
      </c>
      <c r="H1343" s="4">
        <v>19</v>
      </c>
      <c r="I1343" s="2">
        <v>19</v>
      </c>
      <c r="J1343">
        <f t="shared" si="100"/>
        <v>17</v>
      </c>
      <c r="K1343">
        <f t="shared" si="101"/>
        <v>9</v>
      </c>
      <c r="L1343" t="str">
        <f t="shared" si="102"/>
        <v>No</v>
      </c>
      <c r="M1343" t="str">
        <f t="shared" si="104"/>
        <v>Yes</v>
      </c>
      <c r="N1343" t="str">
        <f t="shared" si="103"/>
        <v>No</v>
      </c>
    </row>
    <row r="1344" spans="1:14" x14ac:dyDescent="0.3">
      <c r="A1344" s="2" t="s">
        <v>2705</v>
      </c>
      <c r="B1344" s="2" t="s">
        <v>2706</v>
      </c>
      <c r="C1344" s="2" t="s">
        <v>21</v>
      </c>
      <c r="D1344" s="3">
        <v>45867</v>
      </c>
      <c r="E1344" s="3">
        <v>45871</v>
      </c>
      <c r="F1344" s="3">
        <v>45872</v>
      </c>
      <c r="G1344" s="2" t="s">
        <v>40</v>
      </c>
      <c r="H1344" s="2">
        <v>24</v>
      </c>
      <c r="I1344" s="2">
        <v>24</v>
      </c>
      <c r="J1344">
        <f t="shared" si="100"/>
        <v>5</v>
      </c>
      <c r="K1344">
        <f t="shared" si="101"/>
        <v>1</v>
      </c>
      <c r="L1344" t="str">
        <f t="shared" si="102"/>
        <v>No</v>
      </c>
      <c r="M1344" t="str">
        <f t="shared" si="104"/>
        <v>Yes</v>
      </c>
      <c r="N1344" t="str">
        <f t="shared" si="103"/>
        <v>No</v>
      </c>
    </row>
    <row r="1345" spans="1:14" x14ac:dyDescent="0.3">
      <c r="A1345" s="4" t="s">
        <v>2707</v>
      </c>
      <c r="B1345" s="4" t="s">
        <v>2708</v>
      </c>
      <c r="C1345" s="4" t="s">
        <v>27</v>
      </c>
      <c r="D1345" s="5">
        <v>45868</v>
      </c>
      <c r="E1345" s="5">
        <v>45871</v>
      </c>
      <c r="F1345" s="5">
        <v>45881</v>
      </c>
      <c r="G1345" s="4" t="s">
        <v>22</v>
      </c>
      <c r="H1345" s="4">
        <v>1</v>
      </c>
      <c r="I1345" s="2">
        <v>5</v>
      </c>
      <c r="J1345">
        <f t="shared" si="100"/>
        <v>13</v>
      </c>
      <c r="K1345">
        <f t="shared" si="101"/>
        <v>10</v>
      </c>
      <c r="L1345" t="str">
        <f t="shared" si="102"/>
        <v>No</v>
      </c>
      <c r="M1345" t="str">
        <f t="shared" si="104"/>
        <v>No</v>
      </c>
      <c r="N1345" t="str">
        <f t="shared" si="103"/>
        <v>No</v>
      </c>
    </row>
    <row r="1346" spans="1:14" x14ac:dyDescent="0.3">
      <c r="A1346" s="2" t="s">
        <v>2709</v>
      </c>
      <c r="B1346" s="2" t="s">
        <v>2710</v>
      </c>
      <c r="C1346" s="2" t="s">
        <v>27</v>
      </c>
      <c r="D1346" s="3">
        <v>45868</v>
      </c>
      <c r="E1346" s="3">
        <v>45875</v>
      </c>
      <c r="F1346" s="3">
        <v>45882</v>
      </c>
      <c r="G1346" s="2" t="s">
        <v>11</v>
      </c>
      <c r="H1346" s="2">
        <v>1</v>
      </c>
      <c r="I1346" s="2">
        <v>3</v>
      </c>
      <c r="J1346">
        <f t="shared" si="100"/>
        <v>14</v>
      </c>
      <c r="K1346">
        <f t="shared" si="101"/>
        <v>7</v>
      </c>
      <c r="L1346" t="str">
        <f t="shared" si="102"/>
        <v>No</v>
      </c>
      <c r="M1346" t="str">
        <f t="shared" si="104"/>
        <v>No</v>
      </c>
      <c r="N1346" t="str">
        <f t="shared" si="103"/>
        <v>No</v>
      </c>
    </row>
    <row r="1347" spans="1:14" x14ac:dyDescent="0.3">
      <c r="A1347" s="4" t="s">
        <v>2711</v>
      </c>
      <c r="B1347" s="4" t="s">
        <v>2712</v>
      </c>
      <c r="C1347" s="4" t="s">
        <v>37</v>
      </c>
      <c r="D1347" s="5">
        <v>45868</v>
      </c>
      <c r="E1347" s="5">
        <v>45873</v>
      </c>
      <c r="F1347" s="5">
        <v>45880</v>
      </c>
      <c r="G1347" s="4" t="s">
        <v>22</v>
      </c>
      <c r="H1347" s="4">
        <v>1</v>
      </c>
      <c r="I1347" s="2">
        <v>1</v>
      </c>
      <c r="J1347">
        <f t="shared" ref="J1347:J1410" si="105">F1347-D1347</f>
        <v>12</v>
      </c>
      <c r="K1347">
        <f t="shared" ref="K1347:K1410" si="106">F1347-E1347</f>
        <v>7</v>
      </c>
      <c r="L1347" t="str">
        <f t="shared" ref="L1347:L1410" si="107">IF(K1347&lt;=0,"Yes","No")</f>
        <v>No</v>
      </c>
      <c r="M1347" t="str">
        <f t="shared" si="104"/>
        <v>Yes</v>
      </c>
      <c r="N1347" t="str">
        <f t="shared" ref="N1347:N1410" si="108">IF(AND(L1347="Yes",M1347="Yes"),"Yes","No")</f>
        <v>No</v>
      </c>
    </row>
    <row r="1348" spans="1:14" x14ac:dyDescent="0.3">
      <c r="A1348" s="2" t="s">
        <v>2713</v>
      </c>
      <c r="B1348" s="2" t="s">
        <v>2714</v>
      </c>
      <c r="C1348" s="2" t="s">
        <v>37</v>
      </c>
      <c r="D1348" s="3">
        <v>45868</v>
      </c>
      <c r="E1348" s="3">
        <v>45870</v>
      </c>
      <c r="F1348" s="3">
        <v>45883</v>
      </c>
      <c r="G1348" s="2" t="s">
        <v>11</v>
      </c>
      <c r="H1348" s="2">
        <v>12</v>
      </c>
      <c r="I1348" s="2">
        <v>12</v>
      </c>
      <c r="J1348">
        <f t="shared" si="105"/>
        <v>15</v>
      </c>
      <c r="K1348">
        <f t="shared" si="106"/>
        <v>13</v>
      </c>
      <c r="L1348" t="str">
        <f t="shared" si="107"/>
        <v>No</v>
      </c>
      <c r="M1348" t="str">
        <f t="shared" ref="M1348:M1411" si="109">IF(H1348=I1348,"Yes","No")</f>
        <v>Yes</v>
      </c>
      <c r="N1348" t="str">
        <f t="shared" si="108"/>
        <v>No</v>
      </c>
    </row>
    <row r="1349" spans="1:14" x14ac:dyDescent="0.3">
      <c r="A1349" s="4" t="s">
        <v>2715</v>
      </c>
      <c r="B1349" s="4" t="s">
        <v>2716</v>
      </c>
      <c r="C1349" s="4" t="s">
        <v>72</v>
      </c>
      <c r="D1349" s="5">
        <v>45867</v>
      </c>
      <c r="E1349" s="5">
        <v>45872</v>
      </c>
      <c r="F1349" s="5">
        <v>45881</v>
      </c>
      <c r="G1349" s="4" t="s">
        <v>40</v>
      </c>
      <c r="H1349" s="4">
        <v>17</v>
      </c>
      <c r="I1349" s="2">
        <v>21</v>
      </c>
      <c r="J1349">
        <f t="shared" si="105"/>
        <v>14</v>
      </c>
      <c r="K1349">
        <f t="shared" si="106"/>
        <v>9</v>
      </c>
      <c r="L1349" t="str">
        <f t="shared" si="107"/>
        <v>No</v>
      </c>
      <c r="M1349" t="str">
        <f t="shared" si="109"/>
        <v>No</v>
      </c>
      <c r="N1349" t="str">
        <f t="shared" si="108"/>
        <v>No</v>
      </c>
    </row>
    <row r="1350" spans="1:14" x14ac:dyDescent="0.3">
      <c r="A1350" s="2" t="s">
        <v>2717</v>
      </c>
      <c r="B1350" s="2" t="s">
        <v>2718</v>
      </c>
      <c r="C1350" s="2" t="s">
        <v>10</v>
      </c>
      <c r="D1350" s="3">
        <v>45869</v>
      </c>
      <c r="E1350" s="3">
        <v>45873</v>
      </c>
      <c r="F1350" s="3">
        <v>45876</v>
      </c>
      <c r="G1350" s="2" t="s">
        <v>22</v>
      </c>
      <c r="H1350" s="2">
        <v>27</v>
      </c>
      <c r="I1350" s="2">
        <v>31</v>
      </c>
      <c r="J1350">
        <f t="shared" si="105"/>
        <v>7</v>
      </c>
      <c r="K1350">
        <f t="shared" si="106"/>
        <v>3</v>
      </c>
      <c r="L1350" t="str">
        <f t="shared" si="107"/>
        <v>No</v>
      </c>
      <c r="M1350" t="str">
        <f t="shared" si="109"/>
        <v>No</v>
      </c>
      <c r="N1350" t="str">
        <f t="shared" si="108"/>
        <v>No</v>
      </c>
    </row>
    <row r="1351" spans="1:14" x14ac:dyDescent="0.3">
      <c r="A1351" s="4" t="s">
        <v>2719</v>
      </c>
      <c r="B1351" s="4" t="s">
        <v>2720</v>
      </c>
      <c r="C1351" s="4" t="s">
        <v>72</v>
      </c>
      <c r="D1351" s="5">
        <v>45868</v>
      </c>
      <c r="E1351" s="5">
        <v>45871</v>
      </c>
      <c r="F1351" s="5">
        <v>45883</v>
      </c>
      <c r="G1351" s="4" t="s">
        <v>40</v>
      </c>
      <c r="H1351" s="4">
        <v>16</v>
      </c>
      <c r="I1351" s="2">
        <v>16</v>
      </c>
      <c r="J1351">
        <f t="shared" si="105"/>
        <v>15</v>
      </c>
      <c r="K1351">
        <f t="shared" si="106"/>
        <v>12</v>
      </c>
      <c r="L1351" t="str">
        <f t="shared" si="107"/>
        <v>No</v>
      </c>
      <c r="M1351" t="str">
        <f t="shared" si="109"/>
        <v>Yes</v>
      </c>
      <c r="N1351" t="str">
        <f t="shared" si="108"/>
        <v>No</v>
      </c>
    </row>
    <row r="1352" spans="1:14" x14ac:dyDescent="0.3">
      <c r="A1352" s="2" t="s">
        <v>2721</v>
      </c>
      <c r="B1352" s="2" t="s">
        <v>2722</v>
      </c>
      <c r="C1352" s="2" t="s">
        <v>14</v>
      </c>
      <c r="D1352" s="3">
        <v>45868</v>
      </c>
      <c r="E1352" s="3">
        <v>45872</v>
      </c>
      <c r="F1352" s="3">
        <v>45884</v>
      </c>
      <c r="G1352" s="2" t="s">
        <v>11</v>
      </c>
      <c r="H1352" s="2">
        <v>21</v>
      </c>
      <c r="I1352" s="2">
        <v>21</v>
      </c>
      <c r="J1352">
        <f t="shared" si="105"/>
        <v>16</v>
      </c>
      <c r="K1352">
        <f t="shared" si="106"/>
        <v>12</v>
      </c>
      <c r="L1352" t="str">
        <f t="shared" si="107"/>
        <v>No</v>
      </c>
      <c r="M1352" t="str">
        <f t="shared" si="109"/>
        <v>Yes</v>
      </c>
      <c r="N1352" t="str">
        <f t="shared" si="108"/>
        <v>No</v>
      </c>
    </row>
    <row r="1353" spans="1:14" x14ac:dyDescent="0.3">
      <c r="A1353" s="4" t="s">
        <v>2723</v>
      </c>
      <c r="B1353" s="4" t="s">
        <v>2724</v>
      </c>
      <c r="C1353" s="4" t="s">
        <v>14</v>
      </c>
      <c r="D1353" s="5">
        <v>45867</v>
      </c>
      <c r="E1353" s="5">
        <v>45877</v>
      </c>
      <c r="F1353" s="5">
        <v>45882</v>
      </c>
      <c r="G1353" s="4" t="s">
        <v>18</v>
      </c>
      <c r="H1353" s="4">
        <v>38</v>
      </c>
      <c r="I1353" s="2">
        <v>38</v>
      </c>
      <c r="J1353">
        <f t="shared" si="105"/>
        <v>15</v>
      </c>
      <c r="K1353">
        <f t="shared" si="106"/>
        <v>5</v>
      </c>
      <c r="L1353" t="str">
        <f t="shared" si="107"/>
        <v>No</v>
      </c>
      <c r="M1353" t="str">
        <f t="shared" si="109"/>
        <v>Yes</v>
      </c>
      <c r="N1353" t="str">
        <f t="shared" si="108"/>
        <v>No</v>
      </c>
    </row>
    <row r="1354" spans="1:14" x14ac:dyDescent="0.3">
      <c r="A1354" s="2" t="s">
        <v>2725</v>
      </c>
      <c r="B1354" s="2" t="s">
        <v>2726</v>
      </c>
      <c r="C1354" s="2" t="s">
        <v>59</v>
      </c>
      <c r="D1354" s="3">
        <v>45869</v>
      </c>
      <c r="E1354" s="3">
        <v>45876</v>
      </c>
      <c r="F1354" s="3">
        <v>45877</v>
      </c>
      <c r="G1354" s="2" t="s">
        <v>11</v>
      </c>
      <c r="H1354" s="2">
        <v>13</v>
      </c>
      <c r="I1354" s="2">
        <v>13</v>
      </c>
      <c r="J1354">
        <f t="shared" si="105"/>
        <v>8</v>
      </c>
      <c r="K1354">
        <f t="shared" si="106"/>
        <v>1</v>
      </c>
      <c r="L1354" t="str">
        <f t="shared" si="107"/>
        <v>No</v>
      </c>
      <c r="M1354" t="str">
        <f t="shared" si="109"/>
        <v>Yes</v>
      </c>
      <c r="N1354" t="str">
        <f t="shared" si="108"/>
        <v>No</v>
      </c>
    </row>
    <row r="1355" spans="1:14" x14ac:dyDescent="0.3">
      <c r="A1355" s="4" t="s">
        <v>2727</v>
      </c>
      <c r="B1355" s="4" t="s">
        <v>2728</v>
      </c>
      <c r="C1355" s="4" t="s">
        <v>21</v>
      </c>
      <c r="D1355" s="5">
        <v>45869</v>
      </c>
      <c r="E1355" s="5">
        <v>45871</v>
      </c>
      <c r="F1355" s="5">
        <v>45875</v>
      </c>
      <c r="G1355" s="4" t="s">
        <v>22</v>
      </c>
      <c r="H1355" s="4">
        <v>37</v>
      </c>
      <c r="I1355" s="2">
        <v>37</v>
      </c>
      <c r="J1355">
        <f t="shared" si="105"/>
        <v>6</v>
      </c>
      <c r="K1355">
        <f t="shared" si="106"/>
        <v>4</v>
      </c>
      <c r="L1355" t="str">
        <f t="shared" si="107"/>
        <v>No</v>
      </c>
      <c r="M1355" t="str">
        <f t="shared" si="109"/>
        <v>Yes</v>
      </c>
      <c r="N1355" t="str">
        <f t="shared" si="108"/>
        <v>No</v>
      </c>
    </row>
    <row r="1356" spans="1:14" x14ac:dyDescent="0.3">
      <c r="A1356" s="2" t="s">
        <v>2729</v>
      </c>
      <c r="B1356" s="2" t="s">
        <v>2730</v>
      </c>
      <c r="C1356" s="2" t="s">
        <v>27</v>
      </c>
      <c r="D1356" s="3">
        <v>45869</v>
      </c>
      <c r="E1356" s="3">
        <v>45871</v>
      </c>
      <c r="F1356" s="3">
        <v>45882</v>
      </c>
      <c r="G1356" s="2" t="s">
        <v>15</v>
      </c>
      <c r="H1356" s="2">
        <v>7</v>
      </c>
      <c r="I1356" s="2">
        <v>7</v>
      </c>
      <c r="J1356">
        <f t="shared" si="105"/>
        <v>13</v>
      </c>
      <c r="K1356">
        <f t="shared" si="106"/>
        <v>11</v>
      </c>
      <c r="L1356" t="str">
        <f t="shared" si="107"/>
        <v>No</v>
      </c>
      <c r="M1356" t="str">
        <f t="shared" si="109"/>
        <v>Yes</v>
      </c>
      <c r="N1356" t="str">
        <f t="shared" si="108"/>
        <v>No</v>
      </c>
    </row>
    <row r="1357" spans="1:14" x14ac:dyDescent="0.3">
      <c r="A1357" s="4" t="s">
        <v>2731</v>
      </c>
      <c r="B1357" s="4" t="s">
        <v>2732</v>
      </c>
      <c r="C1357" s="4" t="s">
        <v>34</v>
      </c>
      <c r="D1357" s="5">
        <v>45870</v>
      </c>
      <c r="E1357" s="5">
        <v>45878</v>
      </c>
      <c r="F1357" s="5">
        <v>45877</v>
      </c>
      <c r="G1357" s="4" t="s">
        <v>40</v>
      </c>
      <c r="H1357" s="4">
        <v>15</v>
      </c>
      <c r="I1357" s="2">
        <v>15</v>
      </c>
      <c r="J1357">
        <f t="shared" si="105"/>
        <v>7</v>
      </c>
      <c r="K1357">
        <f t="shared" si="106"/>
        <v>-1</v>
      </c>
      <c r="L1357" t="str">
        <f t="shared" si="107"/>
        <v>Yes</v>
      </c>
      <c r="M1357" t="str">
        <f t="shared" si="109"/>
        <v>Yes</v>
      </c>
      <c r="N1357" t="str">
        <f t="shared" si="108"/>
        <v>Yes</v>
      </c>
    </row>
    <row r="1358" spans="1:14" x14ac:dyDescent="0.3">
      <c r="A1358" s="2" t="s">
        <v>2733</v>
      </c>
      <c r="B1358" s="2" t="s">
        <v>2734</v>
      </c>
      <c r="C1358" s="2" t="s">
        <v>10</v>
      </c>
      <c r="D1358" s="3">
        <v>45868</v>
      </c>
      <c r="E1358" s="3">
        <v>45874</v>
      </c>
      <c r="F1358" s="3">
        <v>45877</v>
      </c>
      <c r="G1358" s="2" t="s">
        <v>11</v>
      </c>
      <c r="H1358" s="2">
        <v>11</v>
      </c>
      <c r="I1358" s="2">
        <v>18</v>
      </c>
      <c r="J1358">
        <f t="shared" si="105"/>
        <v>9</v>
      </c>
      <c r="K1358">
        <f t="shared" si="106"/>
        <v>3</v>
      </c>
      <c r="L1358" t="str">
        <f t="shared" si="107"/>
        <v>No</v>
      </c>
      <c r="M1358" t="str">
        <f t="shared" si="109"/>
        <v>No</v>
      </c>
      <c r="N1358" t="str">
        <f t="shared" si="108"/>
        <v>No</v>
      </c>
    </row>
    <row r="1359" spans="1:14" x14ac:dyDescent="0.3">
      <c r="A1359" s="4" t="s">
        <v>2735</v>
      </c>
      <c r="B1359" s="4" t="s">
        <v>2736</v>
      </c>
      <c r="C1359" s="4" t="s">
        <v>10</v>
      </c>
      <c r="D1359" s="5">
        <v>45869</v>
      </c>
      <c r="E1359" s="5">
        <v>45872</v>
      </c>
      <c r="F1359" s="5">
        <v>45878</v>
      </c>
      <c r="G1359" s="4" t="s">
        <v>22</v>
      </c>
      <c r="H1359" s="4">
        <v>32</v>
      </c>
      <c r="I1359" s="2">
        <v>32</v>
      </c>
      <c r="J1359">
        <f t="shared" si="105"/>
        <v>9</v>
      </c>
      <c r="K1359">
        <f t="shared" si="106"/>
        <v>6</v>
      </c>
      <c r="L1359" t="str">
        <f t="shared" si="107"/>
        <v>No</v>
      </c>
      <c r="M1359" t="str">
        <f t="shared" si="109"/>
        <v>Yes</v>
      </c>
      <c r="N1359" t="str">
        <f t="shared" si="108"/>
        <v>No</v>
      </c>
    </row>
    <row r="1360" spans="1:14" x14ac:dyDescent="0.3">
      <c r="A1360" s="2" t="s">
        <v>2737</v>
      </c>
      <c r="B1360" s="2" t="s">
        <v>2738</v>
      </c>
      <c r="C1360" s="2" t="s">
        <v>10</v>
      </c>
      <c r="D1360" s="3">
        <v>45869</v>
      </c>
      <c r="E1360" s="3">
        <v>45875</v>
      </c>
      <c r="F1360" s="3">
        <v>45874</v>
      </c>
      <c r="G1360" s="2" t="s">
        <v>11</v>
      </c>
      <c r="H1360" s="2">
        <v>21</v>
      </c>
      <c r="I1360" s="2">
        <v>21</v>
      </c>
      <c r="J1360">
        <f t="shared" si="105"/>
        <v>5</v>
      </c>
      <c r="K1360">
        <f t="shared" si="106"/>
        <v>-1</v>
      </c>
      <c r="L1360" t="str">
        <f t="shared" si="107"/>
        <v>Yes</v>
      </c>
      <c r="M1360" t="str">
        <f t="shared" si="109"/>
        <v>Yes</v>
      </c>
      <c r="N1360" t="str">
        <f t="shared" si="108"/>
        <v>Yes</v>
      </c>
    </row>
    <row r="1361" spans="1:14" x14ac:dyDescent="0.3">
      <c r="A1361" s="4" t="s">
        <v>2739</v>
      </c>
      <c r="B1361" s="4" t="s">
        <v>2740</v>
      </c>
      <c r="C1361" s="4" t="s">
        <v>14</v>
      </c>
      <c r="D1361" s="5">
        <v>45869</v>
      </c>
      <c r="E1361" s="5">
        <v>45872</v>
      </c>
      <c r="F1361" s="5">
        <v>45883</v>
      </c>
      <c r="G1361" s="4" t="s">
        <v>11</v>
      </c>
      <c r="H1361" s="4">
        <v>13</v>
      </c>
      <c r="I1361" s="2">
        <v>13</v>
      </c>
      <c r="J1361">
        <f t="shared" si="105"/>
        <v>14</v>
      </c>
      <c r="K1361">
        <f t="shared" si="106"/>
        <v>11</v>
      </c>
      <c r="L1361" t="str">
        <f t="shared" si="107"/>
        <v>No</v>
      </c>
      <c r="M1361" t="str">
        <f t="shared" si="109"/>
        <v>Yes</v>
      </c>
      <c r="N1361" t="str">
        <f t="shared" si="108"/>
        <v>No</v>
      </c>
    </row>
    <row r="1362" spans="1:14" x14ac:dyDescent="0.3">
      <c r="A1362" s="2" t="s">
        <v>2741</v>
      </c>
      <c r="B1362" s="2" t="s">
        <v>2742</v>
      </c>
      <c r="C1362" s="2" t="s">
        <v>14</v>
      </c>
      <c r="D1362" s="3">
        <v>45870</v>
      </c>
      <c r="E1362" s="3">
        <v>45878</v>
      </c>
      <c r="F1362" s="3">
        <v>45886</v>
      </c>
      <c r="G1362" s="2" t="s">
        <v>18</v>
      </c>
      <c r="H1362" s="2">
        <v>36</v>
      </c>
      <c r="I1362" s="2">
        <v>36</v>
      </c>
      <c r="J1362">
        <f t="shared" si="105"/>
        <v>16</v>
      </c>
      <c r="K1362">
        <f t="shared" si="106"/>
        <v>8</v>
      </c>
      <c r="L1362" t="str">
        <f t="shared" si="107"/>
        <v>No</v>
      </c>
      <c r="M1362" t="str">
        <f t="shared" si="109"/>
        <v>Yes</v>
      </c>
      <c r="N1362" t="str">
        <f t="shared" si="108"/>
        <v>No</v>
      </c>
    </row>
    <row r="1363" spans="1:14" x14ac:dyDescent="0.3">
      <c r="A1363" s="4" t="s">
        <v>2743</v>
      </c>
      <c r="B1363" s="4" t="s">
        <v>2744</v>
      </c>
      <c r="C1363" s="4" t="s">
        <v>21</v>
      </c>
      <c r="D1363" s="5">
        <v>45869</v>
      </c>
      <c r="E1363" s="5">
        <v>45872</v>
      </c>
      <c r="F1363" s="5">
        <v>45877</v>
      </c>
      <c r="G1363" s="4" t="s">
        <v>15</v>
      </c>
      <c r="H1363" s="4">
        <v>25</v>
      </c>
      <c r="I1363" s="2">
        <v>25</v>
      </c>
      <c r="J1363">
        <f t="shared" si="105"/>
        <v>8</v>
      </c>
      <c r="K1363">
        <f t="shared" si="106"/>
        <v>5</v>
      </c>
      <c r="L1363" t="str">
        <f t="shared" si="107"/>
        <v>No</v>
      </c>
      <c r="M1363" t="str">
        <f t="shared" si="109"/>
        <v>Yes</v>
      </c>
      <c r="N1363" t="str">
        <f t="shared" si="108"/>
        <v>No</v>
      </c>
    </row>
    <row r="1364" spans="1:14" x14ac:dyDescent="0.3">
      <c r="A1364" s="2" t="s">
        <v>2745</v>
      </c>
      <c r="B1364" s="2" t="s">
        <v>2746</v>
      </c>
      <c r="C1364" s="2" t="s">
        <v>21</v>
      </c>
      <c r="D1364" s="3">
        <v>45869</v>
      </c>
      <c r="E1364" s="3">
        <v>45871</v>
      </c>
      <c r="F1364" s="3">
        <v>45879</v>
      </c>
      <c r="G1364" s="2" t="s">
        <v>15</v>
      </c>
      <c r="H1364" s="2">
        <v>22</v>
      </c>
      <c r="I1364" s="2">
        <v>27</v>
      </c>
      <c r="J1364">
        <f t="shared" si="105"/>
        <v>10</v>
      </c>
      <c r="K1364">
        <f t="shared" si="106"/>
        <v>8</v>
      </c>
      <c r="L1364" t="str">
        <f t="shared" si="107"/>
        <v>No</v>
      </c>
      <c r="M1364" t="str">
        <f t="shared" si="109"/>
        <v>No</v>
      </c>
      <c r="N1364" t="str">
        <f t="shared" si="108"/>
        <v>No</v>
      </c>
    </row>
    <row r="1365" spans="1:14" x14ac:dyDescent="0.3">
      <c r="A1365" s="4" t="s">
        <v>2747</v>
      </c>
      <c r="B1365" s="4" t="s">
        <v>2748</v>
      </c>
      <c r="C1365" s="4" t="s">
        <v>27</v>
      </c>
      <c r="D1365" s="5">
        <v>45868</v>
      </c>
      <c r="E1365" s="5">
        <v>45875</v>
      </c>
      <c r="F1365" s="5">
        <v>45883</v>
      </c>
      <c r="G1365" s="4" t="s">
        <v>40</v>
      </c>
      <c r="H1365" s="4">
        <v>28</v>
      </c>
      <c r="I1365" s="2">
        <v>28</v>
      </c>
      <c r="J1365">
        <f t="shared" si="105"/>
        <v>15</v>
      </c>
      <c r="K1365">
        <f t="shared" si="106"/>
        <v>8</v>
      </c>
      <c r="L1365" t="str">
        <f t="shared" si="107"/>
        <v>No</v>
      </c>
      <c r="M1365" t="str">
        <f t="shared" si="109"/>
        <v>Yes</v>
      </c>
      <c r="N1365" t="str">
        <f t="shared" si="108"/>
        <v>No</v>
      </c>
    </row>
    <row r="1366" spans="1:14" x14ac:dyDescent="0.3">
      <c r="A1366" s="2" t="s">
        <v>2749</v>
      </c>
      <c r="B1366" s="2" t="s">
        <v>2750</v>
      </c>
      <c r="C1366" s="2" t="s">
        <v>27</v>
      </c>
      <c r="D1366" s="3">
        <v>45869</v>
      </c>
      <c r="E1366" s="3">
        <v>45873</v>
      </c>
      <c r="F1366" s="3">
        <v>45882</v>
      </c>
      <c r="G1366" s="2" t="s">
        <v>11</v>
      </c>
      <c r="H1366" s="2">
        <v>7</v>
      </c>
      <c r="I1366" s="2">
        <v>7</v>
      </c>
      <c r="J1366">
        <f t="shared" si="105"/>
        <v>13</v>
      </c>
      <c r="K1366">
        <f t="shared" si="106"/>
        <v>9</v>
      </c>
      <c r="L1366" t="str">
        <f t="shared" si="107"/>
        <v>No</v>
      </c>
      <c r="M1366" t="str">
        <f t="shared" si="109"/>
        <v>Yes</v>
      </c>
      <c r="N1366" t="str">
        <f t="shared" si="108"/>
        <v>No</v>
      </c>
    </row>
    <row r="1367" spans="1:14" x14ac:dyDescent="0.3">
      <c r="A1367" s="4" t="s">
        <v>2751</v>
      </c>
      <c r="B1367" s="4" t="s">
        <v>2752</v>
      </c>
      <c r="C1367" s="4" t="s">
        <v>27</v>
      </c>
      <c r="D1367" s="5">
        <v>45868</v>
      </c>
      <c r="E1367" s="5">
        <v>45871</v>
      </c>
      <c r="F1367" s="5">
        <v>45885</v>
      </c>
      <c r="G1367" s="4" t="s">
        <v>40</v>
      </c>
      <c r="H1367" s="4">
        <v>10</v>
      </c>
      <c r="I1367" s="2">
        <v>10</v>
      </c>
      <c r="J1367">
        <f t="shared" si="105"/>
        <v>17</v>
      </c>
      <c r="K1367">
        <f t="shared" si="106"/>
        <v>14</v>
      </c>
      <c r="L1367" t="str">
        <f t="shared" si="107"/>
        <v>No</v>
      </c>
      <c r="M1367" t="str">
        <f t="shared" si="109"/>
        <v>Yes</v>
      </c>
      <c r="N1367" t="str">
        <f t="shared" si="108"/>
        <v>No</v>
      </c>
    </row>
    <row r="1368" spans="1:14" x14ac:dyDescent="0.3">
      <c r="A1368" s="2" t="s">
        <v>2753</v>
      </c>
      <c r="B1368" s="2" t="s">
        <v>2754</v>
      </c>
      <c r="C1368" s="2" t="s">
        <v>37</v>
      </c>
      <c r="D1368" s="3">
        <v>45869</v>
      </c>
      <c r="E1368" s="3">
        <v>45877</v>
      </c>
      <c r="F1368" s="3">
        <v>45882</v>
      </c>
      <c r="G1368" s="2" t="s">
        <v>22</v>
      </c>
      <c r="H1368" s="2">
        <v>9</v>
      </c>
      <c r="I1368" s="2">
        <v>9</v>
      </c>
      <c r="J1368">
        <f t="shared" si="105"/>
        <v>13</v>
      </c>
      <c r="K1368">
        <f t="shared" si="106"/>
        <v>5</v>
      </c>
      <c r="L1368" t="str">
        <f t="shared" si="107"/>
        <v>No</v>
      </c>
      <c r="M1368" t="str">
        <f t="shared" si="109"/>
        <v>Yes</v>
      </c>
      <c r="N1368" t="str">
        <f t="shared" si="108"/>
        <v>No</v>
      </c>
    </row>
    <row r="1369" spans="1:14" x14ac:dyDescent="0.3">
      <c r="A1369" s="4" t="s">
        <v>2755</v>
      </c>
      <c r="B1369" s="4" t="s">
        <v>2756</v>
      </c>
      <c r="C1369" s="4" t="s">
        <v>10</v>
      </c>
      <c r="D1369" s="5">
        <v>45871</v>
      </c>
      <c r="E1369" s="5">
        <v>45872</v>
      </c>
      <c r="F1369" s="5">
        <v>45876</v>
      </c>
      <c r="G1369" s="4" t="s">
        <v>15</v>
      </c>
      <c r="H1369" s="4">
        <v>20</v>
      </c>
      <c r="I1369" s="2">
        <v>20</v>
      </c>
      <c r="J1369">
        <f t="shared" si="105"/>
        <v>5</v>
      </c>
      <c r="K1369">
        <f t="shared" si="106"/>
        <v>4</v>
      </c>
      <c r="L1369" t="str">
        <f t="shared" si="107"/>
        <v>No</v>
      </c>
      <c r="M1369" t="str">
        <f t="shared" si="109"/>
        <v>Yes</v>
      </c>
      <c r="N1369" t="str">
        <f t="shared" si="108"/>
        <v>No</v>
      </c>
    </row>
    <row r="1370" spans="1:14" x14ac:dyDescent="0.3">
      <c r="A1370" s="2" t="s">
        <v>2757</v>
      </c>
      <c r="B1370" s="2" t="s">
        <v>2758</v>
      </c>
      <c r="C1370" s="2" t="s">
        <v>10</v>
      </c>
      <c r="D1370" s="3">
        <v>45870</v>
      </c>
      <c r="E1370" s="3">
        <v>45875</v>
      </c>
      <c r="F1370" s="3">
        <v>45875</v>
      </c>
      <c r="G1370" s="2" t="s">
        <v>40</v>
      </c>
      <c r="H1370" s="2">
        <v>13</v>
      </c>
      <c r="I1370" s="2">
        <v>20</v>
      </c>
      <c r="J1370">
        <f t="shared" si="105"/>
        <v>5</v>
      </c>
      <c r="K1370">
        <f t="shared" si="106"/>
        <v>0</v>
      </c>
      <c r="L1370" t="str">
        <f t="shared" si="107"/>
        <v>Yes</v>
      </c>
      <c r="M1370" t="str">
        <f t="shared" si="109"/>
        <v>No</v>
      </c>
      <c r="N1370" t="str">
        <f t="shared" si="108"/>
        <v>No</v>
      </c>
    </row>
    <row r="1371" spans="1:14" x14ac:dyDescent="0.3">
      <c r="A1371" s="4" t="s">
        <v>2759</v>
      </c>
      <c r="B1371" s="4" t="s">
        <v>2760</v>
      </c>
      <c r="C1371" s="4" t="s">
        <v>14</v>
      </c>
      <c r="D1371" s="5">
        <v>45869</v>
      </c>
      <c r="E1371" s="5">
        <v>45878</v>
      </c>
      <c r="F1371" s="5">
        <v>45886</v>
      </c>
      <c r="G1371" s="4" t="s">
        <v>40</v>
      </c>
      <c r="H1371" s="4">
        <v>1</v>
      </c>
      <c r="I1371" s="2">
        <v>3</v>
      </c>
      <c r="J1371">
        <f t="shared" si="105"/>
        <v>17</v>
      </c>
      <c r="K1371">
        <f t="shared" si="106"/>
        <v>8</v>
      </c>
      <c r="L1371" t="str">
        <f t="shared" si="107"/>
        <v>No</v>
      </c>
      <c r="M1371" t="str">
        <f t="shared" si="109"/>
        <v>No</v>
      </c>
      <c r="N1371" t="str">
        <f t="shared" si="108"/>
        <v>No</v>
      </c>
    </row>
    <row r="1372" spans="1:14" x14ac:dyDescent="0.3">
      <c r="A1372" s="2" t="s">
        <v>2761</v>
      </c>
      <c r="B1372" s="2" t="s">
        <v>2762</v>
      </c>
      <c r="C1372" s="2" t="s">
        <v>59</v>
      </c>
      <c r="D1372" s="3">
        <v>45870</v>
      </c>
      <c r="E1372" s="3">
        <v>45879</v>
      </c>
      <c r="F1372" s="3">
        <v>45873</v>
      </c>
      <c r="G1372" s="2" t="s">
        <v>18</v>
      </c>
      <c r="H1372" s="2">
        <v>35</v>
      </c>
      <c r="I1372" s="2">
        <v>35</v>
      </c>
      <c r="J1372">
        <f t="shared" si="105"/>
        <v>3</v>
      </c>
      <c r="K1372">
        <f t="shared" si="106"/>
        <v>-6</v>
      </c>
      <c r="L1372" t="str">
        <f t="shared" si="107"/>
        <v>Yes</v>
      </c>
      <c r="M1372" t="str">
        <f t="shared" si="109"/>
        <v>Yes</v>
      </c>
      <c r="N1372" t="str">
        <f t="shared" si="108"/>
        <v>Yes</v>
      </c>
    </row>
    <row r="1373" spans="1:14" x14ac:dyDescent="0.3">
      <c r="A1373" s="4" t="s">
        <v>2763</v>
      </c>
      <c r="B1373" s="4" t="s">
        <v>2764</v>
      </c>
      <c r="C1373" s="4" t="s">
        <v>21</v>
      </c>
      <c r="D1373" s="5">
        <v>45871</v>
      </c>
      <c r="E1373" s="5">
        <v>45875</v>
      </c>
      <c r="F1373" s="5">
        <v>45876</v>
      </c>
      <c r="G1373" s="4" t="s">
        <v>18</v>
      </c>
      <c r="H1373" s="4">
        <v>32</v>
      </c>
      <c r="I1373" s="2">
        <v>32</v>
      </c>
      <c r="J1373">
        <f t="shared" si="105"/>
        <v>5</v>
      </c>
      <c r="K1373">
        <f t="shared" si="106"/>
        <v>1</v>
      </c>
      <c r="L1373" t="str">
        <f t="shared" si="107"/>
        <v>No</v>
      </c>
      <c r="M1373" t="str">
        <f t="shared" si="109"/>
        <v>Yes</v>
      </c>
      <c r="N1373" t="str">
        <f t="shared" si="108"/>
        <v>No</v>
      </c>
    </row>
    <row r="1374" spans="1:14" x14ac:dyDescent="0.3">
      <c r="A1374" s="2" t="s">
        <v>2765</v>
      </c>
      <c r="B1374" s="2" t="s">
        <v>2766</v>
      </c>
      <c r="C1374" s="2" t="s">
        <v>27</v>
      </c>
      <c r="D1374" s="3">
        <v>45870</v>
      </c>
      <c r="E1374" s="3">
        <v>45874</v>
      </c>
      <c r="F1374" s="3">
        <v>45883</v>
      </c>
      <c r="G1374" s="2" t="s">
        <v>15</v>
      </c>
      <c r="H1374" s="2">
        <v>4</v>
      </c>
      <c r="I1374" s="2">
        <v>4</v>
      </c>
      <c r="J1374">
        <f t="shared" si="105"/>
        <v>13</v>
      </c>
      <c r="K1374">
        <f t="shared" si="106"/>
        <v>9</v>
      </c>
      <c r="L1374" t="str">
        <f t="shared" si="107"/>
        <v>No</v>
      </c>
      <c r="M1374" t="str">
        <f t="shared" si="109"/>
        <v>Yes</v>
      </c>
      <c r="N1374" t="str">
        <f t="shared" si="108"/>
        <v>No</v>
      </c>
    </row>
    <row r="1375" spans="1:14" x14ac:dyDescent="0.3">
      <c r="A1375" s="4" t="s">
        <v>2767</v>
      </c>
      <c r="B1375" s="4" t="s">
        <v>2768</v>
      </c>
      <c r="C1375" s="4" t="s">
        <v>27</v>
      </c>
      <c r="D1375" s="5">
        <v>45869</v>
      </c>
      <c r="E1375" s="5">
        <v>45878</v>
      </c>
      <c r="F1375" s="5">
        <v>45882</v>
      </c>
      <c r="G1375" s="4" t="s">
        <v>11</v>
      </c>
      <c r="H1375" s="4">
        <v>12</v>
      </c>
      <c r="I1375" s="2">
        <v>12</v>
      </c>
      <c r="J1375">
        <f t="shared" si="105"/>
        <v>13</v>
      </c>
      <c r="K1375">
        <f t="shared" si="106"/>
        <v>4</v>
      </c>
      <c r="L1375" t="str">
        <f t="shared" si="107"/>
        <v>No</v>
      </c>
      <c r="M1375" t="str">
        <f t="shared" si="109"/>
        <v>Yes</v>
      </c>
      <c r="N1375" t="str">
        <f t="shared" si="108"/>
        <v>No</v>
      </c>
    </row>
    <row r="1376" spans="1:14" x14ac:dyDescent="0.3">
      <c r="A1376" s="2" t="s">
        <v>2769</v>
      </c>
      <c r="B1376" s="2" t="s">
        <v>2770</v>
      </c>
      <c r="C1376" s="2" t="s">
        <v>34</v>
      </c>
      <c r="D1376" s="3">
        <v>45870</v>
      </c>
      <c r="E1376" s="3">
        <v>45879</v>
      </c>
      <c r="F1376" s="3">
        <v>45878</v>
      </c>
      <c r="G1376" s="2" t="s">
        <v>40</v>
      </c>
      <c r="H1376" s="2">
        <v>16</v>
      </c>
      <c r="I1376" s="2">
        <v>16</v>
      </c>
      <c r="J1376">
        <f t="shared" si="105"/>
        <v>8</v>
      </c>
      <c r="K1376">
        <f t="shared" si="106"/>
        <v>-1</v>
      </c>
      <c r="L1376" t="str">
        <f t="shared" si="107"/>
        <v>Yes</v>
      </c>
      <c r="M1376" t="str">
        <f t="shared" si="109"/>
        <v>Yes</v>
      </c>
      <c r="N1376" t="str">
        <f t="shared" si="108"/>
        <v>Yes</v>
      </c>
    </row>
    <row r="1377" spans="1:14" x14ac:dyDescent="0.3">
      <c r="A1377" s="4" t="s">
        <v>2771</v>
      </c>
      <c r="B1377" s="4" t="s">
        <v>2772</v>
      </c>
      <c r="C1377" s="4" t="s">
        <v>10</v>
      </c>
      <c r="D1377" s="5">
        <v>45870</v>
      </c>
      <c r="E1377" s="5">
        <v>45878</v>
      </c>
      <c r="F1377" s="5">
        <v>45875</v>
      </c>
      <c r="G1377" s="4" t="s">
        <v>22</v>
      </c>
      <c r="H1377" s="4">
        <v>19</v>
      </c>
      <c r="I1377" s="2">
        <v>19</v>
      </c>
      <c r="J1377">
        <f t="shared" si="105"/>
        <v>5</v>
      </c>
      <c r="K1377">
        <f t="shared" si="106"/>
        <v>-3</v>
      </c>
      <c r="L1377" t="str">
        <f t="shared" si="107"/>
        <v>Yes</v>
      </c>
      <c r="M1377" t="str">
        <f t="shared" si="109"/>
        <v>Yes</v>
      </c>
      <c r="N1377" t="str">
        <f t="shared" si="108"/>
        <v>Yes</v>
      </c>
    </row>
    <row r="1378" spans="1:14" x14ac:dyDescent="0.3">
      <c r="A1378" s="2" t="s">
        <v>2773</v>
      </c>
      <c r="B1378" s="2" t="s">
        <v>2774</v>
      </c>
      <c r="C1378" s="2" t="s">
        <v>10</v>
      </c>
      <c r="D1378" s="3">
        <v>45872</v>
      </c>
      <c r="E1378" s="3">
        <v>45874</v>
      </c>
      <c r="F1378" s="3">
        <v>45877</v>
      </c>
      <c r="G1378" s="2" t="s">
        <v>22</v>
      </c>
      <c r="H1378" s="2">
        <v>29</v>
      </c>
      <c r="I1378" s="2">
        <v>29</v>
      </c>
      <c r="J1378">
        <f t="shared" si="105"/>
        <v>5</v>
      </c>
      <c r="K1378">
        <f t="shared" si="106"/>
        <v>3</v>
      </c>
      <c r="L1378" t="str">
        <f t="shared" si="107"/>
        <v>No</v>
      </c>
      <c r="M1378" t="str">
        <f t="shared" si="109"/>
        <v>Yes</v>
      </c>
      <c r="N1378" t="str">
        <f t="shared" si="108"/>
        <v>No</v>
      </c>
    </row>
    <row r="1379" spans="1:14" x14ac:dyDescent="0.3">
      <c r="A1379" s="4" t="s">
        <v>2775</v>
      </c>
      <c r="B1379" s="4" t="s">
        <v>2776</v>
      </c>
      <c r="C1379" s="4" t="s">
        <v>10</v>
      </c>
      <c r="D1379" s="5">
        <v>45872</v>
      </c>
      <c r="E1379" s="5">
        <v>45874</v>
      </c>
      <c r="F1379" s="5">
        <v>45877</v>
      </c>
      <c r="G1379" s="4" t="s">
        <v>40</v>
      </c>
      <c r="H1379" s="4">
        <v>10</v>
      </c>
      <c r="I1379" s="2">
        <v>10</v>
      </c>
      <c r="J1379">
        <f t="shared" si="105"/>
        <v>5</v>
      </c>
      <c r="K1379">
        <f t="shared" si="106"/>
        <v>3</v>
      </c>
      <c r="L1379" t="str">
        <f t="shared" si="107"/>
        <v>No</v>
      </c>
      <c r="M1379" t="str">
        <f t="shared" si="109"/>
        <v>Yes</v>
      </c>
      <c r="N1379" t="str">
        <f t="shared" si="108"/>
        <v>No</v>
      </c>
    </row>
    <row r="1380" spans="1:14" x14ac:dyDescent="0.3">
      <c r="A1380" s="2" t="s">
        <v>2777</v>
      </c>
      <c r="B1380" s="2" t="s">
        <v>2778</v>
      </c>
      <c r="C1380" s="2" t="s">
        <v>21</v>
      </c>
      <c r="D1380" s="3">
        <v>45870</v>
      </c>
      <c r="E1380" s="3">
        <v>45877</v>
      </c>
      <c r="F1380" s="3">
        <v>45876</v>
      </c>
      <c r="G1380" s="2" t="s">
        <v>15</v>
      </c>
      <c r="H1380" s="2">
        <v>28</v>
      </c>
      <c r="I1380" s="2">
        <v>28</v>
      </c>
      <c r="J1380">
        <f t="shared" si="105"/>
        <v>6</v>
      </c>
      <c r="K1380">
        <f t="shared" si="106"/>
        <v>-1</v>
      </c>
      <c r="L1380" t="str">
        <f t="shared" si="107"/>
        <v>Yes</v>
      </c>
      <c r="M1380" t="str">
        <f t="shared" si="109"/>
        <v>Yes</v>
      </c>
      <c r="N1380" t="str">
        <f t="shared" si="108"/>
        <v>Yes</v>
      </c>
    </row>
    <row r="1381" spans="1:14" x14ac:dyDescent="0.3">
      <c r="A1381" s="4" t="s">
        <v>2779</v>
      </c>
      <c r="B1381" s="4" t="s">
        <v>2780</v>
      </c>
      <c r="C1381" s="4" t="s">
        <v>27</v>
      </c>
      <c r="D1381" s="5">
        <v>45870</v>
      </c>
      <c r="E1381" s="5">
        <v>45879</v>
      </c>
      <c r="F1381" s="5">
        <v>45884</v>
      </c>
      <c r="G1381" s="4" t="s">
        <v>22</v>
      </c>
      <c r="H1381" s="4">
        <v>8</v>
      </c>
      <c r="I1381" s="2">
        <v>8</v>
      </c>
      <c r="J1381">
        <f t="shared" si="105"/>
        <v>14</v>
      </c>
      <c r="K1381">
        <f t="shared" si="106"/>
        <v>5</v>
      </c>
      <c r="L1381" t="str">
        <f t="shared" si="107"/>
        <v>No</v>
      </c>
      <c r="M1381" t="str">
        <f t="shared" si="109"/>
        <v>Yes</v>
      </c>
      <c r="N1381" t="str">
        <f t="shared" si="108"/>
        <v>No</v>
      </c>
    </row>
    <row r="1382" spans="1:14" x14ac:dyDescent="0.3">
      <c r="A1382" s="2" t="s">
        <v>2781</v>
      </c>
      <c r="B1382" s="2" t="s">
        <v>2782</v>
      </c>
      <c r="C1382" s="2" t="s">
        <v>10</v>
      </c>
      <c r="D1382" s="3">
        <v>45872</v>
      </c>
      <c r="E1382" s="3">
        <v>45876</v>
      </c>
      <c r="F1382" s="3">
        <v>45876</v>
      </c>
      <c r="G1382" s="2" t="s">
        <v>40</v>
      </c>
      <c r="H1382" s="2">
        <v>21</v>
      </c>
      <c r="I1382" s="2">
        <v>21</v>
      </c>
      <c r="J1382">
        <f t="shared" si="105"/>
        <v>4</v>
      </c>
      <c r="K1382">
        <f t="shared" si="106"/>
        <v>0</v>
      </c>
      <c r="L1382" t="str">
        <f t="shared" si="107"/>
        <v>Yes</v>
      </c>
      <c r="M1382" t="str">
        <f t="shared" si="109"/>
        <v>Yes</v>
      </c>
      <c r="N1382" t="str">
        <f t="shared" si="108"/>
        <v>Yes</v>
      </c>
    </row>
    <row r="1383" spans="1:14" x14ac:dyDescent="0.3">
      <c r="A1383" s="4" t="s">
        <v>2783</v>
      </c>
      <c r="B1383" s="4" t="s">
        <v>2784</v>
      </c>
      <c r="C1383" s="4" t="s">
        <v>72</v>
      </c>
      <c r="D1383" s="5">
        <v>45872</v>
      </c>
      <c r="E1383" s="5">
        <v>45878</v>
      </c>
      <c r="F1383" s="5">
        <v>45888</v>
      </c>
      <c r="G1383" s="4" t="s">
        <v>11</v>
      </c>
      <c r="H1383" s="4">
        <v>5</v>
      </c>
      <c r="I1383" s="2">
        <v>12</v>
      </c>
      <c r="J1383">
        <f t="shared" si="105"/>
        <v>16</v>
      </c>
      <c r="K1383">
        <f t="shared" si="106"/>
        <v>10</v>
      </c>
      <c r="L1383" t="str">
        <f t="shared" si="107"/>
        <v>No</v>
      </c>
      <c r="M1383" t="str">
        <f t="shared" si="109"/>
        <v>No</v>
      </c>
      <c r="N1383" t="str">
        <f t="shared" si="108"/>
        <v>No</v>
      </c>
    </row>
    <row r="1384" spans="1:14" x14ac:dyDescent="0.3">
      <c r="A1384" s="2" t="s">
        <v>2785</v>
      </c>
      <c r="B1384" s="2" t="s">
        <v>2786</v>
      </c>
      <c r="C1384" s="2" t="s">
        <v>14</v>
      </c>
      <c r="D1384" s="3">
        <v>45871</v>
      </c>
      <c r="E1384" s="3">
        <v>45876</v>
      </c>
      <c r="F1384" s="3">
        <v>45888</v>
      </c>
      <c r="G1384" s="2" t="s">
        <v>22</v>
      </c>
      <c r="H1384" s="2">
        <v>23</v>
      </c>
      <c r="I1384" s="2">
        <v>23</v>
      </c>
      <c r="J1384">
        <f t="shared" si="105"/>
        <v>17</v>
      </c>
      <c r="K1384">
        <f t="shared" si="106"/>
        <v>12</v>
      </c>
      <c r="L1384" t="str">
        <f t="shared" si="107"/>
        <v>No</v>
      </c>
      <c r="M1384" t="str">
        <f t="shared" si="109"/>
        <v>Yes</v>
      </c>
      <c r="N1384" t="str">
        <f t="shared" si="108"/>
        <v>No</v>
      </c>
    </row>
    <row r="1385" spans="1:14" x14ac:dyDescent="0.3">
      <c r="A1385" s="4" t="s">
        <v>2787</v>
      </c>
      <c r="B1385" s="4" t="s">
        <v>2788</v>
      </c>
      <c r="C1385" s="4" t="s">
        <v>21</v>
      </c>
      <c r="D1385" s="5">
        <v>45872</v>
      </c>
      <c r="E1385" s="5">
        <v>45880</v>
      </c>
      <c r="F1385" s="5">
        <v>45882</v>
      </c>
      <c r="G1385" s="4" t="s">
        <v>40</v>
      </c>
      <c r="H1385" s="4">
        <v>20</v>
      </c>
      <c r="I1385" s="2">
        <v>25</v>
      </c>
      <c r="J1385">
        <f t="shared" si="105"/>
        <v>10</v>
      </c>
      <c r="K1385">
        <f t="shared" si="106"/>
        <v>2</v>
      </c>
      <c r="L1385" t="str">
        <f t="shared" si="107"/>
        <v>No</v>
      </c>
      <c r="M1385" t="str">
        <f t="shared" si="109"/>
        <v>No</v>
      </c>
      <c r="N1385" t="str">
        <f t="shared" si="108"/>
        <v>No</v>
      </c>
    </row>
    <row r="1386" spans="1:14" x14ac:dyDescent="0.3">
      <c r="A1386" s="2" t="s">
        <v>2789</v>
      </c>
      <c r="B1386" s="2" t="s">
        <v>2790</v>
      </c>
      <c r="C1386" s="2" t="s">
        <v>21</v>
      </c>
      <c r="D1386" s="3">
        <v>45871</v>
      </c>
      <c r="E1386" s="3">
        <v>45880</v>
      </c>
      <c r="F1386" s="3">
        <v>45876</v>
      </c>
      <c r="G1386" s="2" t="s">
        <v>40</v>
      </c>
      <c r="H1386" s="2">
        <v>40</v>
      </c>
      <c r="I1386" s="2">
        <v>40</v>
      </c>
      <c r="J1386">
        <f t="shared" si="105"/>
        <v>5</v>
      </c>
      <c r="K1386">
        <f t="shared" si="106"/>
        <v>-4</v>
      </c>
      <c r="L1386" t="str">
        <f t="shared" si="107"/>
        <v>Yes</v>
      </c>
      <c r="M1386" t="str">
        <f t="shared" si="109"/>
        <v>Yes</v>
      </c>
      <c r="N1386" t="str">
        <f t="shared" si="108"/>
        <v>Yes</v>
      </c>
    </row>
    <row r="1387" spans="1:14" x14ac:dyDescent="0.3">
      <c r="A1387" s="4" t="s">
        <v>2791</v>
      </c>
      <c r="B1387" s="4" t="s">
        <v>2792</v>
      </c>
      <c r="C1387" s="4" t="s">
        <v>27</v>
      </c>
      <c r="D1387" s="5">
        <v>45871</v>
      </c>
      <c r="E1387" s="5">
        <v>45877</v>
      </c>
      <c r="F1387" s="5">
        <v>45884</v>
      </c>
      <c r="G1387" s="4" t="s">
        <v>22</v>
      </c>
      <c r="H1387" s="4">
        <v>3</v>
      </c>
      <c r="I1387" s="2">
        <v>3</v>
      </c>
      <c r="J1387">
        <f t="shared" si="105"/>
        <v>13</v>
      </c>
      <c r="K1387">
        <f t="shared" si="106"/>
        <v>7</v>
      </c>
      <c r="L1387" t="str">
        <f t="shared" si="107"/>
        <v>No</v>
      </c>
      <c r="M1387" t="str">
        <f t="shared" si="109"/>
        <v>Yes</v>
      </c>
      <c r="N1387" t="str">
        <f t="shared" si="108"/>
        <v>No</v>
      </c>
    </row>
    <row r="1388" spans="1:14" x14ac:dyDescent="0.3">
      <c r="A1388" s="2" t="s">
        <v>2793</v>
      </c>
      <c r="B1388" s="2" t="s">
        <v>2794</v>
      </c>
      <c r="C1388" s="2" t="s">
        <v>34</v>
      </c>
      <c r="D1388" s="3">
        <v>45873</v>
      </c>
      <c r="E1388" s="3">
        <v>45875</v>
      </c>
      <c r="F1388" s="3">
        <v>45882</v>
      </c>
      <c r="G1388" s="2" t="s">
        <v>22</v>
      </c>
      <c r="H1388" s="2">
        <v>10</v>
      </c>
      <c r="I1388" s="2">
        <v>14</v>
      </c>
      <c r="J1388">
        <f t="shared" si="105"/>
        <v>9</v>
      </c>
      <c r="K1388">
        <f t="shared" si="106"/>
        <v>7</v>
      </c>
      <c r="L1388" t="str">
        <f t="shared" si="107"/>
        <v>No</v>
      </c>
      <c r="M1388" t="str">
        <f t="shared" si="109"/>
        <v>No</v>
      </c>
      <c r="N1388" t="str">
        <f t="shared" si="108"/>
        <v>No</v>
      </c>
    </row>
    <row r="1389" spans="1:14" x14ac:dyDescent="0.3">
      <c r="A1389" s="4" t="s">
        <v>2795</v>
      </c>
      <c r="B1389" s="4" t="s">
        <v>2796</v>
      </c>
      <c r="C1389" s="4" t="s">
        <v>59</v>
      </c>
      <c r="D1389" s="5">
        <v>45872</v>
      </c>
      <c r="E1389" s="5">
        <v>45878</v>
      </c>
      <c r="F1389" s="5">
        <v>45880</v>
      </c>
      <c r="G1389" s="4" t="s">
        <v>22</v>
      </c>
      <c r="H1389" s="4">
        <v>71</v>
      </c>
      <c r="I1389" s="2">
        <v>71</v>
      </c>
      <c r="J1389">
        <f t="shared" si="105"/>
        <v>8</v>
      </c>
      <c r="K1389">
        <f t="shared" si="106"/>
        <v>2</v>
      </c>
      <c r="L1389" t="str">
        <f t="shared" si="107"/>
        <v>No</v>
      </c>
      <c r="M1389" t="str">
        <f t="shared" si="109"/>
        <v>Yes</v>
      </c>
      <c r="N1389" t="str">
        <f t="shared" si="108"/>
        <v>No</v>
      </c>
    </row>
    <row r="1390" spans="1:14" x14ac:dyDescent="0.3">
      <c r="A1390" s="2" t="s">
        <v>2797</v>
      </c>
      <c r="B1390" s="2" t="s">
        <v>2798</v>
      </c>
      <c r="C1390" s="2" t="s">
        <v>21</v>
      </c>
      <c r="D1390" s="3">
        <v>45873</v>
      </c>
      <c r="E1390" s="3">
        <v>45875</v>
      </c>
      <c r="F1390" s="3">
        <v>45881</v>
      </c>
      <c r="G1390" s="2" t="s">
        <v>11</v>
      </c>
      <c r="H1390" s="2">
        <v>17</v>
      </c>
      <c r="I1390" s="2">
        <v>24</v>
      </c>
      <c r="J1390">
        <f t="shared" si="105"/>
        <v>8</v>
      </c>
      <c r="K1390">
        <f t="shared" si="106"/>
        <v>6</v>
      </c>
      <c r="L1390" t="str">
        <f t="shared" si="107"/>
        <v>No</v>
      </c>
      <c r="M1390" t="str">
        <f t="shared" si="109"/>
        <v>No</v>
      </c>
      <c r="N1390" t="str">
        <f t="shared" si="108"/>
        <v>No</v>
      </c>
    </row>
    <row r="1391" spans="1:14" x14ac:dyDescent="0.3">
      <c r="A1391" s="4" t="s">
        <v>2799</v>
      </c>
      <c r="B1391" s="4" t="s">
        <v>2800</v>
      </c>
      <c r="C1391" s="4" t="s">
        <v>37</v>
      </c>
      <c r="D1391" s="5">
        <v>45873</v>
      </c>
      <c r="E1391" s="5">
        <v>45877</v>
      </c>
      <c r="F1391" s="5">
        <v>45888</v>
      </c>
      <c r="G1391" s="4" t="s">
        <v>11</v>
      </c>
      <c r="H1391" s="4">
        <v>1</v>
      </c>
      <c r="I1391" s="2">
        <v>2</v>
      </c>
      <c r="J1391">
        <f t="shared" si="105"/>
        <v>15</v>
      </c>
      <c r="K1391">
        <f t="shared" si="106"/>
        <v>11</v>
      </c>
      <c r="L1391" t="str">
        <f t="shared" si="107"/>
        <v>No</v>
      </c>
      <c r="M1391" t="str">
        <f t="shared" si="109"/>
        <v>No</v>
      </c>
      <c r="N1391" t="str">
        <f t="shared" si="108"/>
        <v>No</v>
      </c>
    </row>
    <row r="1392" spans="1:14" x14ac:dyDescent="0.3">
      <c r="A1392" s="2" t="s">
        <v>2801</v>
      </c>
      <c r="B1392" s="2" t="s">
        <v>2802</v>
      </c>
      <c r="C1392" s="2" t="s">
        <v>72</v>
      </c>
      <c r="D1392" s="3">
        <v>45873</v>
      </c>
      <c r="E1392" s="3">
        <v>45877</v>
      </c>
      <c r="F1392" s="3">
        <v>45889</v>
      </c>
      <c r="G1392" s="2" t="s">
        <v>40</v>
      </c>
      <c r="H1392" s="2">
        <v>20</v>
      </c>
      <c r="I1392" s="2">
        <v>20</v>
      </c>
      <c r="J1392">
        <f t="shared" si="105"/>
        <v>16</v>
      </c>
      <c r="K1392">
        <f t="shared" si="106"/>
        <v>12</v>
      </c>
      <c r="L1392" t="str">
        <f t="shared" si="107"/>
        <v>No</v>
      </c>
      <c r="M1392" t="str">
        <f t="shared" si="109"/>
        <v>Yes</v>
      </c>
      <c r="N1392" t="str">
        <f t="shared" si="108"/>
        <v>No</v>
      </c>
    </row>
    <row r="1393" spans="1:14" x14ac:dyDescent="0.3">
      <c r="A1393" s="4" t="s">
        <v>2803</v>
      </c>
      <c r="B1393" s="4" t="s">
        <v>2804</v>
      </c>
      <c r="C1393" s="4" t="s">
        <v>14</v>
      </c>
      <c r="D1393" s="5">
        <v>45874</v>
      </c>
      <c r="E1393" s="5">
        <v>45883</v>
      </c>
      <c r="F1393" s="5">
        <v>45891</v>
      </c>
      <c r="G1393" s="4" t="s">
        <v>18</v>
      </c>
      <c r="H1393" s="4">
        <v>24</v>
      </c>
      <c r="I1393" s="2">
        <v>24</v>
      </c>
      <c r="J1393">
        <f t="shared" si="105"/>
        <v>17</v>
      </c>
      <c r="K1393">
        <f t="shared" si="106"/>
        <v>8</v>
      </c>
      <c r="L1393" t="str">
        <f t="shared" si="107"/>
        <v>No</v>
      </c>
      <c r="M1393" t="str">
        <f t="shared" si="109"/>
        <v>Yes</v>
      </c>
      <c r="N1393" t="str">
        <f t="shared" si="108"/>
        <v>No</v>
      </c>
    </row>
    <row r="1394" spans="1:14" x14ac:dyDescent="0.3">
      <c r="A1394" s="2" t="s">
        <v>2805</v>
      </c>
      <c r="B1394" s="2" t="s">
        <v>2806</v>
      </c>
      <c r="C1394" s="2" t="s">
        <v>21</v>
      </c>
      <c r="D1394" s="3">
        <v>45874</v>
      </c>
      <c r="E1394" s="3">
        <v>45879</v>
      </c>
      <c r="F1394" s="3">
        <v>45880</v>
      </c>
      <c r="G1394" s="2" t="s">
        <v>22</v>
      </c>
      <c r="H1394" s="2">
        <v>37</v>
      </c>
      <c r="I1394" s="2">
        <v>37</v>
      </c>
      <c r="J1394">
        <f t="shared" si="105"/>
        <v>6</v>
      </c>
      <c r="K1394">
        <f t="shared" si="106"/>
        <v>1</v>
      </c>
      <c r="L1394" t="str">
        <f t="shared" si="107"/>
        <v>No</v>
      </c>
      <c r="M1394" t="str">
        <f t="shared" si="109"/>
        <v>Yes</v>
      </c>
      <c r="N1394" t="str">
        <f t="shared" si="108"/>
        <v>No</v>
      </c>
    </row>
    <row r="1395" spans="1:14" x14ac:dyDescent="0.3">
      <c r="A1395" s="4" t="s">
        <v>2807</v>
      </c>
      <c r="B1395" s="4" t="s">
        <v>2808</v>
      </c>
      <c r="C1395" s="4" t="s">
        <v>27</v>
      </c>
      <c r="D1395" s="5">
        <v>45875</v>
      </c>
      <c r="E1395" s="5">
        <v>45876</v>
      </c>
      <c r="F1395" s="5">
        <v>45888</v>
      </c>
      <c r="G1395" s="4" t="s">
        <v>18</v>
      </c>
      <c r="H1395" s="4">
        <v>3</v>
      </c>
      <c r="I1395" s="2">
        <v>3</v>
      </c>
      <c r="J1395">
        <f t="shared" si="105"/>
        <v>13</v>
      </c>
      <c r="K1395">
        <f t="shared" si="106"/>
        <v>12</v>
      </c>
      <c r="L1395" t="str">
        <f t="shared" si="107"/>
        <v>No</v>
      </c>
      <c r="M1395" t="str">
        <f t="shared" si="109"/>
        <v>Yes</v>
      </c>
      <c r="N1395" t="str">
        <f t="shared" si="108"/>
        <v>No</v>
      </c>
    </row>
    <row r="1396" spans="1:14" x14ac:dyDescent="0.3">
      <c r="A1396" s="2" t="s">
        <v>2809</v>
      </c>
      <c r="B1396" s="2" t="s">
        <v>2810</v>
      </c>
      <c r="C1396" s="2" t="s">
        <v>27</v>
      </c>
      <c r="D1396" s="3">
        <v>45873</v>
      </c>
      <c r="E1396" s="3">
        <v>45878</v>
      </c>
      <c r="F1396" s="3">
        <v>45887</v>
      </c>
      <c r="G1396" s="2" t="s">
        <v>11</v>
      </c>
      <c r="H1396" s="2">
        <v>8</v>
      </c>
      <c r="I1396" s="2">
        <v>8</v>
      </c>
      <c r="J1396">
        <f t="shared" si="105"/>
        <v>14</v>
      </c>
      <c r="K1396">
        <f t="shared" si="106"/>
        <v>9</v>
      </c>
      <c r="L1396" t="str">
        <f t="shared" si="107"/>
        <v>No</v>
      </c>
      <c r="M1396" t="str">
        <f t="shared" si="109"/>
        <v>Yes</v>
      </c>
      <c r="N1396" t="str">
        <f t="shared" si="108"/>
        <v>No</v>
      </c>
    </row>
    <row r="1397" spans="1:14" x14ac:dyDescent="0.3">
      <c r="A1397" s="4" t="s">
        <v>2811</v>
      </c>
      <c r="B1397" s="4" t="s">
        <v>2812</v>
      </c>
      <c r="C1397" s="4" t="s">
        <v>34</v>
      </c>
      <c r="D1397" s="5">
        <v>45874</v>
      </c>
      <c r="E1397" s="5">
        <v>45883</v>
      </c>
      <c r="F1397" s="5">
        <v>45881</v>
      </c>
      <c r="G1397" s="4" t="s">
        <v>11</v>
      </c>
      <c r="H1397" s="4">
        <v>34</v>
      </c>
      <c r="I1397" s="2">
        <v>34</v>
      </c>
      <c r="J1397">
        <f t="shared" si="105"/>
        <v>7</v>
      </c>
      <c r="K1397">
        <f t="shared" si="106"/>
        <v>-2</v>
      </c>
      <c r="L1397" t="str">
        <f t="shared" si="107"/>
        <v>Yes</v>
      </c>
      <c r="M1397" t="str">
        <f t="shared" si="109"/>
        <v>Yes</v>
      </c>
      <c r="N1397" t="str">
        <f t="shared" si="108"/>
        <v>Yes</v>
      </c>
    </row>
    <row r="1398" spans="1:14" x14ac:dyDescent="0.3">
      <c r="A1398" s="2" t="s">
        <v>2813</v>
      </c>
      <c r="B1398" s="2" t="s">
        <v>2814</v>
      </c>
      <c r="C1398" s="2" t="s">
        <v>37</v>
      </c>
      <c r="D1398" s="3">
        <v>45876</v>
      </c>
      <c r="E1398" s="3">
        <v>45878</v>
      </c>
      <c r="F1398" s="3">
        <v>45890</v>
      </c>
      <c r="G1398" s="2" t="s">
        <v>22</v>
      </c>
      <c r="H1398" s="2">
        <v>14</v>
      </c>
      <c r="I1398" s="2">
        <v>14</v>
      </c>
      <c r="J1398">
        <f t="shared" si="105"/>
        <v>14</v>
      </c>
      <c r="K1398">
        <f t="shared" si="106"/>
        <v>12</v>
      </c>
      <c r="L1398" t="str">
        <f t="shared" si="107"/>
        <v>No</v>
      </c>
      <c r="M1398" t="str">
        <f t="shared" si="109"/>
        <v>Yes</v>
      </c>
      <c r="N1398" t="str">
        <f t="shared" si="108"/>
        <v>No</v>
      </c>
    </row>
    <row r="1399" spans="1:14" x14ac:dyDescent="0.3">
      <c r="A1399" s="4" t="s">
        <v>2815</v>
      </c>
      <c r="B1399" s="4" t="s">
        <v>2816</v>
      </c>
      <c r="C1399" s="4" t="s">
        <v>34</v>
      </c>
      <c r="D1399" s="5">
        <v>45876</v>
      </c>
      <c r="E1399" s="5">
        <v>45881</v>
      </c>
      <c r="F1399" s="5">
        <v>45884</v>
      </c>
      <c r="G1399" s="4" t="s">
        <v>40</v>
      </c>
      <c r="H1399" s="4">
        <v>35</v>
      </c>
      <c r="I1399" s="2">
        <v>35</v>
      </c>
      <c r="J1399">
        <f t="shared" si="105"/>
        <v>8</v>
      </c>
      <c r="K1399">
        <f t="shared" si="106"/>
        <v>3</v>
      </c>
      <c r="L1399" t="str">
        <f t="shared" si="107"/>
        <v>No</v>
      </c>
      <c r="M1399" t="str">
        <f t="shared" si="109"/>
        <v>Yes</v>
      </c>
      <c r="N1399" t="str">
        <f t="shared" si="108"/>
        <v>No</v>
      </c>
    </row>
    <row r="1400" spans="1:14" x14ac:dyDescent="0.3">
      <c r="A1400" s="2" t="s">
        <v>2817</v>
      </c>
      <c r="B1400" s="2" t="s">
        <v>2818</v>
      </c>
      <c r="C1400" s="2" t="s">
        <v>72</v>
      </c>
      <c r="D1400" s="3">
        <v>45876</v>
      </c>
      <c r="E1400" s="3">
        <v>45879</v>
      </c>
      <c r="F1400" s="3">
        <v>45890</v>
      </c>
      <c r="G1400" s="2" t="s">
        <v>11</v>
      </c>
      <c r="H1400" s="2">
        <v>9</v>
      </c>
      <c r="I1400" s="2">
        <v>12</v>
      </c>
      <c r="J1400">
        <f t="shared" si="105"/>
        <v>14</v>
      </c>
      <c r="K1400">
        <f t="shared" si="106"/>
        <v>11</v>
      </c>
      <c r="L1400" t="str">
        <f t="shared" si="107"/>
        <v>No</v>
      </c>
      <c r="M1400" t="str">
        <f t="shared" si="109"/>
        <v>No</v>
      </c>
      <c r="N1400" t="str">
        <f t="shared" si="108"/>
        <v>No</v>
      </c>
    </row>
    <row r="1401" spans="1:14" x14ac:dyDescent="0.3">
      <c r="A1401" s="4" t="s">
        <v>2819</v>
      </c>
      <c r="B1401" s="4" t="s">
        <v>2820</v>
      </c>
      <c r="C1401" s="4" t="s">
        <v>10</v>
      </c>
      <c r="D1401" s="5">
        <v>45875</v>
      </c>
      <c r="E1401" s="5">
        <v>45884</v>
      </c>
      <c r="F1401" s="5">
        <v>45880</v>
      </c>
      <c r="G1401" s="4" t="s">
        <v>11</v>
      </c>
      <c r="H1401" s="4">
        <v>37</v>
      </c>
      <c r="I1401" s="2">
        <v>37</v>
      </c>
      <c r="J1401">
        <f t="shared" si="105"/>
        <v>5</v>
      </c>
      <c r="K1401">
        <f t="shared" si="106"/>
        <v>-4</v>
      </c>
      <c r="L1401" t="str">
        <f t="shared" si="107"/>
        <v>Yes</v>
      </c>
      <c r="M1401" t="str">
        <f t="shared" si="109"/>
        <v>Yes</v>
      </c>
      <c r="N1401" t="str">
        <f t="shared" si="108"/>
        <v>Yes</v>
      </c>
    </row>
    <row r="1402" spans="1:14" x14ac:dyDescent="0.3">
      <c r="A1402" s="2" t="s">
        <v>2821</v>
      </c>
      <c r="B1402" s="2" t="s">
        <v>2822</v>
      </c>
      <c r="C1402" s="2" t="s">
        <v>10</v>
      </c>
      <c r="D1402" s="3">
        <v>45875</v>
      </c>
      <c r="E1402" s="3">
        <v>45882</v>
      </c>
      <c r="F1402" s="3">
        <v>45880</v>
      </c>
      <c r="G1402" s="2" t="s">
        <v>11</v>
      </c>
      <c r="H1402" s="2">
        <v>11</v>
      </c>
      <c r="I1402" s="2">
        <v>11</v>
      </c>
      <c r="J1402">
        <f t="shared" si="105"/>
        <v>5</v>
      </c>
      <c r="K1402">
        <f t="shared" si="106"/>
        <v>-2</v>
      </c>
      <c r="L1402" t="str">
        <f t="shared" si="107"/>
        <v>Yes</v>
      </c>
      <c r="M1402" t="str">
        <f t="shared" si="109"/>
        <v>Yes</v>
      </c>
      <c r="N1402" t="str">
        <f t="shared" si="108"/>
        <v>Yes</v>
      </c>
    </row>
    <row r="1403" spans="1:14" x14ac:dyDescent="0.3">
      <c r="A1403" s="4" t="s">
        <v>2823</v>
      </c>
      <c r="B1403" s="4" t="s">
        <v>2824</v>
      </c>
      <c r="C1403" s="4" t="s">
        <v>14</v>
      </c>
      <c r="D1403" s="5">
        <v>45875</v>
      </c>
      <c r="E1403" s="5">
        <v>45881</v>
      </c>
      <c r="F1403" s="5">
        <v>45894</v>
      </c>
      <c r="G1403" s="4" t="s">
        <v>15</v>
      </c>
      <c r="H1403" s="4">
        <v>18</v>
      </c>
      <c r="I1403" s="2">
        <v>18</v>
      </c>
      <c r="J1403">
        <f t="shared" si="105"/>
        <v>19</v>
      </c>
      <c r="K1403">
        <f t="shared" si="106"/>
        <v>13</v>
      </c>
      <c r="L1403" t="str">
        <f t="shared" si="107"/>
        <v>No</v>
      </c>
      <c r="M1403" t="str">
        <f t="shared" si="109"/>
        <v>Yes</v>
      </c>
      <c r="N1403" t="str">
        <f t="shared" si="108"/>
        <v>No</v>
      </c>
    </row>
    <row r="1404" spans="1:14" x14ac:dyDescent="0.3">
      <c r="A1404" s="2" t="s">
        <v>2825</v>
      </c>
      <c r="B1404" s="2" t="s">
        <v>2826</v>
      </c>
      <c r="C1404" s="2" t="s">
        <v>14</v>
      </c>
      <c r="D1404" s="3">
        <v>45875</v>
      </c>
      <c r="E1404" s="3">
        <v>45879</v>
      </c>
      <c r="F1404" s="3">
        <v>45891</v>
      </c>
      <c r="G1404" s="2" t="s">
        <v>22</v>
      </c>
      <c r="H1404" s="2">
        <v>39</v>
      </c>
      <c r="I1404" s="2">
        <v>39</v>
      </c>
      <c r="J1404">
        <f t="shared" si="105"/>
        <v>16</v>
      </c>
      <c r="K1404">
        <f t="shared" si="106"/>
        <v>12</v>
      </c>
      <c r="L1404" t="str">
        <f t="shared" si="107"/>
        <v>No</v>
      </c>
      <c r="M1404" t="str">
        <f t="shared" si="109"/>
        <v>Yes</v>
      </c>
      <c r="N1404" t="str">
        <f t="shared" si="108"/>
        <v>No</v>
      </c>
    </row>
    <row r="1405" spans="1:14" x14ac:dyDescent="0.3">
      <c r="A1405" s="4" t="s">
        <v>2827</v>
      </c>
      <c r="B1405" s="4" t="s">
        <v>2828</v>
      </c>
      <c r="C1405" s="4" t="s">
        <v>21</v>
      </c>
      <c r="D1405" s="5">
        <v>45875</v>
      </c>
      <c r="E1405" s="5">
        <v>45884</v>
      </c>
      <c r="F1405" s="5">
        <v>45885</v>
      </c>
      <c r="G1405" s="4" t="s">
        <v>18</v>
      </c>
      <c r="H1405" s="4">
        <v>6</v>
      </c>
      <c r="I1405" s="2">
        <v>6</v>
      </c>
      <c r="J1405">
        <f t="shared" si="105"/>
        <v>10</v>
      </c>
      <c r="K1405">
        <f t="shared" si="106"/>
        <v>1</v>
      </c>
      <c r="L1405" t="str">
        <f t="shared" si="107"/>
        <v>No</v>
      </c>
      <c r="M1405" t="str">
        <f t="shared" si="109"/>
        <v>Yes</v>
      </c>
      <c r="N1405" t="str">
        <f t="shared" si="108"/>
        <v>No</v>
      </c>
    </row>
    <row r="1406" spans="1:14" x14ac:dyDescent="0.3">
      <c r="A1406" s="2" t="s">
        <v>2829</v>
      </c>
      <c r="B1406" s="2" t="s">
        <v>2830</v>
      </c>
      <c r="C1406" s="2" t="s">
        <v>27</v>
      </c>
      <c r="D1406" s="3">
        <v>45876</v>
      </c>
      <c r="E1406" s="3">
        <v>45883</v>
      </c>
      <c r="F1406" s="3">
        <v>45889</v>
      </c>
      <c r="G1406" s="2" t="s">
        <v>40</v>
      </c>
      <c r="H1406" s="2">
        <v>9</v>
      </c>
      <c r="I1406" s="2">
        <v>9</v>
      </c>
      <c r="J1406">
        <f t="shared" si="105"/>
        <v>13</v>
      </c>
      <c r="K1406">
        <f t="shared" si="106"/>
        <v>6</v>
      </c>
      <c r="L1406" t="str">
        <f t="shared" si="107"/>
        <v>No</v>
      </c>
      <c r="M1406" t="str">
        <f t="shared" si="109"/>
        <v>Yes</v>
      </c>
      <c r="N1406" t="str">
        <f t="shared" si="108"/>
        <v>No</v>
      </c>
    </row>
    <row r="1407" spans="1:14" x14ac:dyDescent="0.3">
      <c r="A1407" s="4" t="s">
        <v>2831</v>
      </c>
      <c r="B1407" s="4" t="s">
        <v>2832</v>
      </c>
      <c r="C1407" s="4" t="s">
        <v>34</v>
      </c>
      <c r="D1407" s="5">
        <v>45877</v>
      </c>
      <c r="E1407" s="5">
        <v>45883</v>
      </c>
      <c r="F1407" s="5">
        <v>45885</v>
      </c>
      <c r="G1407" s="4" t="s">
        <v>40</v>
      </c>
      <c r="H1407" s="4">
        <v>2</v>
      </c>
      <c r="I1407" s="2">
        <v>10</v>
      </c>
      <c r="J1407">
        <f t="shared" si="105"/>
        <v>8</v>
      </c>
      <c r="K1407">
        <f t="shared" si="106"/>
        <v>2</v>
      </c>
      <c r="L1407" t="str">
        <f t="shared" si="107"/>
        <v>No</v>
      </c>
      <c r="M1407" t="str">
        <f t="shared" si="109"/>
        <v>No</v>
      </c>
      <c r="N1407" t="str">
        <f t="shared" si="108"/>
        <v>No</v>
      </c>
    </row>
    <row r="1408" spans="1:14" x14ac:dyDescent="0.3">
      <c r="A1408" s="2" t="s">
        <v>2833</v>
      </c>
      <c r="B1408" s="2" t="s">
        <v>2834</v>
      </c>
      <c r="C1408" s="2" t="s">
        <v>10</v>
      </c>
      <c r="D1408" s="3">
        <v>45877</v>
      </c>
      <c r="E1408" s="3">
        <v>45878</v>
      </c>
      <c r="F1408" s="3">
        <v>45882</v>
      </c>
      <c r="G1408" s="2" t="s">
        <v>11</v>
      </c>
      <c r="H1408" s="2">
        <v>23</v>
      </c>
      <c r="I1408" s="2">
        <v>23</v>
      </c>
      <c r="J1408">
        <f t="shared" si="105"/>
        <v>5</v>
      </c>
      <c r="K1408">
        <f t="shared" si="106"/>
        <v>4</v>
      </c>
      <c r="L1408" t="str">
        <f t="shared" si="107"/>
        <v>No</v>
      </c>
      <c r="M1408" t="str">
        <f t="shared" si="109"/>
        <v>Yes</v>
      </c>
      <c r="N1408" t="str">
        <f t="shared" si="108"/>
        <v>No</v>
      </c>
    </row>
    <row r="1409" spans="1:14" x14ac:dyDescent="0.3">
      <c r="A1409" s="4" t="s">
        <v>2835</v>
      </c>
      <c r="B1409" s="4" t="s">
        <v>2836</v>
      </c>
      <c r="C1409" s="4" t="s">
        <v>10</v>
      </c>
      <c r="D1409" s="5">
        <v>45877</v>
      </c>
      <c r="E1409" s="5">
        <v>45885</v>
      </c>
      <c r="F1409" s="5">
        <v>45881</v>
      </c>
      <c r="G1409" s="4" t="s">
        <v>22</v>
      </c>
      <c r="H1409" s="4">
        <v>10</v>
      </c>
      <c r="I1409" s="2">
        <v>10</v>
      </c>
      <c r="J1409">
        <f t="shared" si="105"/>
        <v>4</v>
      </c>
      <c r="K1409">
        <f t="shared" si="106"/>
        <v>-4</v>
      </c>
      <c r="L1409" t="str">
        <f t="shared" si="107"/>
        <v>Yes</v>
      </c>
      <c r="M1409" t="str">
        <f t="shared" si="109"/>
        <v>Yes</v>
      </c>
      <c r="N1409" t="str">
        <f t="shared" si="108"/>
        <v>Yes</v>
      </c>
    </row>
    <row r="1410" spans="1:14" x14ac:dyDescent="0.3">
      <c r="A1410" s="2" t="s">
        <v>2837</v>
      </c>
      <c r="B1410" s="2" t="s">
        <v>2838</v>
      </c>
      <c r="C1410" s="2" t="s">
        <v>14</v>
      </c>
      <c r="D1410" s="3">
        <v>45875</v>
      </c>
      <c r="E1410" s="3">
        <v>45881</v>
      </c>
      <c r="F1410" s="3">
        <v>45891</v>
      </c>
      <c r="G1410" s="2" t="s">
        <v>11</v>
      </c>
      <c r="H1410" s="2">
        <v>17</v>
      </c>
      <c r="I1410" s="2">
        <v>17</v>
      </c>
      <c r="J1410">
        <f t="shared" si="105"/>
        <v>16</v>
      </c>
      <c r="K1410">
        <f t="shared" si="106"/>
        <v>10</v>
      </c>
      <c r="L1410" t="str">
        <f t="shared" si="107"/>
        <v>No</v>
      </c>
      <c r="M1410" t="str">
        <f t="shared" si="109"/>
        <v>Yes</v>
      </c>
      <c r="N1410" t="str">
        <f t="shared" si="108"/>
        <v>No</v>
      </c>
    </row>
    <row r="1411" spans="1:14" x14ac:dyDescent="0.3">
      <c r="A1411" s="4" t="s">
        <v>2839</v>
      </c>
      <c r="B1411" s="4" t="s">
        <v>2840</v>
      </c>
      <c r="C1411" s="4" t="s">
        <v>21</v>
      </c>
      <c r="D1411" s="5">
        <v>45877</v>
      </c>
      <c r="E1411" s="5">
        <v>45884</v>
      </c>
      <c r="F1411" s="5">
        <v>45883</v>
      </c>
      <c r="G1411" s="4" t="s">
        <v>11</v>
      </c>
      <c r="H1411" s="4">
        <v>44</v>
      </c>
      <c r="I1411" s="2">
        <v>51</v>
      </c>
      <c r="J1411">
        <f t="shared" ref="J1411:J1474" si="110">F1411-D1411</f>
        <v>6</v>
      </c>
      <c r="K1411">
        <f t="shared" ref="K1411:K1474" si="111">F1411-E1411</f>
        <v>-1</v>
      </c>
      <c r="L1411" t="str">
        <f t="shared" ref="L1411:L1474" si="112">IF(K1411&lt;=0,"Yes","No")</f>
        <v>Yes</v>
      </c>
      <c r="M1411" t="str">
        <f t="shared" si="109"/>
        <v>No</v>
      </c>
      <c r="N1411" t="str">
        <f t="shared" ref="N1411:N1474" si="113">IF(AND(L1411="Yes",M1411="Yes"),"Yes","No")</f>
        <v>No</v>
      </c>
    </row>
    <row r="1412" spans="1:14" x14ac:dyDescent="0.3">
      <c r="A1412" s="2" t="s">
        <v>2841</v>
      </c>
      <c r="B1412" s="2" t="s">
        <v>2842</v>
      </c>
      <c r="C1412" s="2" t="s">
        <v>27</v>
      </c>
      <c r="D1412" s="3">
        <v>45876</v>
      </c>
      <c r="E1412" s="3">
        <v>45880</v>
      </c>
      <c r="F1412" s="3">
        <v>45893</v>
      </c>
      <c r="G1412" s="2" t="s">
        <v>22</v>
      </c>
      <c r="H1412" s="2">
        <v>13</v>
      </c>
      <c r="I1412" s="2">
        <v>13</v>
      </c>
      <c r="J1412">
        <f t="shared" si="110"/>
        <v>17</v>
      </c>
      <c r="K1412">
        <f t="shared" si="111"/>
        <v>13</v>
      </c>
      <c r="L1412" t="str">
        <f t="shared" si="112"/>
        <v>No</v>
      </c>
      <c r="M1412" t="str">
        <f t="shared" ref="M1412:M1475" si="114">IF(H1412=I1412,"Yes","No")</f>
        <v>Yes</v>
      </c>
      <c r="N1412" t="str">
        <f t="shared" si="113"/>
        <v>No</v>
      </c>
    </row>
    <row r="1413" spans="1:14" x14ac:dyDescent="0.3">
      <c r="A1413" s="4" t="s">
        <v>2843</v>
      </c>
      <c r="B1413" s="4" t="s">
        <v>2844</v>
      </c>
      <c r="C1413" s="4" t="s">
        <v>37</v>
      </c>
      <c r="D1413" s="5">
        <v>45878</v>
      </c>
      <c r="E1413" s="5">
        <v>45879</v>
      </c>
      <c r="F1413" s="5">
        <v>45895</v>
      </c>
      <c r="G1413" s="4" t="s">
        <v>18</v>
      </c>
      <c r="H1413" s="4">
        <v>32</v>
      </c>
      <c r="I1413" s="2">
        <v>32</v>
      </c>
      <c r="J1413">
        <f t="shared" si="110"/>
        <v>17</v>
      </c>
      <c r="K1413">
        <f t="shared" si="111"/>
        <v>16</v>
      </c>
      <c r="L1413" t="str">
        <f t="shared" si="112"/>
        <v>No</v>
      </c>
      <c r="M1413" t="str">
        <f t="shared" si="114"/>
        <v>Yes</v>
      </c>
      <c r="N1413" t="str">
        <f t="shared" si="113"/>
        <v>No</v>
      </c>
    </row>
    <row r="1414" spans="1:14" x14ac:dyDescent="0.3">
      <c r="A1414" s="2" t="s">
        <v>2845</v>
      </c>
      <c r="B1414" s="2" t="s">
        <v>2846</v>
      </c>
      <c r="C1414" s="2" t="s">
        <v>37</v>
      </c>
      <c r="D1414" s="3">
        <v>45877</v>
      </c>
      <c r="E1414" s="3">
        <v>45879</v>
      </c>
      <c r="F1414" s="3">
        <v>45892</v>
      </c>
      <c r="G1414" s="2" t="s">
        <v>11</v>
      </c>
      <c r="H1414" s="2">
        <v>31</v>
      </c>
      <c r="I1414" s="2">
        <v>31</v>
      </c>
      <c r="J1414">
        <f t="shared" si="110"/>
        <v>15</v>
      </c>
      <c r="K1414">
        <f t="shared" si="111"/>
        <v>13</v>
      </c>
      <c r="L1414" t="str">
        <f t="shared" si="112"/>
        <v>No</v>
      </c>
      <c r="M1414" t="str">
        <f t="shared" si="114"/>
        <v>Yes</v>
      </c>
      <c r="N1414" t="str">
        <f t="shared" si="113"/>
        <v>No</v>
      </c>
    </row>
    <row r="1415" spans="1:14" x14ac:dyDescent="0.3">
      <c r="A1415" s="4" t="s">
        <v>2847</v>
      </c>
      <c r="B1415" s="4" t="s">
        <v>2848</v>
      </c>
      <c r="C1415" s="4" t="s">
        <v>14</v>
      </c>
      <c r="D1415" s="5">
        <v>45878</v>
      </c>
      <c r="E1415" s="5">
        <v>45885</v>
      </c>
      <c r="F1415" s="5">
        <v>45895</v>
      </c>
      <c r="G1415" s="4" t="s">
        <v>22</v>
      </c>
      <c r="H1415" s="4">
        <v>12</v>
      </c>
      <c r="I1415" s="2">
        <v>12</v>
      </c>
      <c r="J1415">
        <f t="shared" si="110"/>
        <v>17</v>
      </c>
      <c r="K1415">
        <f t="shared" si="111"/>
        <v>10</v>
      </c>
      <c r="L1415" t="str">
        <f t="shared" si="112"/>
        <v>No</v>
      </c>
      <c r="M1415" t="str">
        <f t="shared" si="114"/>
        <v>Yes</v>
      </c>
      <c r="N1415" t="str">
        <f t="shared" si="113"/>
        <v>No</v>
      </c>
    </row>
    <row r="1416" spans="1:14" x14ac:dyDescent="0.3">
      <c r="A1416" s="2" t="s">
        <v>2849</v>
      </c>
      <c r="B1416" s="2" t="s">
        <v>2850</v>
      </c>
      <c r="C1416" s="2" t="s">
        <v>21</v>
      </c>
      <c r="D1416" s="3">
        <v>45876</v>
      </c>
      <c r="E1416" s="3">
        <v>45884</v>
      </c>
      <c r="F1416" s="3">
        <v>45882</v>
      </c>
      <c r="G1416" s="2" t="s">
        <v>18</v>
      </c>
      <c r="H1416" s="2">
        <v>37</v>
      </c>
      <c r="I1416" s="2">
        <v>37</v>
      </c>
      <c r="J1416">
        <f t="shared" si="110"/>
        <v>6</v>
      </c>
      <c r="K1416">
        <f t="shared" si="111"/>
        <v>-2</v>
      </c>
      <c r="L1416" t="str">
        <f t="shared" si="112"/>
        <v>Yes</v>
      </c>
      <c r="M1416" t="str">
        <f t="shared" si="114"/>
        <v>Yes</v>
      </c>
      <c r="N1416" t="str">
        <f t="shared" si="113"/>
        <v>Yes</v>
      </c>
    </row>
    <row r="1417" spans="1:14" x14ac:dyDescent="0.3">
      <c r="A1417" s="4" t="s">
        <v>2851</v>
      </c>
      <c r="B1417" s="4" t="s">
        <v>2852</v>
      </c>
      <c r="C1417" s="4" t="s">
        <v>21</v>
      </c>
      <c r="D1417" s="5">
        <v>45877</v>
      </c>
      <c r="E1417" s="5">
        <v>45879</v>
      </c>
      <c r="F1417" s="5">
        <v>45883</v>
      </c>
      <c r="G1417" s="4" t="s">
        <v>15</v>
      </c>
      <c r="H1417" s="4">
        <v>49</v>
      </c>
      <c r="I1417" s="2">
        <v>49</v>
      </c>
      <c r="J1417">
        <f t="shared" si="110"/>
        <v>6</v>
      </c>
      <c r="K1417">
        <f t="shared" si="111"/>
        <v>4</v>
      </c>
      <c r="L1417" t="str">
        <f t="shared" si="112"/>
        <v>No</v>
      </c>
      <c r="M1417" t="str">
        <f t="shared" si="114"/>
        <v>Yes</v>
      </c>
      <c r="N1417" t="str">
        <f t="shared" si="113"/>
        <v>No</v>
      </c>
    </row>
    <row r="1418" spans="1:14" x14ac:dyDescent="0.3">
      <c r="A1418" s="2" t="s">
        <v>2853</v>
      </c>
      <c r="B1418" s="2" t="s">
        <v>2854</v>
      </c>
      <c r="C1418" s="2" t="s">
        <v>21</v>
      </c>
      <c r="D1418" s="3">
        <v>45876</v>
      </c>
      <c r="E1418" s="3">
        <v>45883</v>
      </c>
      <c r="F1418" s="3">
        <v>45883</v>
      </c>
      <c r="G1418" s="2" t="s">
        <v>11</v>
      </c>
      <c r="H1418" s="2">
        <v>22</v>
      </c>
      <c r="I1418" s="2">
        <v>22</v>
      </c>
      <c r="J1418">
        <f t="shared" si="110"/>
        <v>7</v>
      </c>
      <c r="K1418">
        <f t="shared" si="111"/>
        <v>0</v>
      </c>
      <c r="L1418" t="str">
        <f t="shared" si="112"/>
        <v>Yes</v>
      </c>
      <c r="M1418" t="str">
        <f t="shared" si="114"/>
        <v>Yes</v>
      </c>
      <c r="N1418" t="str">
        <f t="shared" si="113"/>
        <v>Yes</v>
      </c>
    </row>
    <row r="1419" spans="1:14" x14ac:dyDescent="0.3">
      <c r="A1419" s="4" t="s">
        <v>2855</v>
      </c>
      <c r="B1419" s="4" t="s">
        <v>2856</v>
      </c>
      <c r="C1419" s="4" t="s">
        <v>27</v>
      </c>
      <c r="D1419" s="5">
        <v>45877</v>
      </c>
      <c r="E1419" s="5">
        <v>45881</v>
      </c>
      <c r="F1419" s="5">
        <v>45890</v>
      </c>
      <c r="G1419" s="4" t="s">
        <v>40</v>
      </c>
      <c r="H1419" s="4">
        <v>5</v>
      </c>
      <c r="I1419" s="2">
        <v>5</v>
      </c>
      <c r="J1419">
        <f t="shared" si="110"/>
        <v>13</v>
      </c>
      <c r="K1419">
        <f t="shared" si="111"/>
        <v>9</v>
      </c>
      <c r="L1419" t="str">
        <f t="shared" si="112"/>
        <v>No</v>
      </c>
      <c r="M1419" t="str">
        <f t="shared" si="114"/>
        <v>Yes</v>
      </c>
      <c r="N1419" t="str">
        <f t="shared" si="113"/>
        <v>No</v>
      </c>
    </row>
    <row r="1420" spans="1:14" x14ac:dyDescent="0.3">
      <c r="A1420" s="2" t="s">
        <v>2857</v>
      </c>
      <c r="B1420" s="2" t="s">
        <v>2858</v>
      </c>
      <c r="C1420" s="2" t="s">
        <v>27</v>
      </c>
      <c r="D1420" s="3">
        <v>45876</v>
      </c>
      <c r="E1420" s="3">
        <v>45879</v>
      </c>
      <c r="F1420" s="3">
        <v>45889</v>
      </c>
      <c r="G1420" s="2" t="s">
        <v>22</v>
      </c>
      <c r="H1420" s="2">
        <v>8</v>
      </c>
      <c r="I1420" s="2">
        <v>8</v>
      </c>
      <c r="J1420">
        <f t="shared" si="110"/>
        <v>13</v>
      </c>
      <c r="K1420">
        <f t="shared" si="111"/>
        <v>10</v>
      </c>
      <c r="L1420" t="str">
        <f t="shared" si="112"/>
        <v>No</v>
      </c>
      <c r="M1420" t="str">
        <f t="shared" si="114"/>
        <v>Yes</v>
      </c>
      <c r="N1420" t="str">
        <f t="shared" si="113"/>
        <v>No</v>
      </c>
    </row>
    <row r="1421" spans="1:14" x14ac:dyDescent="0.3">
      <c r="A1421" s="4" t="s">
        <v>2859</v>
      </c>
      <c r="B1421" s="4" t="s">
        <v>2860</v>
      </c>
      <c r="C1421" s="4" t="s">
        <v>34</v>
      </c>
      <c r="D1421" s="5">
        <v>45879</v>
      </c>
      <c r="E1421" s="5">
        <v>45885</v>
      </c>
      <c r="F1421" s="5">
        <v>45886</v>
      </c>
      <c r="G1421" s="4" t="s">
        <v>22</v>
      </c>
      <c r="H1421" s="4">
        <v>38</v>
      </c>
      <c r="I1421" s="2">
        <v>38</v>
      </c>
      <c r="J1421">
        <f t="shared" si="110"/>
        <v>7</v>
      </c>
      <c r="K1421">
        <f t="shared" si="111"/>
        <v>1</v>
      </c>
      <c r="L1421" t="str">
        <f t="shared" si="112"/>
        <v>No</v>
      </c>
      <c r="M1421" t="str">
        <f t="shared" si="114"/>
        <v>Yes</v>
      </c>
      <c r="N1421" t="str">
        <f t="shared" si="113"/>
        <v>No</v>
      </c>
    </row>
    <row r="1422" spans="1:14" x14ac:dyDescent="0.3">
      <c r="A1422" s="2" t="s">
        <v>2861</v>
      </c>
      <c r="B1422" s="2" t="s">
        <v>2862</v>
      </c>
      <c r="C1422" s="2" t="s">
        <v>34</v>
      </c>
      <c r="D1422" s="3">
        <v>45879</v>
      </c>
      <c r="E1422" s="3">
        <v>45881</v>
      </c>
      <c r="F1422" s="3">
        <v>45888</v>
      </c>
      <c r="G1422" s="2" t="s">
        <v>22</v>
      </c>
      <c r="H1422" s="2">
        <v>16</v>
      </c>
      <c r="I1422" s="2">
        <v>16</v>
      </c>
      <c r="J1422">
        <f t="shared" si="110"/>
        <v>9</v>
      </c>
      <c r="K1422">
        <f t="shared" si="111"/>
        <v>7</v>
      </c>
      <c r="L1422" t="str">
        <f t="shared" si="112"/>
        <v>No</v>
      </c>
      <c r="M1422" t="str">
        <f t="shared" si="114"/>
        <v>Yes</v>
      </c>
      <c r="N1422" t="str">
        <f t="shared" si="113"/>
        <v>No</v>
      </c>
    </row>
    <row r="1423" spans="1:14" x14ac:dyDescent="0.3">
      <c r="A1423" s="4" t="s">
        <v>2863</v>
      </c>
      <c r="B1423" s="4" t="s">
        <v>2864</v>
      </c>
      <c r="C1423" s="4" t="s">
        <v>10</v>
      </c>
      <c r="D1423" s="5">
        <v>45877</v>
      </c>
      <c r="E1423" s="5">
        <v>45883</v>
      </c>
      <c r="F1423" s="5">
        <v>45882</v>
      </c>
      <c r="G1423" s="4" t="s">
        <v>40</v>
      </c>
      <c r="H1423" s="4">
        <v>39</v>
      </c>
      <c r="I1423" s="2">
        <v>39</v>
      </c>
      <c r="J1423">
        <f t="shared" si="110"/>
        <v>5</v>
      </c>
      <c r="K1423">
        <f t="shared" si="111"/>
        <v>-1</v>
      </c>
      <c r="L1423" t="str">
        <f t="shared" si="112"/>
        <v>Yes</v>
      </c>
      <c r="M1423" t="str">
        <f t="shared" si="114"/>
        <v>Yes</v>
      </c>
      <c r="N1423" t="str">
        <f t="shared" si="113"/>
        <v>Yes</v>
      </c>
    </row>
    <row r="1424" spans="1:14" x14ac:dyDescent="0.3">
      <c r="A1424" s="2" t="s">
        <v>2865</v>
      </c>
      <c r="B1424" s="2" t="s">
        <v>2866</v>
      </c>
      <c r="C1424" s="2" t="s">
        <v>59</v>
      </c>
      <c r="D1424" s="3">
        <v>45877</v>
      </c>
      <c r="E1424" s="3">
        <v>45887</v>
      </c>
      <c r="F1424" s="3">
        <v>45885</v>
      </c>
      <c r="G1424" s="2" t="s">
        <v>11</v>
      </c>
      <c r="H1424" s="2">
        <v>9</v>
      </c>
      <c r="I1424" s="2">
        <v>9</v>
      </c>
      <c r="J1424">
        <f t="shared" si="110"/>
        <v>8</v>
      </c>
      <c r="K1424">
        <f t="shared" si="111"/>
        <v>-2</v>
      </c>
      <c r="L1424" t="str">
        <f t="shared" si="112"/>
        <v>Yes</v>
      </c>
      <c r="M1424" t="str">
        <f t="shared" si="114"/>
        <v>Yes</v>
      </c>
      <c r="N1424" t="str">
        <f t="shared" si="113"/>
        <v>Yes</v>
      </c>
    </row>
    <row r="1425" spans="1:14" x14ac:dyDescent="0.3">
      <c r="A1425" s="4" t="s">
        <v>2867</v>
      </c>
      <c r="B1425" s="4" t="s">
        <v>2868</v>
      </c>
      <c r="C1425" s="4" t="s">
        <v>59</v>
      </c>
      <c r="D1425" s="5">
        <v>45879</v>
      </c>
      <c r="E1425" s="5">
        <v>45882</v>
      </c>
      <c r="F1425" s="5">
        <v>45883</v>
      </c>
      <c r="G1425" s="4" t="s">
        <v>18</v>
      </c>
      <c r="H1425" s="4">
        <v>17</v>
      </c>
      <c r="I1425" s="2">
        <v>17</v>
      </c>
      <c r="J1425">
        <f t="shared" si="110"/>
        <v>4</v>
      </c>
      <c r="K1425">
        <f t="shared" si="111"/>
        <v>1</v>
      </c>
      <c r="L1425" t="str">
        <f t="shared" si="112"/>
        <v>No</v>
      </c>
      <c r="M1425" t="str">
        <f t="shared" si="114"/>
        <v>Yes</v>
      </c>
      <c r="N1425" t="str">
        <f t="shared" si="113"/>
        <v>No</v>
      </c>
    </row>
    <row r="1426" spans="1:14" x14ac:dyDescent="0.3">
      <c r="A1426" s="2" t="s">
        <v>2869</v>
      </c>
      <c r="B1426" s="2" t="s">
        <v>2870</v>
      </c>
      <c r="C1426" s="2" t="s">
        <v>21</v>
      </c>
      <c r="D1426" s="3">
        <v>45877</v>
      </c>
      <c r="E1426" s="3">
        <v>45885</v>
      </c>
      <c r="F1426" s="3">
        <v>45883</v>
      </c>
      <c r="G1426" s="2" t="s">
        <v>11</v>
      </c>
      <c r="H1426" s="2">
        <v>57</v>
      </c>
      <c r="I1426" s="2">
        <v>57</v>
      </c>
      <c r="J1426">
        <f t="shared" si="110"/>
        <v>6</v>
      </c>
      <c r="K1426">
        <f t="shared" si="111"/>
        <v>-2</v>
      </c>
      <c r="L1426" t="str">
        <f t="shared" si="112"/>
        <v>Yes</v>
      </c>
      <c r="M1426" t="str">
        <f t="shared" si="114"/>
        <v>Yes</v>
      </c>
      <c r="N1426" t="str">
        <f t="shared" si="113"/>
        <v>Yes</v>
      </c>
    </row>
    <row r="1427" spans="1:14" x14ac:dyDescent="0.3">
      <c r="A1427" s="4" t="s">
        <v>2871</v>
      </c>
      <c r="B1427" s="4" t="s">
        <v>2872</v>
      </c>
      <c r="C1427" s="4" t="s">
        <v>27</v>
      </c>
      <c r="D1427" s="5">
        <v>45878</v>
      </c>
      <c r="E1427" s="5">
        <v>45886</v>
      </c>
      <c r="F1427" s="5">
        <v>45890</v>
      </c>
      <c r="G1427" s="4" t="s">
        <v>22</v>
      </c>
      <c r="H1427" s="4">
        <v>13</v>
      </c>
      <c r="I1427" s="2">
        <v>13</v>
      </c>
      <c r="J1427">
        <f t="shared" si="110"/>
        <v>12</v>
      </c>
      <c r="K1427">
        <f t="shared" si="111"/>
        <v>4</v>
      </c>
      <c r="L1427" t="str">
        <f t="shared" si="112"/>
        <v>No</v>
      </c>
      <c r="M1427" t="str">
        <f t="shared" si="114"/>
        <v>Yes</v>
      </c>
      <c r="N1427" t="str">
        <f t="shared" si="113"/>
        <v>No</v>
      </c>
    </row>
    <row r="1428" spans="1:14" x14ac:dyDescent="0.3">
      <c r="A1428" s="2" t="s">
        <v>2873</v>
      </c>
      <c r="B1428" s="2" t="s">
        <v>2874</v>
      </c>
      <c r="C1428" s="2" t="s">
        <v>27</v>
      </c>
      <c r="D1428" s="3">
        <v>45879</v>
      </c>
      <c r="E1428" s="3">
        <v>45880</v>
      </c>
      <c r="F1428" s="3">
        <v>45892</v>
      </c>
      <c r="G1428" s="2" t="s">
        <v>15</v>
      </c>
      <c r="H1428" s="2">
        <v>8</v>
      </c>
      <c r="I1428" s="2">
        <v>8</v>
      </c>
      <c r="J1428">
        <f t="shared" si="110"/>
        <v>13</v>
      </c>
      <c r="K1428">
        <f t="shared" si="111"/>
        <v>12</v>
      </c>
      <c r="L1428" t="str">
        <f t="shared" si="112"/>
        <v>No</v>
      </c>
      <c r="M1428" t="str">
        <f t="shared" si="114"/>
        <v>Yes</v>
      </c>
      <c r="N1428" t="str">
        <f t="shared" si="113"/>
        <v>No</v>
      </c>
    </row>
    <row r="1429" spans="1:14" x14ac:dyDescent="0.3">
      <c r="A1429" s="4" t="s">
        <v>2875</v>
      </c>
      <c r="B1429" s="4" t="s">
        <v>2876</v>
      </c>
      <c r="C1429" s="4" t="s">
        <v>37</v>
      </c>
      <c r="D1429" s="5">
        <v>45878</v>
      </c>
      <c r="E1429" s="5">
        <v>45881</v>
      </c>
      <c r="F1429" s="5">
        <v>45890</v>
      </c>
      <c r="G1429" s="4" t="s">
        <v>15</v>
      </c>
      <c r="H1429" s="4">
        <v>27</v>
      </c>
      <c r="I1429" s="2">
        <v>27</v>
      </c>
      <c r="J1429">
        <f t="shared" si="110"/>
        <v>12</v>
      </c>
      <c r="K1429">
        <f t="shared" si="111"/>
        <v>9</v>
      </c>
      <c r="L1429" t="str">
        <f t="shared" si="112"/>
        <v>No</v>
      </c>
      <c r="M1429" t="str">
        <f t="shared" si="114"/>
        <v>Yes</v>
      </c>
      <c r="N1429" t="str">
        <f t="shared" si="113"/>
        <v>No</v>
      </c>
    </row>
    <row r="1430" spans="1:14" x14ac:dyDescent="0.3">
      <c r="A1430" s="2" t="s">
        <v>2877</v>
      </c>
      <c r="B1430" s="2" t="s">
        <v>2878</v>
      </c>
      <c r="C1430" s="2" t="s">
        <v>10</v>
      </c>
      <c r="D1430" s="3">
        <v>45878</v>
      </c>
      <c r="E1430" s="3">
        <v>45882</v>
      </c>
      <c r="F1430" s="3">
        <v>45887</v>
      </c>
      <c r="G1430" s="2" t="s">
        <v>22</v>
      </c>
      <c r="H1430" s="2">
        <v>19</v>
      </c>
      <c r="I1430" s="2">
        <v>19</v>
      </c>
      <c r="J1430">
        <f t="shared" si="110"/>
        <v>9</v>
      </c>
      <c r="K1430">
        <f t="shared" si="111"/>
        <v>5</v>
      </c>
      <c r="L1430" t="str">
        <f t="shared" si="112"/>
        <v>No</v>
      </c>
      <c r="M1430" t="str">
        <f t="shared" si="114"/>
        <v>Yes</v>
      </c>
      <c r="N1430" t="str">
        <f t="shared" si="113"/>
        <v>No</v>
      </c>
    </row>
    <row r="1431" spans="1:14" x14ac:dyDescent="0.3">
      <c r="A1431" s="4" t="s">
        <v>2879</v>
      </c>
      <c r="B1431" s="4" t="s">
        <v>2880</v>
      </c>
      <c r="C1431" s="4" t="s">
        <v>59</v>
      </c>
      <c r="D1431" s="5">
        <v>45878</v>
      </c>
      <c r="E1431" s="5">
        <v>45887</v>
      </c>
      <c r="F1431" s="5">
        <v>45884</v>
      </c>
      <c r="G1431" s="4" t="s">
        <v>15</v>
      </c>
      <c r="H1431" s="4">
        <v>5</v>
      </c>
      <c r="I1431" s="2">
        <v>5</v>
      </c>
      <c r="J1431">
        <f t="shared" si="110"/>
        <v>6</v>
      </c>
      <c r="K1431">
        <f t="shared" si="111"/>
        <v>-3</v>
      </c>
      <c r="L1431" t="str">
        <f t="shared" si="112"/>
        <v>Yes</v>
      </c>
      <c r="M1431" t="str">
        <f t="shared" si="114"/>
        <v>Yes</v>
      </c>
      <c r="N1431" t="str">
        <f t="shared" si="113"/>
        <v>Yes</v>
      </c>
    </row>
    <row r="1432" spans="1:14" x14ac:dyDescent="0.3">
      <c r="A1432" s="2" t="s">
        <v>2881</v>
      </c>
      <c r="B1432" s="2" t="s">
        <v>2882</v>
      </c>
      <c r="C1432" s="2" t="s">
        <v>14</v>
      </c>
      <c r="D1432" s="3">
        <v>45880</v>
      </c>
      <c r="E1432" s="3">
        <v>45881</v>
      </c>
      <c r="F1432" s="3">
        <v>45897</v>
      </c>
      <c r="G1432" s="2" t="s">
        <v>22</v>
      </c>
      <c r="H1432" s="2">
        <v>58</v>
      </c>
      <c r="I1432" s="2">
        <v>58</v>
      </c>
      <c r="J1432">
        <f t="shared" si="110"/>
        <v>17</v>
      </c>
      <c r="K1432">
        <f t="shared" si="111"/>
        <v>16</v>
      </c>
      <c r="L1432" t="str">
        <f t="shared" si="112"/>
        <v>No</v>
      </c>
      <c r="M1432" t="str">
        <f t="shared" si="114"/>
        <v>Yes</v>
      </c>
      <c r="N1432" t="str">
        <f t="shared" si="113"/>
        <v>No</v>
      </c>
    </row>
    <row r="1433" spans="1:14" x14ac:dyDescent="0.3">
      <c r="A1433" s="4" t="s">
        <v>2883</v>
      </c>
      <c r="B1433" s="4" t="s">
        <v>2884</v>
      </c>
      <c r="C1433" s="4" t="s">
        <v>21</v>
      </c>
      <c r="D1433" s="5">
        <v>45880</v>
      </c>
      <c r="E1433" s="5">
        <v>45884</v>
      </c>
      <c r="F1433" s="5">
        <v>45886</v>
      </c>
      <c r="G1433" s="4" t="s">
        <v>18</v>
      </c>
      <c r="H1433" s="4">
        <v>39</v>
      </c>
      <c r="I1433" s="2">
        <v>39</v>
      </c>
      <c r="J1433">
        <f t="shared" si="110"/>
        <v>6</v>
      </c>
      <c r="K1433">
        <f t="shared" si="111"/>
        <v>2</v>
      </c>
      <c r="L1433" t="str">
        <f t="shared" si="112"/>
        <v>No</v>
      </c>
      <c r="M1433" t="str">
        <f t="shared" si="114"/>
        <v>Yes</v>
      </c>
      <c r="N1433" t="str">
        <f t="shared" si="113"/>
        <v>No</v>
      </c>
    </row>
    <row r="1434" spans="1:14" x14ac:dyDescent="0.3">
      <c r="A1434" s="2" t="s">
        <v>2885</v>
      </c>
      <c r="B1434" s="2" t="s">
        <v>2886</v>
      </c>
      <c r="C1434" s="2" t="s">
        <v>27</v>
      </c>
      <c r="D1434" s="3">
        <v>45879</v>
      </c>
      <c r="E1434" s="3">
        <v>45881</v>
      </c>
      <c r="F1434" s="3">
        <v>45892</v>
      </c>
      <c r="G1434" s="2" t="s">
        <v>11</v>
      </c>
      <c r="H1434" s="2">
        <v>32</v>
      </c>
      <c r="I1434" s="2">
        <v>32</v>
      </c>
      <c r="J1434">
        <f t="shared" si="110"/>
        <v>13</v>
      </c>
      <c r="K1434">
        <f t="shared" si="111"/>
        <v>11</v>
      </c>
      <c r="L1434" t="str">
        <f t="shared" si="112"/>
        <v>No</v>
      </c>
      <c r="M1434" t="str">
        <f t="shared" si="114"/>
        <v>Yes</v>
      </c>
      <c r="N1434" t="str">
        <f t="shared" si="113"/>
        <v>No</v>
      </c>
    </row>
    <row r="1435" spans="1:14" x14ac:dyDescent="0.3">
      <c r="A1435" s="4" t="s">
        <v>2887</v>
      </c>
      <c r="B1435" s="4" t="s">
        <v>2888</v>
      </c>
      <c r="C1435" s="4" t="s">
        <v>27</v>
      </c>
      <c r="D1435" s="5">
        <v>45879</v>
      </c>
      <c r="E1435" s="5">
        <v>45883</v>
      </c>
      <c r="F1435" s="5">
        <v>45892</v>
      </c>
      <c r="G1435" s="4" t="s">
        <v>18</v>
      </c>
      <c r="H1435" s="4">
        <v>9</v>
      </c>
      <c r="I1435" s="2">
        <v>9</v>
      </c>
      <c r="J1435">
        <f t="shared" si="110"/>
        <v>13</v>
      </c>
      <c r="K1435">
        <f t="shared" si="111"/>
        <v>9</v>
      </c>
      <c r="L1435" t="str">
        <f t="shared" si="112"/>
        <v>No</v>
      </c>
      <c r="M1435" t="str">
        <f t="shared" si="114"/>
        <v>Yes</v>
      </c>
      <c r="N1435" t="str">
        <f t="shared" si="113"/>
        <v>No</v>
      </c>
    </row>
    <row r="1436" spans="1:14" x14ac:dyDescent="0.3">
      <c r="A1436" s="2" t="s">
        <v>2889</v>
      </c>
      <c r="B1436" s="2" t="s">
        <v>2890</v>
      </c>
      <c r="C1436" s="2" t="s">
        <v>34</v>
      </c>
      <c r="D1436" s="3">
        <v>45879</v>
      </c>
      <c r="E1436" s="3">
        <v>45882</v>
      </c>
      <c r="F1436" s="3">
        <v>45886</v>
      </c>
      <c r="G1436" s="2" t="s">
        <v>40</v>
      </c>
      <c r="H1436" s="2">
        <v>20</v>
      </c>
      <c r="I1436" s="2">
        <v>20</v>
      </c>
      <c r="J1436">
        <f t="shared" si="110"/>
        <v>7</v>
      </c>
      <c r="K1436">
        <f t="shared" si="111"/>
        <v>4</v>
      </c>
      <c r="L1436" t="str">
        <f t="shared" si="112"/>
        <v>No</v>
      </c>
      <c r="M1436" t="str">
        <f t="shared" si="114"/>
        <v>Yes</v>
      </c>
      <c r="N1436" t="str">
        <f t="shared" si="113"/>
        <v>No</v>
      </c>
    </row>
    <row r="1437" spans="1:14" x14ac:dyDescent="0.3">
      <c r="A1437" s="4" t="s">
        <v>2891</v>
      </c>
      <c r="B1437" s="4" t="s">
        <v>2892</v>
      </c>
      <c r="C1437" s="4" t="s">
        <v>72</v>
      </c>
      <c r="D1437" s="5">
        <v>45880</v>
      </c>
      <c r="E1437" s="5">
        <v>45886</v>
      </c>
      <c r="F1437" s="5">
        <v>45893</v>
      </c>
      <c r="G1437" s="4" t="s">
        <v>11</v>
      </c>
      <c r="H1437" s="4">
        <v>17</v>
      </c>
      <c r="I1437" s="2">
        <v>17</v>
      </c>
      <c r="J1437">
        <f t="shared" si="110"/>
        <v>13</v>
      </c>
      <c r="K1437">
        <f t="shared" si="111"/>
        <v>7</v>
      </c>
      <c r="L1437" t="str">
        <f t="shared" si="112"/>
        <v>No</v>
      </c>
      <c r="M1437" t="str">
        <f t="shared" si="114"/>
        <v>Yes</v>
      </c>
      <c r="N1437" t="str">
        <f t="shared" si="113"/>
        <v>No</v>
      </c>
    </row>
    <row r="1438" spans="1:14" x14ac:dyDescent="0.3">
      <c r="A1438" s="2" t="s">
        <v>2893</v>
      </c>
      <c r="B1438" s="2" t="s">
        <v>2894</v>
      </c>
      <c r="C1438" s="2" t="s">
        <v>72</v>
      </c>
      <c r="D1438" s="3">
        <v>45879</v>
      </c>
      <c r="E1438" s="3">
        <v>45882</v>
      </c>
      <c r="F1438" s="3">
        <v>45897</v>
      </c>
      <c r="G1438" s="2" t="s">
        <v>11</v>
      </c>
      <c r="H1438" s="2">
        <v>10</v>
      </c>
      <c r="I1438" s="2">
        <v>10</v>
      </c>
      <c r="J1438">
        <f t="shared" si="110"/>
        <v>18</v>
      </c>
      <c r="K1438">
        <f t="shared" si="111"/>
        <v>15</v>
      </c>
      <c r="L1438" t="str">
        <f t="shared" si="112"/>
        <v>No</v>
      </c>
      <c r="M1438" t="str">
        <f t="shared" si="114"/>
        <v>Yes</v>
      </c>
      <c r="N1438" t="str">
        <f t="shared" si="113"/>
        <v>No</v>
      </c>
    </row>
    <row r="1439" spans="1:14" x14ac:dyDescent="0.3">
      <c r="A1439" s="4" t="s">
        <v>2895</v>
      </c>
      <c r="B1439" s="4" t="s">
        <v>2896</v>
      </c>
      <c r="C1439" s="4" t="s">
        <v>59</v>
      </c>
      <c r="D1439" s="5">
        <v>45879</v>
      </c>
      <c r="E1439" s="5">
        <v>45886</v>
      </c>
      <c r="F1439" s="5">
        <v>45887</v>
      </c>
      <c r="G1439" s="4" t="s">
        <v>22</v>
      </c>
      <c r="H1439" s="4">
        <v>24</v>
      </c>
      <c r="I1439" s="2">
        <v>32</v>
      </c>
      <c r="J1439">
        <f t="shared" si="110"/>
        <v>8</v>
      </c>
      <c r="K1439">
        <f t="shared" si="111"/>
        <v>1</v>
      </c>
      <c r="L1439" t="str">
        <f t="shared" si="112"/>
        <v>No</v>
      </c>
      <c r="M1439" t="str">
        <f t="shared" si="114"/>
        <v>No</v>
      </c>
      <c r="N1439" t="str">
        <f t="shared" si="113"/>
        <v>No</v>
      </c>
    </row>
    <row r="1440" spans="1:14" x14ac:dyDescent="0.3">
      <c r="A1440" s="2" t="s">
        <v>2897</v>
      </c>
      <c r="B1440" s="2" t="s">
        <v>2898</v>
      </c>
      <c r="C1440" s="2" t="s">
        <v>27</v>
      </c>
      <c r="D1440" s="3">
        <v>45881</v>
      </c>
      <c r="E1440" s="3">
        <v>45886</v>
      </c>
      <c r="F1440" s="3">
        <v>45898</v>
      </c>
      <c r="G1440" s="2" t="s">
        <v>22</v>
      </c>
      <c r="H1440" s="2">
        <v>6</v>
      </c>
      <c r="I1440" s="2">
        <v>6</v>
      </c>
      <c r="J1440">
        <f t="shared" si="110"/>
        <v>17</v>
      </c>
      <c r="K1440">
        <f t="shared" si="111"/>
        <v>12</v>
      </c>
      <c r="L1440" t="str">
        <f t="shared" si="112"/>
        <v>No</v>
      </c>
      <c r="M1440" t="str">
        <f t="shared" si="114"/>
        <v>Yes</v>
      </c>
      <c r="N1440" t="str">
        <f t="shared" si="113"/>
        <v>No</v>
      </c>
    </row>
    <row r="1441" spans="1:14" x14ac:dyDescent="0.3">
      <c r="A1441" s="4" t="s">
        <v>2899</v>
      </c>
      <c r="B1441" s="4" t="s">
        <v>2900</v>
      </c>
      <c r="C1441" s="4" t="s">
        <v>34</v>
      </c>
      <c r="D1441" s="5">
        <v>45882</v>
      </c>
      <c r="E1441" s="5">
        <v>45887</v>
      </c>
      <c r="F1441" s="5">
        <v>45891</v>
      </c>
      <c r="G1441" s="4" t="s">
        <v>15</v>
      </c>
      <c r="H1441" s="4">
        <v>22</v>
      </c>
      <c r="I1441" s="2">
        <v>22</v>
      </c>
      <c r="J1441">
        <f t="shared" si="110"/>
        <v>9</v>
      </c>
      <c r="K1441">
        <f t="shared" si="111"/>
        <v>4</v>
      </c>
      <c r="L1441" t="str">
        <f t="shared" si="112"/>
        <v>No</v>
      </c>
      <c r="M1441" t="str">
        <f t="shared" si="114"/>
        <v>Yes</v>
      </c>
      <c r="N1441" t="str">
        <f t="shared" si="113"/>
        <v>No</v>
      </c>
    </row>
    <row r="1442" spans="1:14" x14ac:dyDescent="0.3">
      <c r="A1442" s="2" t="s">
        <v>2901</v>
      </c>
      <c r="B1442" s="2" t="s">
        <v>2902</v>
      </c>
      <c r="C1442" s="2" t="s">
        <v>34</v>
      </c>
      <c r="D1442" s="3">
        <v>45880</v>
      </c>
      <c r="E1442" s="3">
        <v>45888</v>
      </c>
      <c r="F1442" s="3">
        <v>45887</v>
      </c>
      <c r="G1442" s="2" t="s">
        <v>22</v>
      </c>
      <c r="H1442" s="2">
        <v>18</v>
      </c>
      <c r="I1442" s="2">
        <v>18</v>
      </c>
      <c r="J1442">
        <f t="shared" si="110"/>
        <v>7</v>
      </c>
      <c r="K1442">
        <f t="shared" si="111"/>
        <v>-1</v>
      </c>
      <c r="L1442" t="str">
        <f t="shared" si="112"/>
        <v>Yes</v>
      </c>
      <c r="M1442" t="str">
        <f t="shared" si="114"/>
        <v>Yes</v>
      </c>
      <c r="N1442" t="str">
        <f t="shared" si="113"/>
        <v>Yes</v>
      </c>
    </row>
    <row r="1443" spans="1:14" x14ac:dyDescent="0.3">
      <c r="A1443" s="4" t="s">
        <v>2903</v>
      </c>
      <c r="B1443" s="4" t="s">
        <v>2904</v>
      </c>
      <c r="C1443" s="4" t="s">
        <v>34</v>
      </c>
      <c r="D1443" s="5">
        <v>45880</v>
      </c>
      <c r="E1443" s="5">
        <v>45885</v>
      </c>
      <c r="F1443" s="5">
        <v>45888</v>
      </c>
      <c r="G1443" s="4" t="s">
        <v>22</v>
      </c>
      <c r="H1443" s="4">
        <v>55</v>
      </c>
      <c r="I1443" s="2">
        <v>55</v>
      </c>
      <c r="J1443">
        <f t="shared" si="110"/>
        <v>8</v>
      </c>
      <c r="K1443">
        <f t="shared" si="111"/>
        <v>3</v>
      </c>
      <c r="L1443" t="str">
        <f t="shared" si="112"/>
        <v>No</v>
      </c>
      <c r="M1443" t="str">
        <f t="shared" si="114"/>
        <v>Yes</v>
      </c>
      <c r="N1443" t="str">
        <f t="shared" si="113"/>
        <v>No</v>
      </c>
    </row>
    <row r="1444" spans="1:14" x14ac:dyDescent="0.3">
      <c r="A1444" s="2" t="s">
        <v>2905</v>
      </c>
      <c r="B1444" s="2" t="s">
        <v>2906</v>
      </c>
      <c r="C1444" s="2" t="s">
        <v>72</v>
      </c>
      <c r="D1444" s="3">
        <v>45880</v>
      </c>
      <c r="E1444" s="3">
        <v>45885</v>
      </c>
      <c r="F1444" s="3">
        <v>45898</v>
      </c>
      <c r="G1444" s="2" t="s">
        <v>40</v>
      </c>
      <c r="H1444" s="2">
        <v>6</v>
      </c>
      <c r="I1444" s="2">
        <v>6</v>
      </c>
      <c r="J1444">
        <f t="shared" si="110"/>
        <v>18</v>
      </c>
      <c r="K1444">
        <f t="shared" si="111"/>
        <v>13</v>
      </c>
      <c r="L1444" t="str">
        <f t="shared" si="112"/>
        <v>No</v>
      </c>
      <c r="M1444" t="str">
        <f t="shared" si="114"/>
        <v>Yes</v>
      </c>
      <c r="N1444" t="str">
        <f t="shared" si="113"/>
        <v>No</v>
      </c>
    </row>
    <row r="1445" spans="1:14" x14ac:dyDescent="0.3">
      <c r="A1445" s="4" t="s">
        <v>2907</v>
      </c>
      <c r="B1445" s="4" t="s">
        <v>2908</v>
      </c>
      <c r="C1445" s="4" t="s">
        <v>10</v>
      </c>
      <c r="D1445" s="5">
        <v>45882</v>
      </c>
      <c r="E1445" s="5">
        <v>45885</v>
      </c>
      <c r="F1445" s="5">
        <v>45888</v>
      </c>
      <c r="G1445" s="4" t="s">
        <v>40</v>
      </c>
      <c r="H1445" s="4">
        <v>9</v>
      </c>
      <c r="I1445" s="2">
        <v>9</v>
      </c>
      <c r="J1445">
        <f t="shared" si="110"/>
        <v>6</v>
      </c>
      <c r="K1445">
        <f t="shared" si="111"/>
        <v>3</v>
      </c>
      <c r="L1445" t="str">
        <f t="shared" si="112"/>
        <v>No</v>
      </c>
      <c r="M1445" t="str">
        <f t="shared" si="114"/>
        <v>Yes</v>
      </c>
      <c r="N1445" t="str">
        <f t="shared" si="113"/>
        <v>No</v>
      </c>
    </row>
    <row r="1446" spans="1:14" x14ac:dyDescent="0.3">
      <c r="A1446" s="2" t="s">
        <v>2909</v>
      </c>
      <c r="B1446" s="2" t="s">
        <v>2910</v>
      </c>
      <c r="C1446" s="2" t="s">
        <v>14</v>
      </c>
      <c r="D1446" s="3">
        <v>45880</v>
      </c>
      <c r="E1446" s="3">
        <v>45890</v>
      </c>
      <c r="F1446" s="3">
        <v>45896</v>
      </c>
      <c r="G1446" s="2" t="s">
        <v>40</v>
      </c>
      <c r="H1446" s="2">
        <v>43</v>
      </c>
      <c r="I1446" s="2">
        <v>49</v>
      </c>
      <c r="J1446">
        <f t="shared" si="110"/>
        <v>16</v>
      </c>
      <c r="K1446">
        <f t="shared" si="111"/>
        <v>6</v>
      </c>
      <c r="L1446" t="str">
        <f t="shared" si="112"/>
        <v>No</v>
      </c>
      <c r="M1446" t="str">
        <f t="shared" si="114"/>
        <v>No</v>
      </c>
      <c r="N1446" t="str">
        <f t="shared" si="113"/>
        <v>No</v>
      </c>
    </row>
    <row r="1447" spans="1:14" x14ac:dyDescent="0.3">
      <c r="A1447" s="4" t="s">
        <v>2911</v>
      </c>
      <c r="B1447" s="4" t="s">
        <v>2912</v>
      </c>
      <c r="C1447" s="4" t="s">
        <v>59</v>
      </c>
      <c r="D1447" s="5">
        <v>45881</v>
      </c>
      <c r="E1447" s="5">
        <v>45885</v>
      </c>
      <c r="F1447" s="5">
        <v>45884</v>
      </c>
      <c r="G1447" s="4" t="s">
        <v>22</v>
      </c>
      <c r="H1447" s="4">
        <v>25</v>
      </c>
      <c r="I1447" s="2">
        <v>25</v>
      </c>
      <c r="J1447">
        <f t="shared" si="110"/>
        <v>3</v>
      </c>
      <c r="K1447">
        <f t="shared" si="111"/>
        <v>-1</v>
      </c>
      <c r="L1447" t="str">
        <f t="shared" si="112"/>
        <v>Yes</v>
      </c>
      <c r="M1447" t="str">
        <f t="shared" si="114"/>
        <v>Yes</v>
      </c>
      <c r="N1447" t="str">
        <f t="shared" si="113"/>
        <v>Yes</v>
      </c>
    </row>
    <row r="1448" spans="1:14" x14ac:dyDescent="0.3">
      <c r="A1448" s="2" t="s">
        <v>2913</v>
      </c>
      <c r="B1448" s="2" t="s">
        <v>2914</v>
      </c>
      <c r="C1448" s="2" t="s">
        <v>21</v>
      </c>
      <c r="D1448" s="3">
        <v>45881</v>
      </c>
      <c r="E1448" s="3">
        <v>45883</v>
      </c>
      <c r="F1448" s="3">
        <v>45888</v>
      </c>
      <c r="G1448" s="2" t="s">
        <v>15</v>
      </c>
      <c r="H1448" s="2">
        <v>63</v>
      </c>
      <c r="I1448" s="2">
        <v>63</v>
      </c>
      <c r="J1448">
        <f t="shared" si="110"/>
        <v>7</v>
      </c>
      <c r="K1448">
        <f t="shared" si="111"/>
        <v>5</v>
      </c>
      <c r="L1448" t="str">
        <f t="shared" si="112"/>
        <v>No</v>
      </c>
      <c r="M1448" t="str">
        <f t="shared" si="114"/>
        <v>Yes</v>
      </c>
      <c r="N1448" t="str">
        <f t="shared" si="113"/>
        <v>No</v>
      </c>
    </row>
    <row r="1449" spans="1:14" x14ac:dyDescent="0.3">
      <c r="A1449" s="4" t="s">
        <v>2915</v>
      </c>
      <c r="B1449" s="4" t="s">
        <v>2916</v>
      </c>
      <c r="C1449" s="4" t="s">
        <v>27</v>
      </c>
      <c r="D1449" s="5">
        <v>45880</v>
      </c>
      <c r="E1449" s="5">
        <v>45883</v>
      </c>
      <c r="F1449" s="5">
        <v>45892</v>
      </c>
      <c r="G1449" s="4" t="s">
        <v>18</v>
      </c>
      <c r="H1449" s="4">
        <v>28</v>
      </c>
      <c r="I1449" s="2">
        <v>28</v>
      </c>
      <c r="J1449">
        <f t="shared" si="110"/>
        <v>12</v>
      </c>
      <c r="K1449">
        <f t="shared" si="111"/>
        <v>9</v>
      </c>
      <c r="L1449" t="str">
        <f t="shared" si="112"/>
        <v>No</v>
      </c>
      <c r="M1449" t="str">
        <f t="shared" si="114"/>
        <v>Yes</v>
      </c>
      <c r="N1449" t="str">
        <f t="shared" si="113"/>
        <v>No</v>
      </c>
    </row>
    <row r="1450" spans="1:14" x14ac:dyDescent="0.3">
      <c r="A1450" s="2" t="s">
        <v>2917</v>
      </c>
      <c r="B1450" s="2" t="s">
        <v>2918</v>
      </c>
      <c r="C1450" s="2" t="s">
        <v>37</v>
      </c>
      <c r="D1450" s="3">
        <v>45881</v>
      </c>
      <c r="E1450" s="3">
        <v>45891</v>
      </c>
      <c r="F1450" s="3">
        <v>45896</v>
      </c>
      <c r="G1450" s="2" t="s">
        <v>11</v>
      </c>
      <c r="H1450" s="2">
        <v>23</v>
      </c>
      <c r="I1450" s="2">
        <v>23</v>
      </c>
      <c r="J1450">
        <f t="shared" si="110"/>
        <v>15</v>
      </c>
      <c r="K1450">
        <f t="shared" si="111"/>
        <v>5</v>
      </c>
      <c r="L1450" t="str">
        <f t="shared" si="112"/>
        <v>No</v>
      </c>
      <c r="M1450" t="str">
        <f t="shared" si="114"/>
        <v>Yes</v>
      </c>
      <c r="N1450" t="str">
        <f t="shared" si="113"/>
        <v>No</v>
      </c>
    </row>
    <row r="1451" spans="1:14" x14ac:dyDescent="0.3">
      <c r="A1451" s="4" t="s">
        <v>2919</v>
      </c>
      <c r="B1451" s="4" t="s">
        <v>2920</v>
      </c>
      <c r="C1451" s="4" t="s">
        <v>34</v>
      </c>
      <c r="D1451" s="5">
        <v>45883</v>
      </c>
      <c r="E1451" s="5">
        <v>45886</v>
      </c>
      <c r="F1451" s="5">
        <v>45892</v>
      </c>
      <c r="G1451" s="4" t="s">
        <v>22</v>
      </c>
      <c r="H1451" s="4">
        <v>51</v>
      </c>
      <c r="I1451" s="2">
        <v>51</v>
      </c>
      <c r="J1451">
        <f t="shared" si="110"/>
        <v>9</v>
      </c>
      <c r="K1451">
        <f t="shared" si="111"/>
        <v>6</v>
      </c>
      <c r="L1451" t="str">
        <f t="shared" si="112"/>
        <v>No</v>
      </c>
      <c r="M1451" t="str">
        <f t="shared" si="114"/>
        <v>Yes</v>
      </c>
      <c r="N1451" t="str">
        <f t="shared" si="113"/>
        <v>No</v>
      </c>
    </row>
    <row r="1452" spans="1:14" x14ac:dyDescent="0.3">
      <c r="A1452" s="2" t="s">
        <v>2921</v>
      </c>
      <c r="B1452" s="2" t="s">
        <v>2922</v>
      </c>
      <c r="C1452" s="2" t="s">
        <v>10</v>
      </c>
      <c r="D1452" s="3">
        <v>45882</v>
      </c>
      <c r="E1452" s="3">
        <v>45884</v>
      </c>
      <c r="F1452" s="3">
        <v>45887</v>
      </c>
      <c r="G1452" s="2" t="s">
        <v>18</v>
      </c>
      <c r="H1452" s="2">
        <v>25</v>
      </c>
      <c r="I1452" s="2">
        <v>25</v>
      </c>
      <c r="J1452">
        <f t="shared" si="110"/>
        <v>5</v>
      </c>
      <c r="K1452">
        <f t="shared" si="111"/>
        <v>3</v>
      </c>
      <c r="L1452" t="str">
        <f t="shared" si="112"/>
        <v>No</v>
      </c>
      <c r="M1452" t="str">
        <f t="shared" si="114"/>
        <v>Yes</v>
      </c>
      <c r="N1452" t="str">
        <f t="shared" si="113"/>
        <v>No</v>
      </c>
    </row>
    <row r="1453" spans="1:14" x14ac:dyDescent="0.3">
      <c r="A1453" s="4" t="s">
        <v>2923</v>
      </c>
      <c r="B1453" s="4" t="s">
        <v>2924</v>
      </c>
      <c r="C1453" s="4" t="s">
        <v>72</v>
      </c>
      <c r="D1453" s="5">
        <v>45882</v>
      </c>
      <c r="E1453" s="5">
        <v>45890</v>
      </c>
      <c r="F1453" s="5">
        <v>45895</v>
      </c>
      <c r="G1453" s="4" t="s">
        <v>18</v>
      </c>
      <c r="H1453" s="4">
        <v>13</v>
      </c>
      <c r="I1453" s="2">
        <v>13</v>
      </c>
      <c r="J1453">
        <f t="shared" si="110"/>
        <v>13</v>
      </c>
      <c r="K1453">
        <f t="shared" si="111"/>
        <v>5</v>
      </c>
      <c r="L1453" t="str">
        <f t="shared" si="112"/>
        <v>No</v>
      </c>
      <c r="M1453" t="str">
        <f t="shared" si="114"/>
        <v>Yes</v>
      </c>
      <c r="N1453" t="str">
        <f t="shared" si="113"/>
        <v>No</v>
      </c>
    </row>
    <row r="1454" spans="1:14" x14ac:dyDescent="0.3">
      <c r="A1454" s="2" t="s">
        <v>2925</v>
      </c>
      <c r="B1454" s="2" t="s">
        <v>2926</v>
      </c>
      <c r="C1454" s="2" t="s">
        <v>59</v>
      </c>
      <c r="D1454" s="3">
        <v>45881</v>
      </c>
      <c r="E1454" s="3">
        <v>45888</v>
      </c>
      <c r="F1454" s="3">
        <v>45886</v>
      </c>
      <c r="G1454" s="2" t="s">
        <v>18</v>
      </c>
      <c r="H1454" s="2">
        <v>33</v>
      </c>
      <c r="I1454" s="2">
        <v>33</v>
      </c>
      <c r="J1454">
        <f t="shared" si="110"/>
        <v>5</v>
      </c>
      <c r="K1454">
        <f t="shared" si="111"/>
        <v>-2</v>
      </c>
      <c r="L1454" t="str">
        <f t="shared" si="112"/>
        <v>Yes</v>
      </c>
      <c r="M1454" t="str">
        <f t="shared" si="114"/>
        <v>Yes</v>
      </c>
      <c r="N1454" t="str">
        <f t="shared" si="113"/>
        <v>Yes</v>
      </c>
    </row>
    <row r="1455" spans="1:14" x14ac:dyDescent="0.3">
      <c r="A1455" s="4" t="s">
        <v>2927</v>
      </c>
      <c r="B1455" s="4" t="s">
        <v>2928</v>
      </c>
      <c r="C1455" s="4" t="s">
        <v>27</v>
      </c>
      <c r="D1455" s="5">
        <v>45881</v>
      </c>
      <c r="E1455" s="5">
        <v>45888</v>
      </c>
      <c r="F1455" s="5">
        <v>45893</v>
      </c>
      <c r="G1455" s="4" t="s">
        <v>18</v>
      </c>
      <c r="H1455" s="4">
        <v>7</v>
      </c>
      <c r="I1455" s="2">
        <v>7</v>
      </c>
      <c r="J1455">
        <f t="shared" si="110"/>
        <v>12</v>
      </c>
      <c r="K1455">
        <f t="shared" si="111"/>
        <v>5</v>
      </c>
      <c r="L1455" t="str">
        <f t="shared" si="112"/>
        <v>No</v>
      </c>
      <c r="M1455" t="str">
        <f t="shared" si="114"/>
        <v>Yes</v>
      </c>
      <c r="N1455" t="str">
        <f t="shared" si="113"/>
        <v>No</v>
      </c>
    </row>
    <row r="1456" spans="1:14" x14ac:dyDescent="0.3">
      <c r="A1456" s="2" t="s">
        <v>2929</v>
      </c>
      <c r="B1456" s="2" t="s">
        <v>2930</v>
      </c>
      <c r="C1456" s="2" t="s">
        <v>37</v>
      </c>
      <c r="D1456" s="3">
        <v>45883</v>
      </c>
      <c r="E1456" s="3">
        <v>45885</v>
      </c>
      <c r="F1456" s="3">
        <v>45896</v>
      </c>
      <c r="G1456" s="2" t="s">
        <v>18</v>
      </c>
      <c r="H1456" s="2">
        <v>56</v>
      </c>
      <c r="I1456" s="2">
        <v>56</v>
      </c>
      <c r="J1456">
        <f t="shared" si="110"/>
        <v>13</v>
      </c>
      <c r="K1456">
        <f t="shared" si="111"/>
        <v>11</v>
      </c>
      <c r="L1456" t="str">
        <f t="shared" si="112"/>
        <v>No</v>
      </c>
      <c r="M1456" t="str">
        <f t="shared" si="114"/>
        <v>Yes</v>
      </c>
      <c r="N1456" t="str">
        <f t="shared" si="113"/>
        <v>No</v>
      </c>
    </row>
    <row r="1457" spans="1:14" x14ac:dyDescent="0.3">
      <c r="A1457" s="4" t="s">
        <v>2931</v>
      </c>
      <c r="B1457" s="4" t="s">
        <v>2932</v>
      </c>
      <c r="C1457" s="4" t="s">
        <v>34</v>
      </c>
      <c r="D1457" s="5">
        <v>45884</v>
      </c>
      <c r="E1457" s="5">
        <v>45890</v>
      </c>
      <c r="F1457" s="5">
        <v>45895</v>
      </c>
      <c r="G1457" s="4" t="s">
        <v>22</v>
      </c>
      <c r="H1457" s="4">
        <v>11</v>
      </c>
      <c r="I1457" s="2">
        <v>11</v>
      </c>
      <c r="J1457">
        <f t="shared" si="110"/>
        <v>11</v>
      </c>
      <c r="K1457">
        <f t="shared" si="111"/>
        <v>5</v>
      </c>
      <c r="L1457" t="str">
        <f t="shared" si="112"/>
        <v>No</v>
      </c>
      <c r="M1457" t="str">
        <f t="shared" si="114"/>
        <v>Yes</v>
      </c>
      <c r="N1457" t="str">
        <f t="shared" si="113"/>
        <v>No</v>
      </c>
    </row>
    <row r="1458" spans="1:14" x14ac:dyDescent="0.3">
      <c r="A1458" s="2" t="s">
        <v>2933</v>
      </c>
      <c r="B1458" s="2" t="s">
        <v>2934</v>
      </c>
      <c r="C1458" s="2" t="s">
        <v>10</v>
      </c>
      <c r="D1458" s="3">
        <v>45884</v>
      </c>
      <c r="E1458" s="3">
        <v>45889</v>
      </c>
      <c r="F1458" s="3">
        <v>45891</v>
      </c>
      <c r="G1458" s="2" t="s">
        <v>22</v>
      </c>
      <c r="H1458" s="2">
        <v>12</v>
      </c>
      <c r="I1458" s="2">
        <v>12</v>
      </c>
      <c r="J1458">
        <f t="shared" si="110"/>
        <v>7</v>
      </c>
      <c r="K1458">
        <f t="shared" si="111"/>
        <v>2</v>
      </c>
      <c r="L1458" t="str">
        <f t="shared" si="112"/>
        <v>No</v>
      </c>
      <c r="M1458" t="str">
        <f t="shared" si="114"/>
        <v>Yes</v>
      </c>
      <c r="N1458" t="str">
        <f t="shared" si="113"/>
        <v>No</v>
      </c>
    </row>
    <row r="1459" spans="1:14" x14ac:dyDescent="0.3">
      <c r="A1459" s="4" t="s">
        <v>2935</v>
      </c>
      <c r="B1459" s="4" t="s">
        <v>2936</v>
      </c>
      <c r="C1459" s="4" t="s">
        <v>72</v>
      </c>
      <c r="D1459" s="5">
        <v>45884</v>
      </c>
      <c r="E1459" s="5">
        <v>45892</v>
      </c>
      <c r="F1459" s="5">
        <v>45899</v>
      </c>
      <c r="G1459" s="4" t="s">
        <v>18</v>
      </c>
      <c r="H1459" s="4">
        <v>12</v>
      </c>
      <c r="I1459" s="2">
        <v>20</v>
      </c>
      <c r="J1459">
        <f t="shared" si="110"/>
        <v>15</v>
      </c>
      <c r="K1459">
        <f t="shared" si="111"/>
        <v>7</v>
      </c>
      <c r="L1459" t="str">
        <f t="shared" si="112"/>
        <v>No</v>
      </c>
      <c r="M1459" t="str">
        <f t="shared" si="114"/>
        <v>No</v>
      </c>
      <c r="N1459" t="str">
        <f t="shared" si="113"/>
        <v>No</v>
      </c>
    </row>
    <row r="1460" spans="1:14" x14ac:dyDescent="0.3">
      <c r="A1460" s="2" t="s">
        <v>2937</v>
      </c>
      <c r="B1460" s="2" t="s">
        <v>2938</v>
      </c>
      <c r="C1460" s="2" t="s">
        <v>59</v>
      </c>
      <c r="D1460" s="3">
        <v>45883</v>
      </c>
      <c r="E1460" s="3">
        <v>45887</v>
      </c>
      <c r="F1460" s="3">
        <v>45889</v>
      </c>
      <c r="G1460" s="2" t="s">
        <v>11</v>
      </c>
      <c r="H1460" s="2">
        <v>35</v>
      </c>
      <c r="I1460" s="2">
        <v>35</v>
      </c>
      <c r="J1460">
        <f t="shared" si="110"/>
        <v>6</v>
      </c>
      <c r="K1460">
        <f t="shared" si="111"/>
        <v>2</v>
      </c>
      <c r="L1460" t="str">
        <f t="shared" si="112"/>
        <v>No</v>
      </c>
      <c r="M1460" t="str">
        <f t="shared" si="114"/>
        <v>Yes</v>
      </c>
      <c r="N1460" t="str">
        <f t="shared" si="113"/>
        <v>No</v>
      </c>
    </row>
    <row r="1461" spans="1:14" x14ac:dyDescent="0.3">
      <c r="A1461" s="4" t="s">
        <v>2939</v>
      </c>
      <c r="B1461" s="4" t="s">
        <v>2940</v>
      </c>
      <c r="C1461" s="4" t="s">
        <v>21</v>
      </c>
      <c r="D1461" s="5">
        <v>45884</v>
      </c>
      <c r="E1461" s="5">
        <v>45891</v>
      </c>
      <c r="F1461" s="5">
        <v>45889</v>
      </c>
      <c r="G1461" s="4" t="s">
        <v>18</v>
      </c>
      <c r="H1461" s="4">
        <v>38</v>
      </c>
      <c r="I1461" s="2">
        <v>38</v>
      </c>
      <c r="J1461">
        <f t="shared" si="110"/>
        <v>5</v>
      </c>
      <c r="K1461">
        <f t="shared" si="111"/>
        <v>-2</v>
      </c>
      <c r="L1461" t="str">
        <f t="shared" si="112"/>
        <v>Yes</v>
      </c>
      <c r="M1461" t="str">
        <f t="shared" si="114"/>
        <v>Yes</v>
      </c>
      <c r="N1461" t="str">
        <f t="shared" si="113"/>
        <v>Yes</v>
      </c>
    </row>
    <row r="1462" spans="1:14" x14ac:dyDescent="0.3">
      <c r="A1462" s="2" t="s">
        <v>2941</v>
      </c>
      <c r="B1462" s="2" t="s">
        <v>2942</v>
      </c>
      <c r="C1462" s="2" t="s">
        <v>21</v>
      </c>
      <c r="D1462" s="3">
        <v>45882</v>
      </c>
      <c r="E1462" s="3">
        <v>45887</v>
      </c>
      <c r="F1462" s="3">
        <v>45888</v>
      </c>
      <c r="G1462" s="2" t="s">
        <v>11</v>
      </c>
      <c r="H1462" s="2">
        <v>13</v>
      </c>
      <c r="I1462" s="2">
        <v>13</v>
      </c>
      <c r="J1462">
        <f t="shared" si="110"/>
        <v>6</v>
      </c>
      <c r="K1462">
        <f t="shared" si="111"/>
        <v>1</v>
      </c>
      <c r="L1462" t="str">
        <f t="shared" si="112"/>
        <v>No</v>
      </c>
      <c r="M1462" t="str">
        <f t="shared" si="114"/>
        <v>Yes</v>
      </c>
      <c r="N1462" t="str">
        <f t="shared" si="113"/>
        <v>No</v>
      </c>
    </row>
    <row r="1463" spans="1:14" x14ac:dyDescent="0.3">
      <c r="A1463" s="4" t="s">
        <v>2943</v>
      </c>
      <c r="B1463" s="4" t="s">
        <v>2944</v>
      </c>
      <c r="C1463" s="4" t="s">
        <v>27</v>
      </c>
      <c r="D1463" s="5">
        <v>45884</v>
      </c>
      <c r="E1463" s="5">
        <v>45891</v>
      </c>
      <c r="F1463" s="5">
        <v>45898</v>
      </c>
      <c r="G1463" s="4" t="s">
        <v>40</v>
      </c>
      <c r="H1463" s="4">
        <v>7</v>
      </c>
      <c r="I1463" s="2">
        <v>8</v>
      </c>
      <c r="J1463">
        <f t="shared" si="110"/>
        <v>14</v>
      </c>
      <c r="K1463">
        <f t="shared" si="111"/>
        <v>7</v>
      </c>
      <c r="L1463" t="str">
        <f t="shared" si="112"/>
        <v>No</v>
      </c>
      <c r="M1463" t="str">
        <f t="shared" si="114"/>
        <v>No</v>
      </c>
      <c r="N1463" t="str">
        <f t="shared" si="113"/>
        <v>No</v>
      </c>
    </row>
    <row r="1464" spans="1:14" x14ac:dyDescent="0.3">
      <c r="A1464" s="2" t="s">
        <v>2945</v>
      </c>
      <c r="B1464" s="2" t="s">
        <v>2946</v>
      </c>
      <c r="C1464" s="2" t="s">
        <v>72</v>
      </c>
      <c r="D1464" s="3">
        <v>45883</v>
      </c>
      <c r="E1464" s="3">
        <v>45892</v>
      </c>
      <c r="F1464" s="3">
        <v>45896</v>
      </c>
      <c r="G1464" s="2" t="s">
        <v>18</v>
      </c>
      <c r="H1464" s="2">
        <v>47</v>
      </c>
      <c r="I1464" s="2">
        <v>47</v>
      </c>
      <c r="J1464">
        <f t="shared" si="110"/>
        <v>13</v>
      </c>
      <c r="K1464">
        <f t="shared" si="111"/>
        <v>4</v>
      </c>
      <c r="L1464" t="str">
        <f t="shared" si="112"/>
        <v>No</v>
      </c>
      <c r="M1464" t="str">
        <f t="shared" si="114"/>
        <v>Yes</v>
      </c>
      <c r="N1464" t="str">
        <f t="shared" si="113"/>
        <v>No</v>
      </c>
    </row>
    <row r="1465" spans="1:14" x14ac:dyDescent="0.3">
      <c r="A1465" s="4" t="s">
        <v>2947</v>
      </c>
      <c r="B1465" s="4" t="s">
        <v>2948</v>
      </c>
      <c r="C1465" s="4" t="s">
        <v>59</v>
      </c>
      <c r="D1465" s="5">
        <v>45884</v>
      </c>
      <c r="E1465" s="5">
        <v>45887</v>
      </c>
      <c r="F1465" s="5">
        <v>45890</v>
      </c>
      <c r="G1465" s="4" t="s">
        <v>15</v>
      </c>
      <c r="H1465" s="4">
        <v>14</v>
      </c>
      <c r="I1465" s="2">
        <v>14</v>
      </c>
      <c r="J1465">
        <f t="shared" si="110"/>
        <v>6</v>
      </c>
      <c r="K1465">
        <f t="shared" si="111"/>
        <v>3</v>
      </c>
      <c r="L1465" t="str">
        <f t="shared" si="112"/>
        <v>No</v>
      </c>
      <c r="M1465" t="str">
        <f t="shared" si="114"/>
        <v>Yes</v>
      </c>
      <c r="N1465" t="str">
        <f t="shared" si="113"/>
        <v>No</v>
      </c>
    </row>
    <row r="1466" spans="1:14" x14ac:dyDescent="0.3">
      <c r="A1466" s="2" t="s">
        <v>2949</v>
      </c>
      <c r="B1466" s="2" t="s">
        <v>2950</v>
      </c>
      <c r="C1466" s="2" t="s">
        <v>27</v>
      </c>
      <c r="D1466" s="3">
        <v>45883</v>
      </c>
      <c r="E1466" s="3">
        <v>45889</v>
      </c>
      <c r="F1466" s="3">
        <v>45895</v>
      </c>
      <c r="G1466" s="2" t="s">
        <v>18</v>
      </c>
      <c r="H1466" s="2">
        <v>33</v>
      </c>
      <c r="I1466" s="2">
        <v>33</v>
      </c>
      <c r="J1466">
        <f t="shared" si="110"/>
        <v>12</v>
      </c>
      <c r="K1466">
        <f t="shared" si="111"/>
        <v>6</v>
      </c>
      <c r="L1466" t="str">
        <f t="shared" si="112"/>
        <v>No</v>
      </c>
      <c r="M1466" t="str">
        <f t="shared" si="114"/>
        <v>Yes</v>
      </c>
      <c r="N1466" t="str">
        <f t="shared" si="113"/>
        <v>No</v>
      </c>
    </row>
    <row r="1467" spans="1:14" x14ac:dyDescent="0.3">
      <c r="A1467" s="4" t="s">
        <v>2951</v>
      </c>
      <c r="B1467" s="4" t="s">
        <v>2952</v>
      </c>
      <c r="C1467" s="4" t="s">
        <v>37</v>
      </c>
      <c r="D1467" s="5">
        <v>45886</v>
      </c>
      <c r="E1467" s="5">
        <v>45892</v>
      </c>
      <c r="F1467" s="5">
        <v>45901</v>
      </c>
      <c r="G1467" s="4" t="s">
        <v>22</v>
      </c>
      <c r="H1467" s="4">
        <v>20</v>
      </c>
      <c r="I1467" s="2">
        <v>20</v>
      </c>
      <c r="J1467">
        <f t="shared" si="110"/>
        <v>15</v>
      </c>
      <c r="K1467">
        <f t="shared" si="111"/>
        <v>9</v>
      </c>
      <c r="L1467" t="str">
        <f t="shared" si="112"/>
        <v>No</v>
      </c>
      <c r="M1467" t="str">
        <f t="shared" si="114"/>
        <v>Yes</v>
      </c>
      <c r="N1467" t="str">
        <f t="shared" si="113"/>
        <v>No</v>
      </c>
    </row>
    <row r="1468" spans="1:14" x14ac:dyDescent="0.3">
      <c r="A1468" s="2" t="s">
        <v>2953</v>
      </c>
      <c r="B1468" s="2" t="s">
        <v>2954</v>
      </c>
      <c r="C1468" s="2" t="s">
        <v>34</v>
      </c>
      <c r="D1468" s="3">
        <v>45884</v>
      </c>
      <c r="E1468" s="3">
        <v>45893</v>
      </c>
      <c r="F1468" s="3">
        <v>45891</v>
      </c>
      <c r="G1468" s="2" t="s">
        <v>18</v>
      </c>
      <c r="H1468" s="2">
        <v>47</v>
      </c>
      <c r="I1468" s="2">
        <v>50</v>
      </c>
      <c r="J1468">
        <f t="shared" si="110"/>
        <v>7</v>
      </c>
      <c r="K1468">
        <f t="shared" si="111"/>
        <v>-2</v>
      </c>
      <c r="L1468" t="str">
        <f t="shared" si="112"/>
        <v>Yes</v>
      </c>
      <c r="M1468" t="str">
        <f t="shared" si="114"/>
        <v>No</v>
      </c>
      <c r="N1468" t="str">
        <f t="shared" si="113"/>
        <v>No</v>
      </c>
    </row>
    <row r="1469" spans="1:14" x14ac:dyDescent="0.3">
      <c r="A1469" s="4" t="s">
        <v>2955</v>
      </c>
      <c r="B1469" s="4" t="s">
        <v>2956</v>
      </c>
      <c r="C1469" s="4" t="s">
        <v>72</v>
      </c>
      <c r="D1469" s="5">
        <v>45886</v>
      </c>
      <c r="E1469" s="5">
        <v>45889</v>
      </c>
      <c r="F1469" s="5">
        <v>45900</v>
      </c>
      <c r="G1469" s="4" t="s">
        <v>11</v>
      </c>
      <c r="H1469" s="4">
        <v>42</v>
      </c>
      <c r="I1469" s="2">
        <v>42</v>
      </c>
      <c r="J1469">
        <f t="shared" si="110"/>
        <v>14</v>
      </c>
      <c r="K1469">
        <f t="shared" si="111"/>
        <v>11</v>
      </c>
      <c r="L1469" t="str">
        <f t="shared" si="112"/>
        <v>No</v>
      </c>
      <c r="M1469" t="str">
        <f t="shared" si="114"/>
        <v>Yes</v>
      </c>
      <c r="N1469" t="str">
        <f t="shared" si="113"/>
        <v>No</v>
      </c>
    </row>
    <row r="1470" spans="1:14" x14ac:dyDescent="0.3">
      <c r="A1470" s="2" t="s">
        <v>2957</v>
      </c>
      <c r="B1470" s="2" t="s">
        <v>2958</v>
      </c>
      <c r="C1470" s="2" t="s">
        <v>72</v>
      </c>
      <c r="D1470" s="3">
        <v>45886</v>
      </c>
      <c r="E1470" s="3">
        <v>45892</v>
      </c>
      <c r="F1470" s="3">
        <v>45900</v>
      </c>
      <c r="G1470" s="2" t="s">
        <v>22</v>
      </c>
      <c r="H1470" s="2">
        <v>26</v>
      </c>
      <c r="I1470" s="2">
        <v>26</v>
      </c>
      <c r="J1470">
        <f t="shared" si="110"/>
        <v>14</v>
      </c>
      <c r="K1470">
        <f t="shared" si="111"/>
        <v>8</v>
      </c>
      <c r="L1470" t="str">
        <f t="shared" si="112"/>
        <v>No</v>
      </c>
      <c r="M1470" t="str">
        <f t="shared" si="114"/>
        <v>Yes</v>
      </c>
      <c r="N1470" t="str">
        <f t="shared" si="113"/>
        <v>No</v>
      </c>
    </row>
    <row r="1471" spans="1:14" x14ac:dyDescent="0.3">
      <c r="A1471" s="4" t="s">
        <v>2959</v>
      </c>
      <c r="B1471" s="4" t="s">
        <v>2960</v>
      </c>
      <c r="C1471" s="4" t="s">
        <v>59</v>
      </c>
      <c r="D1471" s="5">
        <v>45885</v>
      </c>
      <c r="E1471" s="5">
        <v>45889</v>
      </c>
      <c r="F1471" s="5">
        <v>45889</v>
      </c>
      <c r="G1471" s="4" t="s">
        <v>18</v>
      </c>
      <c r="H1471" s="4">
        <v>46</v>
      </c>
      <c r="I1471" s="2">
        <v>46</v>
      </c>
      <c r="J1471">
        <f t="shared" si="110"/>
        <v>4</v>
      </c>
      <c r="K1471">
        <f t="shared" si="111"/>
        <v>0</v>
      </c>
      <c r="L1471" t="str">
        <f t="shared" si="112"/>
        <v>Yes</v>
      </c>
      <c r="M1471" t="str">
        <f t="shared" si="114"/>
        <v>Yes</v>
      </c>
      <c r="N1471" t="str">
        <f t="shared" si="113"/>
        <v>Yes</v>
      </c>
    </row>
    <row r="1472" spans="1:14" x14ac:dyDescent="0.3">
      <c r="A1472" s="2" t="s">
        <v>2961</v>
      </c>
      <c r="B1472" s="2" t="s">
        <v>2962</v>
      </c>
      <c r="C1472" s="2" t="s">
        <v>14</v>
      </c>
      <c r="D1472" s="3">
        <v>45886</v>
      </c>
      <c r="E1472" s="3">
        <v>45893</v>
      </c>
      <c r="F1472" s="3">
        <v>45901</v>
      </c>
      <c r="G1472" s="2" t="s">
        <v>15</v>
      </c>
      <c r="H1472" s="2">
        <v>22</v>
      </c>
      <c r="I1472" s="2">
        <v>22</v>
      </c>
      <c r="J1472">
        <f t="shared" si="110"/>
        <v>15</v>
      </c>
      <c r="K1472">
        <f t="shared" si="111"/>
        <v>8</v>
      </c>
      <c r="L1472" t="str">
        <f t="shared" si="112"/>
        <v>No</v>
      </c>
      <c r="M1472" t="str">
        <f t="shared" si="114"/>
        <v>Yes</v>
      </c>
      <c r="N1472" t="str">
        <f t="shared" si="113"/>
        <v>No</v>
      </c>
    </row>
    <row r="1473" spans="1:14" x14ac:dyDescent="0.3">
      <c r="A1473" s="4" t="s">
        <v>2963</v>
      </c>
      <c r="B1473" s="4" t="s">
        <v>2964</v>
      </c>
      <c r="C1473" s="4" t="s">
        <v>21</v>
      </c>
      <c r="D1473" s="5">
        <v>45884</v>
      </c>
      <c r="E1473" s="5">
        <v>45891</v>
      </c>
      <c r="F1473" s="5">
        <v>45889</v>
      </c>
      <c r="G1473" s="4" t="s">
        <v>22</v>
      </c>
      <c r="H1473" s="4">
        <v>41</v>
      </c>
      <c r="I1473" s="2">
        <v>41</v>
      </c>
      <c r="J1473">
        <f t="shared" si="110"/>
        <v>5</v>
      </c>
      <c r="K1473">
        <f t="shared" si="111"/>
        <v>-2</v>
      </c>
      <c r="L1473" t="str">
        <f t="shared" si="112"/>
        <v>Yes</v>
      </c>
      <c r="M1473" t="str">
        <f t="shared" si="114"/>
        <v>Yes</v>
      </c>
      <c r="N1473" t="str">
        <f t="shared" si="113"/>
        <v>Yes</v>
      </c>
    </row>
    <row r="1474" spans="1:14" x14ac:dyDescent="0.3">
      <c r="A1474" s="2" t="s">
        <v>2965</v>
      </c>
      <c r="B1474" s="2" t="s">
        <v>2966</v>
      </c>
      <c r="C1474" s="2" t="s">
        <v>27</v>
      </c>
      <c r="D1474" s="3">
        <v>45886</v>
      </c>
      <c r="E1474" s="3">
        <v>45888</v>
      </c>
      <c r="F1474" s="3">
        <v>45901</v>
      </c>
      <c r="G1474" s="2" t="s">
        <v>22</v>
      </c>
      <c r="H1474" s="2">
        <v>18</v>
      </c>
      <c r="I1474" s="2">
        <v>25</v>
      </c>
      <c r="J1474">
        <f t="shared" si="110"/>
        <v>15</v>
      </c>
      <c r="K1474">
        <f t="shared" si="111"/>
        <v>13</v>
      </c>
      <c r="L1474" t="str">
        <f t="shared" si="112"/>
        <v>No</v>
      </c>
      <c r="M1474" t="str">
        <f t="shared" si="114"/>
        <v>No</v>
      </c>
      <c r="N1474" t="str">
        <f t="shared" si="113"/>
        <v>No</v>
      </c>
    </row>
    <row r="1475" spans="1:14" x14ac:dyDescent="0.3">
      <c r="A1475" s="4" t="s">
        <v>2967</v>
      </c>
      <c r="B1475" s="4" t="s">
        <v>2968</v>
      </c>
      <c r="C1475" s="4" t="s">
        <v>27</v>
      </c>
      <c r="D1475" s="5">
        <v>45885</v>
      </c>
      <c r="E1475" s="5">
        <v>45889</v>
      </c>
      <c r="F1475" s="5">
        <v>45898</v>
      </c>
      <c r="G1475" s="4" t="s">
        <v>22</v>
      </c>
      <c r="H1475" s="4">
        <v>8</v>
      </c>
      <c r="I1475" s="2">
        <v>8</v>
      </c>
      <c r="J1475">
        <f t="shared" ref="J1475:J1538" si="115">F1475-D1475</f>
        <v>13</v>
      </c>
      <c r="K1475">
        <f t="shared" ref="K1475:K1538" si="116">F1475-E1475</f>
        <v>9</v>
      </c>
      <c r="L1475" t="str">
        <f t="shared" ref="L1475:L1538" si="117">IF(K1475&lt;=0,"Yes","No")</f>
        <v>No</v>
      </c>
      <c r="M1475" t="str">
        <f t="shared" si="114"/>
        <v>Yes</v>
      </c>
      <c r="N1475" t="str">
        <f t="shared" ref="N1475:N1538" si="118">IF(AND(L1475="Yes",M1475="Yes"),"Yes","No")</f>
        <v>No</v>
      </c>
    </row>
    <row r="1476" spans="1:14" x14ac:dyDescent="0.3">
      <c r="A1476" s="2" t="s">
        <v>2969</v>
      </c>
      <c r="B1476" s="2" t="s">
        <v>2970</v>
      </c>
      <c r="C1476" s="2" t="s">
        <v>37</v>
      </c>
      <c r="D1476" s="3">
        <v>45887</v>
      </c>
      <c r="E1476" s="3">
        <v>45895</v>
      </c>
      <c r="F1476" s="3">
        <v>45900</v>
      </c>
      <c r="G1476" s="2" t="s">
        <v>40</v>
      </c>
      <c r="H1476" s="2">
        <v>42</v>
      </c>
      <c r="I1476" s="2">
        <v>42</v>
      </c>
      <c r="J1476">
        <f t="shared" si="115"/>
        <v>13</v>
      </c>
      <c r="K1476">
        <f t="shared" si="116"/>
        <v>5</v>
      </c>
      <c r="L1476" t="str">
        <f t="shared" si="117"/>
        <v>No</v>
      </c>
      <c r="M1476" t="str">
        <f t="shared" ref="M1476:M1539" si="119">IF(H1476=I1476,"Yes","No")</f>
        <v>Yes</v>
      </c>
      <c r="N1476" t="str">
        <f t="shared" si="118"/>
        <v>No</v>
      </c>
    </row>
    <row r="1477" spans="1:14" x14ac:dyDescent="0.3">
      <c r="A1477" s="4" t="s">
        <v>2971</v>
      </c>
      <c r="B1477" s="4" t="s">
        <v>2972</v>
      </c>
      <c r="C1477" s="4" t="s">
        <v>10</v>
      </c>
      <c r="D1477" s="5">
        <v>45886</v>
      </c>
      <c r="E1477" s="5">
        <v>45890</v>
      </c>
      <c r="F1477" s="5">
        <v>45890</v>
      </c>
      <c r="G1477" s="4" t="s">
        <v>40</v>
      </c>
      <c r="H1477" s="4">
        <v>15</v>
      </c>
      <c r="I1477" s="2">
        <v>15</v>
      </c>
      <c r="J1477">
        <f t="shared" si="115"/>
        <v>4</v>
      </c>
      <c r="K1477">
        <f t="shared" si="116"/>
        <v>0</v>
      </c>
      <c r="L1477" t="str">
        <f t="shared" si="117"/>
        <v>Yes</v>
      </c>
      <c r="M1477" t="str">
        <f t="shared" si="119"/>
        <v>Yes</v>
      </c>
      <c r="N1477" t="str">
        <f t="shared" si="118"/>
        <v>Yes</v>
      </c>
    </row>
    <row r="1478" spans="1:14" x14ac:dyDescent="0.3">
      <c r="A1478" s="2" t="s">
        <v>2973</v>
      </c>
      <c r="B1478" s="2" t="s">
        <v>2974</v>
      </c>
      <c r="C1478" s="2" t="s">
        <v>14</v>
      </c>
      <c r="D1478" s="3">
        <v>45885</v>
      </c>
      <c r="E1478" s="3">
        <v>45891</v>
      </c>
      <c r="F1478" s="3">
        <v>45902</v>
      </c>
      <c r="G1478" s="2" t="s">
        <v>11</v>
      </c>
      <c r="H1478" s="2">
        <v>45</v>
      </c>
      <c r="I1478" s="2">
        <v>45</v>
      </c>
      <c r="J1478">
        <f t="shared" si="115"/>
        <v>17</v>
      </c>
      <c r="K1478">
        <f t="shared" si="116"/>
        <v>11</v>
      </c>
      <c r="L1478" t="str">
        <f t="shared" si="117"/>
        <v>No</v>
      </c>
      <c r="M1478" t="str">
        <f t="shared" si="119"/>
        <v>Yes</v>
      </c>
      <c r="N1478" t="str">
        <f t="shared" si="118"/>
        <v>No</v>
      </c>
    </row>
    <row r="1479" spans="1:14" x14ac:dyDescent="0.3">
      <c r="A1479" s="4" t="s">
        <v>2975</v>
      </c>
      <c r="B1479" s="4" t="s">
        <v>2976</v>
      </c>
      <c r="C1479" s="4" t="s">
        <v>21</v>
      </c>
      <c r="D1479" s="5">
        <v>45886</v>
      </c>
      <c r="E1479" s="5">
        <v>45895</v>
      </c>
      <c r="F1479" s="5">
        <v>45892</v>
      </c>
      <c r="G1479" s="4" t="s">
        <v>18</v>
      </c>
      <c r="H1479" s="4">
        <v>38</v>
      </c>
      <c r="I1479" s="2">
        <v>38</v>
      </c>
      <c r="J1479">
        <f t="shared" si="115"/>
        <v>6</v>
      </c>
      <c r="K1479">
        <f t="shared" si="116"/>
        <v>-3</v>
      </c>
      <c r="L1479" t="str">
        <f t="shared" si="117"/>
        <v>Yes</v>
      </c>
      <c r="M1479" t="str">
        <f t="shared" si="119"/>
        <v>Yes</v>
      </c>
      <c r="N1479" t="str">
        <f t="shared" si="118"/>
        <v>Yes</v>
      </c>
    </row>
    <row r="1480" spans="1:14" x14ac:dyDescent="0.3">
      <c r="A1480" s="2" t="s">
        <v>2977</v>
      </c>
      <c r="B1480" s="2" t="s">
        <v>2978</v>
      </c>
      <c r="C1480" s="2" t="s">
        <v>27</v>
      </c>
      <c r="D1480" s="3">
        <v>45887</v>
      </c>
      <c r="E1480" s="3">
        <v>45893</v>
      </c>
      <c r="F1480" s="3">
        <v>45902</v>
      </c>
      <c r="G1480" s="2" t="s">
        <v>11</v>
      </c>
      <c r="H1480" s="2">
        <v>6</v>
      </c>
      <c r="I1480" s="2">
        <v>6</v>
      </c>
      <c r="J1480">
        <f t="shared" si="115"/>
        <v>15</v>
      </c>
      <c r="K1480">
        <f t="shared" si="116"/>
        <v>9</v>
      </c>
      <c r="L1480" t="str">
        <f t="shared" si="117"/>
        <v>No</v>
      </c>
      <c r="M1480" t="str">
        <f t="shared" si="119"/>
        <v>Yes</v>
      </c>
      <c r="N1480" t="str">
        <f t="shared" si="118"/>
        <v>No</v>
      </c>
    </row>
    <row r="1481" spans="1:14" x14ac:dyDescent="0.3">
      <c r="A1481" s="4" t="s">
        <v>2979</v>
      </c>
      <c r="B1481" s="4" t="s">
        <v>2980</v>
      </c>
      <c r="C1481" s="4" t="s">
        <v>27</v>
      </c>
      <c r="D1481" s="5">
        <v>45887</v>
      </c>
      <c r="E1481" s="5">
        <v>45889</v>
      </c>
      <c r="F1481" s="5">
        <v>45902</v>
      </c>
      <c r="G1481" s="4" t="s">
        <v>15</v>
      </c>
      <c r="H1481" s="4">
        <v>9</v>
      </c>
      <c r="I1481" s="2">
        <v>9</v>
      </c>
      <c r="J1481">
        <f t="shared" si="115"/>
        <v>15</v>
      </c>
      <c r="K1481">
        <f t="shared" si="116"/>
        <v>13</v>
      </c>
      <c r="L1481" t="str">
        <f t="shared" si="117"/>
        <v>No</v>
      </c>
      <c r="M1481" t="str">
        <f t="shared" si="119"/>
        <v>Yes</v>
      </c>
      <c r="N1481" t="str">
        <f t="shared" si="118"/>
        <v>No</v>
      </c>
    </row>
    <row r="1482" spans="1:14" x14ac:dyDescent="0.3">
      <c r="A1482" s="2" t="s">
        <v>2981</v>
      </c>
      <c r="B1482" s="2" t="s">
        <v>2982</v>
      </c>
      <c r="C1482" s="2" t="s">
        <v>37</v>
      </c>
      <c r="D1482" s="3">
        <v>45886</v>
      </c>
      <c r="E1482" s="3">
        <v>45892</v>
      </c>
      <c r="F1482" s="3">
        <v>45899</v>
      </c>
      <c r="G1482" s="2" t="s">
        <v>40</v>
      </c>
      <c r="H1482" s="2">
        <v>30</v>
      </c>
      <c r="I1482" s="2">
        <v>35</v>
      </c>
      <c r="J1482">
        <f t="shared" si="115"/>
        <v>13</v>
      </c>
      <c r="K1482">
        <f t="shared" si="116"/>
        <v>7</v>
      </c>
      <c r="L1482" t="str">
        <f t="shared" si="117"/>
        <v>No</v>
      </c>
      <c r="M1482" t="str">
        <f t="shared" si="119"/>
        <v>No</v>
      </c>
      <c r="N1482" t="str">
        <f t="shared" si="118"/>
        <v>No</v>
      </c>
    </row>
    <row r="1483" spans="1:14" x14ac:dyDescent="0.3">
      <c r="A1483" s="4" t="s">
        <v>2983</v>
      </c>
      <c r="B1483" s="4" t="s">
        <v>2984</v>
      </c>
      <c r="C1483" s="4" t="s">
        <v>34</v>
      </c>
      <c r="D1483" s="5">
        <v>45886</v>
      </c>
      <c r="E1483" s="5">
        <v>45889</v>
      </c>
      <c r="F1483" s="5">
        <v>45895</v>
      </c>
      <c r="G1483" s="4" t="s">
        <v>40</v>
      </c>
      <c r="H1483" s="4">
        <v>24</v>
      </c>
      <c r="I1483" s="2">
        <v>24</v>
      </c>
      <c r="J1483">
        <f t="shared" si="115"/>
        <v>9</v>
      </c>
      <c r="K1483">
        <f t="shared" si="116"/>
        <v>6</v>
      </c>
      <c r="L1483" t="str">
        <f t="shared" si="117"/>
        <v>No</v>
      </c>
      <c r="M1483" t="str">
        <f t="shared" si="119"/>
        <v>Yes</v>
      </c>
      <c r="N1483" t="str">
        <f t="shared" si="118"/>
        <v>No</v>
      </c>
    </row>
    <row r="1484" spans="1:14" x14ac:dyDescent="0.3">
      <c r="A1484" s="2" t="s">
        <v>2985</v>
      </c>
      <c r="B1484" s="2" t="s">
        <v>2986</v>
      </c>
      <c r="C1484" s="2" t="s">
        <v>72</v>
      </c>
      <c r="D1484" s="3">
        <v>45888</v>
      </c>
      <c r="E1484" s="3">
        <v>45892</v>
      </c>
      <c r="F1484" s="3">
        <v>45901</v>
      </c>
      <c r="G1484" s="2" t="s">
        <v>40</v>
      </c>
      <c r="H1484" s="2">
        <v>17</v>
      </c>
      <c r="I1484" s="2">
        <v>17</v>
      </c>
      <c r="J1484">
        <f t="shared" si="115"/>
        <v>13</v>
      </c>
      <c r="K1484">
        <f t="shared" si="116"/>
        <v>9</v>
      </c>
      <c r="L1484" t="str">
        <f t="shared" si="117"/>
        <v>No</v>
      </c>
      <c r="M1484" t="str">
        <f t="shared" si="119"/>
        <v>Yes</v>
      </c>
      <c r="N1484" t="str">
        <f t="shared" si="118"/>
        <v>No</v>
      </c>
    </row>
    <row r="1485" spans="1:14" x14ac:dyDescent="0.3">
      <c r="A1485" s="4" t="s">
        <v>2987</v>
      </c>
      <c r="B1485" s="4" t="s">
        <v>2988</v>
      </c>
      <c r="C1485" s="4" t="s">
        <v>59</v>
      </c>
      <c r="D1485" s="5">
        <v>45887</v>
      </c>
      <c r="E1485" s="5">
        <v>45894</v>
      </c>
      <c r="F1485" s="5">
        <v>45891</v>
      </c>
      <c r="G1485" s="4" t="s">
        <v>40</v>
      </c>
      <c r="H1485" s="4">
        <v>34</v>
      </c>
      <c r="I1485" s="2">
        <v>34</v>
      </c>
      <c r="J1485">
        <f t="shared" si="115"/>
        <v>4</v>
      </c>
      <c r="K1485">
        <f t="shared" si="116"/>
        <v>-3</v>
      </c>
      <c r="L1485" t="str">
        <f t="shared" si="117"/>
        <v>Yes</v>
      </c>
      <c r="M1485" t="str">
        <f t="shared" si="119"/>
        <v>Yes</v>
      </c>
      <c r="N1485" t="str">
        <f t="shared" si="118"/>
        <v>Yes</v>
      </c>
    </row>
    <row r="1486" spans="1:14" x14ac:dyDescent="0.3">
      <c r="A1486" s="2" t="s">
        <v>2989</v>
      </c>
      <c r="B1486" s="2" t="s">
        <v>2990</v>
      </c>
      <c r="C1486" s="2" t="s">
        <v>21</v>
      </c>
      <c r="D1486" s="3">
        <v>45888</v>
      </c>
      <c r="E1486" s="3">
        <v>45895</v>
      </c>
      <c r="F1486" s="3">
        <v>45894</v>
      </c>
      <c r="G1486" s="2" t="s">
        <v>22</v>
      </c>
      <c r="H1486" s="2">
        <v>31</v>
      </c>
      <c r="I1486" s="2">
        <v>31</v>
      </c>
      <c r="J1486">
        <f t="shared" si="115"/>
        <v>6</v>
      </c>
      <c r="K1486">
        <f t="shared" si="116"/>
        <v>-1</v>
      </c>
      <c r="L1486" t="str">
        <f t="shared" si="117"/>
        <v>Yes</v>
      </c>
      <c r="M1486" t="str">
        <f t="shared" si="119"/>
        <v>Yes</v>
      </c>
      <c r="N1486" t="str">
        <f t="shared" si="118"/>
        <v>Yes</v>
      </c>
    </row>
    <row r="1487" spans="1:14" x14ac:dyDescent="0.3">
      <c r="A1487" s="4" t="s">
        <v>2991</v>
      </c>
      <c r="B1487" s="4" t="s">
        <v>2992</v>
      </c>
      <c r="C1487" s="4" t="s">
        <v>21</v>
      </c>
      <c r="D1487" s="5">
        <v>45888</v>
      </c>
      <c r="E1487" s="5">
        <v>45895</v>
      </c>
      <c r="F1487" s="5">
        <v>45894</v>
      </c>
      <c r="G1487" s="4" t="s">
        <v>15</v>
      </c>
      <c r="H1487" s="4">
        <v>47</v>
      </c>
      <c r="I1487" s="2">
        <v>47</v>
      </c>
      <c r="J1487">
        <f t="shared" si="115"/>
        <v>6</v>
      </c>
      <c r="K1487">
        <f t="shared" si="116"/>
        <v>-1</v>
      </c>
      <c r="L1487" t="str">
        <f t="shared" si="117"/>
        <v>Yes</v>
      </c>
      <c r="M1487" t="str">
        <f t="shared" si="119"/>
        <v>Yes</v>
      </c>
      <c r="N1487" t="str">
        <f t="shared" si="118"/>
        <v>Yes</v>
      </c>
    </row>
    <row r="1488" spans="1:14" x14ac:dyDescent="0.3">
      <c r="A1488" s="2" t="s">
        <v>2993</v>
      </c>
      <c r="B1488" s="2" t="s">
        <v>2994</v>
      </c>
      <c r="C1488" s="2" t="s">
        <v>27</v>
      </c>
      <c r="D1488" s="3">
        <v>45886</v>
      </c>
      <c r="E1488" s="3">
        <v>45890</v>
      </c>
      <c r="F1488" s="3">
        <v>45903</v>
      </c>
      <c r="G1488" s="2" t="s">
        <v>15</v>
      </c>
      <c r="H1488" s="2">
        <v>3</v>
      </c>
      <c r="I1488" s="2">
        <v>3</v>
      </c>
      <c r="J1488">
        <f t="shared" si="115"/>
        <v>17</v>
      </c>
      <c r="K1488">
        <f t="shared" si="116"/>
        <v>13</v>
      </c>
      <c r="L1488" t="str">
        <f t="shared" si="117"/>
        <v>No</v>
      </c>
      <c r="M1488" t="str">
        <f t="shared" si="119"/>
        <v>Yes</v>
      </c>
      <c r="N1488" t="str">
        <f t="shared" si="118"/>
        <v>No</v>
      </c>
    </row>
    <row r="1489" spans="1:14" x14ac:dyDescent="0.3">
      <c r="A1489" s="4" t="s">
        <v>2995</v>
      </c>
      <c r="B1489" s="4" t="s">
        <v>2996</v>
      </c>
      <c r="C1489" s="4" t="s">
        <v>27</v>
      </c>
      <c r="D1489" s="5">
        <v>45886</v>
      </c>
      <c r="E1489" s="5">
        <v>45895</v>
      </c>
      <c r="F1489" s="5">
        <v>45903</v>
      </c>
      <c r="G1489" s="4" t="s">
        <v>11</v>
      </c>
      <c r="H1489" s="4">
        <v>11</v>
      </c>
      <c r="I1489" s="2">
        <v>11</v>
      </c>
      <c r="J1489">
        <f t="shared" si="115"/>
        <v>17</v>
      </c>
      <c r="K1489">
        <f t="shared" si="116"/>
        <v>8</v>
      </c>
      <c r="L1489" t="str">
        <f t="shared" si="117"/>
        <v>No</v>
      </c>
      <c r="M1489" t="str">
        <f t="shared" si="119"/>
        <v>Yes</v>
      </c>
      <c r="N1489" t="str">
        <f t="shared" si="118"/>
        <v>No</v>
      </c>
    </row>
    <row r="1490" spans="1:14" x14ac:dyDescent="0.3">
      <c r="A1490" s="2" t="s">
        <v>2997</v>
      </c>
      <c r="B1490" s="2" t="s">
        <v>2998</v>
      </c>
      <c r="C1490" s="2" t="s">
        <v>37</v>
      </c>
      <c r="D1490" s="3">
        <v>45888</v>
      </c>
      <c r="E1490" s="3">
        <v>45891</v>
      </c>
      <c r="F1490" s="3">
        <v>45901</v>
      </c>
      <c r="G1490" s="2" t="s">
        <v>15</v>
      </c>
      <c r="H1490" s="2">
        <v>41</v>
      </c>
      <c r="I1490" s="2">
        <v>41</v>
      </c>
      <c r="J1490">
        <f t="shared" si="115"/>
        <v>13</v>
      </c>
      <c r="K1490">
        <f t="shared" si="116"/>
        <v>10</v>
      </c>
      <c r="L1490" t="str">
        <f t="shared" si="117"/>
        <v>No</v>
      </c>
      <c r="M1490" t="str">
        <f t="shared" si="119"/>
        <v>Yes</v>
      </c>
      <c r="N1490" t="str">
        <f t="shared" si="118"/>
        <v>No</v>
      </c>
    </row>
    <row r="1491" spans="1:14" x14ac:dyDescent="0.3">
      <c r="A1491" s="4" t="s">
        <v>2999</v>
      </c>
      <c r="B1491" s="4" t="s">
        <v>3000</v>
      </c>
      <c r="C1491" s="4" t="s">
        <v>72</v>
      </c>
      <c r="D1491" s="5">
        <v>45889</v>
      </c>
      <c r="E1491" s="5">
        <v>45895</v>
      </c>
      <c r="F1491" s="5">
        <v>45907</v>
      </c>
      <c r="G1491" s="4" t="s">
        <v>11</v>
      </c>
      <c r="H1491" s="4">
        <v>10</v>
      </c>
      <c r="I1491" s="2">
        <v>18</v>
      </c>
      <c r="J1491">
        <f t="shared" si="115"/>
        <v>18</v>
      </c>
      <c r="K1491">
        <f t="shared" si="116"/>
        <v>12</v>
      </c>
      <c r="L1491" t="str">
        <f t="shared" si="117"/>
        <v>No</v>
      </c>
      <c r="M1491" t="str">
        <f t="shared" si="119"/>
        <v>No</v>
      </c>
      <c r="N1491" t="str">
        <f t="shared" si="118"/>
        <v>No</v>
      </c>
    </row>
    <row r="1492" spans="1:14" x14ac:dyDescent="0.3">
      <c r="A1492" s="2" t="s">
        <v>3001</v>
      </c>
      <c r="B1492" s="2" t="s">
        <v>3002</v>
      </c>
      <c r="C1492" s="2" t="s">
        <v>14</v>
      </c>
      <c r="D1492" s="3">
        <v>45889</v>
      </c>
      <c r="E1492" s="3">
        <v>45896</v>
      </c>
      <c r="F1492" s="3">
        <v>45903</v>
      </c>
      <c r="G1492" s="2" t="s">
        <v>15</v>
      </c>
      <c r="H1492" s="2">
        <v>8</v>
      </c>
      <c r="I1492" s="2">
        <v>8</v>
      </c>
      <c r="J1492">
        <f t="shared" si="115"/>
        <v>14</v>
      </c>
      <c r="K1492">
        <f t="shared" si="116"/>
        <v>7</v>
      </c>
      <c r="L1492" t="str">
        <f t="shared" si="117"/>
        <v>No</v>
      </c>
      <c r="M1492" t="str">
        <f t="shared" si="119"/>
        <v>Yes</v>
      </c>
      <c r="N1492" t="str">
        <f t="shared" si="118"/>
        <v>No</v>
      </c>
    </row>
    <row r="1493" spans="1:14" x14ac:dyDescent="0.3">
      <c r="A1493" s="4" t="s">
        <v>3003</v>
      </c>
      <c r="B1493" s="4" t="s">
        <v>3004</v>
      </c>
      <c r="C1493" s="4" t="s">
        <v>14</v>
      </c>
      <c r="D1493" s="5">
        <v>45889</v>
      </c>
      <c r="E1493" s="5">
        <v>45891</v>
      </c>
      <c r="F1493" s="5">
        <v>45905</v>
      </c>
      <c r="G1493" s="4" t="s">
        <v>18</v>
      </c>
      <c r="H1493" s="4">
        <v>55</v>
      </c>
      <c r="I1493" s="2">
        <v>61</v>
      </c>
      <c r="J1493">
        <f t="shared" si="115"/>
        <v>16</v>
      </c>
      <c r="K1493">
        <f t="shared" si="116"/>
        <v>14</v>
      </c>
      <c r="L1493" t="str">
        <f t="shared" si="117"/>
        <v>No</v>
      </c>
      <c r="M1493" t="str">
        <f t="shared" si="119"/>
        <v>No</v>
      </c>
      <c r="N1493" t="str">
        <f t="shared" si="118"/>
        <v>No</v>
      </c>
    </row>
    <row r="1494" spans="1:14" x14ac:dyDescent="0.3">
      <c r="A1494" s="2" t="s">
        <v>3005</v>
      </c>
      <c r="B1494" s="2" t="s">
        <v>3006</v>
      </c>
      <c r="C1494" s="2" t="s">
        <v>14</v>
      </c>
      <c r="D1494" s="3">
        <v>45888</v>
      </c>
      <c r="E1494" s="3">
        <v>45894</v>
      </c>
      <c r="F1494" s="3">
        <v>45903</v>
      </c>
      <c r="G1494" s="2" t="s">
        <v>11</v>
      </c>
      <c r="H1494" s="2">
        <v>31</v>
      </c>
      <c r="I1494" s="2">
        <v>31</v>
      </c>
      <c r="J1494">
        <f t="shared" si="115"/>
        <v>15</v>
      </c>
      <c r="K1494">
        <f t="shared" si="116"/>
        <v>9</v>
      </c>
      <c r="L1494" t="str">
        <f t="shared" si="117"/>
        <v>No</v>
      </c>
      <c r="M1494" t="str">
        <f t="shared" si="119"/>
        <v>Yes</v>
      </c>
      <c r="N1494" t="str">
        <f t="shared" si="118"/>
        <v>No</v>
      </c>
    </row>
    <row r="1495" spans="1:14" x14ac:dyDescent="0.3">
      <c r="A1495" s="4" t="s">
        <v>3007</v>
      </c>
      <c r="B1495" s="4" t="s">
        <v>3008</v>
      </c>
      <c r="C1495" s="4" t="s">
        <v>21</v>
      </c>
      <c r="D1495" s="5">
        <v>45888</v>
      </c>
      <c r="E1495" s="5">
        <v>45894</v>
      </c>
      <c r="F1495" s="5">
        <v>45894</v>
      </c>
      <c r="G1495" s="4" t="s">
        <v>40</v>
      </c>
      <c r="H1495" s="4">
        <v>27</v>
      </c>
      <c r="I1495" s="2">
        <v>27</v>
      </c>
      <c r="J1495">
        <f t="shared" si="115"/>
        <v>6</v>
      </c>
      <c r="K1495">
        <f t="shared" si="116"/>
        <v>0</v>
      </c>
      <c r="L1495" t="str">
        <f t="shared" si="117"/>
        <v>Yes</v>
      </c>
      <c r="M1495" t="str">
        <f t="shared" si="119"/>
        <v>Yes</v>
      </c>
      <c r="N1495" t="str">
        <f t="shared" si="118"/>
        <v>Yes</v>
      </c>
    </row>
    <row r="1496" spans="1:14" x14ac:dyDescent="0.3">
      <c r="A1496" s="2" t="s">
        <v>3009</v>
      </c>
      <c r="B1496" s="2" t="s">
        <v>3010</v>
      </c>
      <c r="C1496" s="2" t="s">
        <v>27</v>
      </c>
      <c r="D1496" s="3">
        <v>45888</v>
      </c>
      <c r="E1496" s="3">
        <v>45892</v>
      </c>
      <c r="F1496" s="3">
        <v>45900</v>
      </c>
      <c r="G1496" s="2" t="s">
        <v>15</v>
      </c>
      <c r="H1496" s="2">
        <v>23</v>
      </c>
      <c r="I1496" s="2">
        <v>23</v>
      </c>
      <c r="J1496">
        <f t="shared" si="115"/>
        <v>12</v>
      </c>
      <c r="K1496">
        <f t="shared" si="116"/>
        <v>8</v>
      </c>
      <c r="L1496" t="str">
        <f t="shared" si="117"/>
        <v>No</v>
      </c>
      <c r="M1496" t="str">
        <f t="shared" si="119"/>
        <v>Yes</v>
      </c>
      <c r="N1496" t="str">
        <f t="shared" si="118"/>
        <v>No</v>
      </c>
    </row>
    <row r="1497" spans="1:14" x14ac:dyDescent="0.3">
      <c r="A1497" s="4" t="s">
        <v>3011</v>
      </c>
      <c r="B1497" s="4" t="s">
        <v>3012</v>
      </c>
      <c r="C1497" s="4" t="s">
        <v>27</v>
      </c>
      <c r="D1497" s="5">
        <v>45888</v>
      </c>
      <c r="E1497" s="5">
        <v>45897</v>
      </c>
      <c r="F1497" s="5">
        <v>45902</v>
      </c>
      <c r="G1497" s="4" t="s">
        <v>18</v>
      </c>
      <c r="H1497" s="4">
        <v>1</v>
      </c>
      <c r="I1497" s="2">
        <v>7</v>
      </c>
      <c r="J1497">
        <f t="shared" si="115"/>
        <v>14</v>
      </c>
      <c r="K1497">
        <f t="shared" si="116"/>
        <v>5</v>
      </c>
      <c r="L1497" t="str">
        <f t="shared" si="117"/>
        <v>No</v>
      </c>
      <c r="M1497" t="str">
        <f t="shared" si="119"/>
        <v>No</v>
      </c>
      <c r="N1497" t="str">
        <f t="shared" si="118"/>
        <v>No</v>
      </c>
    </row>
    <row r="1498" spans="1:14" x14ac:dyDescent="0.3">
      <c r="A1498" s="2" t="s">
        <v>3013</v>
      </c>
      <c r="B1498" s="2" t="s">
        <v>3014</v>
      </c>
      <c r="C1498" s="2" t="s">
        <v>34</v>
      </c>
      <c r="D1498" s="3">
        <v>45890</v>
      </c>
      <c r="E1498" s="3">
        <v>45891</v>
      </c>
      <c r="F1498" s="3">
        <v>45901</v>
      </c>
      <c r="G1498" s="2" t="s">
        <v>40</v>
      </c>
      <c r="H1498" s="2">
        <v>44</v>
      </c>
      <c r="I1498" s="2">
        <v>44</v>
      </c>
      <c r="J1498">
        <f t="shared" si="115"/>
        <v>11</v>
      </c>
      <c r="K1498">
        <f t="shared" si="116"/>
        <v>10</v>
      </c>
      <c r="L1498" t="str">
        <f t="shared" si="117"/>
        <v>No</v>
      </c>
      <c r="M1498" t="str">
        <f t="shared" si="119"/>
        <v>Yes</v>
      </c>
      <c r="N1498" t="str">
        <f t="shared" si="118"/>
        <v>No</v>
      </c>
    </row>
    <row r="1499" spans="1:14" x14ac:dyDescent="0.3">
      <c r="A1499" s="4" t="s">
        <v>3015</v>
      </c>
      <c r="B1499" s="4" t="s">
        <v>3016</v>
      </c>
      <c r="C1499" s="4" t="s">
        <v>37</v>
      </c>
      <c r="D1499" s="5">
        <v>45890</v>
      </c>
      <c r="E1499" s="5">
        <v>45893</v>
      </c>
      <c r="F1499" s="5">
        <v>45902</v>
      </c>
      <c r="G1499" s="4" t="s">
        <v>40</v>
      </c>
      <c r="H1499" s="4">
        <v>22</v>
      </c>
      <c r="I1499" s="2">
        <v>22</v>
      </c>
      <c r="J1499">
        <f t="shared" si="115"/>
        <v>12</v>
      </c>
      <c r="K1499">
        <f t="shared" si="116"/>
        <v>9</v>
      </c>
      <c r="L1499" t="str">
        <f t="shared" si="117"/>
        <v>No</v>
      </c>
      <c r="M1499" t="str">
        <f t="shared" si="119"/>
        <v>Yes</v>
      </c>
      <c r="N1499" t="str">
        <f t="shared" si="118"/>
        <v>No</v>
      </c>
    </row>
    <row r="1500" spans="1:14" x14ac:dyDescent="0.3">
      <c r="A1500" s="2" t="s">
        <v>3017</v>
      </c>
      <c r="B1500" s="2" t="s">
        <v>3018</v>
      </c>
      <c r="C1500" s="2" t="s">
        <v>72</v>
      </c>
      <c r="D1500" s="3">
        <v>45888</v>
      </c>
      <c r="E1500" s="3">
        <v>45898</v>
      </c>
      <c r="F1500" s="3">
        <v>45902</v>
      </c>
      <c r="G1500" s="2" t="s">
        <v>18</v>
      </c>
      <c r="H1500" s="2">
        <v>35</v>
      </c>
      <c r="I1500" s="2">
        <v>35</v>
      </c>
      <c r="J1500">
        <f t="shared" si="115"/>
        <v>14</v>
      </c>
      <c r="K1500">
        <f t="shared" si="116"/>
        <v>4</v>
      </c>
      <c r="L1500" t="str">
        <f t="shared" si="117"/>
        <v>No</v>
      </c>
      <c r="M1500" t="str">
        <f t="shared" si="119"/>
        <v>Yes</v>
      </c>
      <c r="N1500" t="str">
        <f t="shared" si="118"/>
        <v>No</v>
      </c>
    </row>
    <row r="1501" spans="1:14" x14ac:dyDescent="0.3">
      <c r="A1501" s="4" t="s">
        <v>3019</v>
      </c>
      <c r="B1501" s="4" t="s">
        <v>3020</v>
      </c>
      <c r="C1501" s="4" t="s">
        <v>59</v>
      </c>
      <c r="D1501" s="5">
        <v>45888</v>
      </c>
      <c r="E1501" s="5">
        <v>45891</v>
      </c>
      <c r="F1501" s="5">
        <v>45892</v>
      </c>
      <c r="G1501" s="4" t="s">
        <v>22</v>
      </c>
      <c r="H1501" s="4">
        <v>23</v>
      </c>
      <c r="I1501" s="2">
        <v>23</v>
      </c>
      <c r="J1501">
        <f t="shared" si="115"/>
        <v>4</v>
      </c>
      <c r="K1501">
        <f t="shared" si="116"/>
        <v>1</v>
      </c>
      <c r="L1501" t="str">
        <f t="shared" si="117"/>
        <v>No</v>
      </c>
      <c r="M1501" t="str">
        <f t="shared" si="119"/>
        <v>Yes</v>
      </c>
      <c r="N1501" t="str">
        <f t="shared" si="118"/>
        <v>No</v>
      </c>
    </row>
    <row r="1502" spans="1:14" x14ac:dyDescent="0.3">
      <c r="A1502" s="2" t="s">
        <v>3021</v>
      </c>
      <c r="B1502" s="2" t="s">
        <v>3022</v>
      </c>
      <c r="C1502" s="2" t="s">
        <v>21</v>
      </c>
      <c r="D1502" s="3">
        <v>45890</v>
      </c>
      <c r="E1502" s="3">
        <v>45892</v>
      </c>
      <c r="F1502" s="3">
        <v>45897</v>
      </c>
      <c r="G1502" s="2" t="s">
        <v>40</v>
      </c>
      <c r="H1502" s="2">
        <v>45</v>
      </c>
      <c r="I1502" s="2">
        <v>45</v>
      </c>
      <c r="J1502">
        <f t="shared" si="115"/>
        <v>7</v>
      </c>
      <c r="K1502">
        <f t="shared" si="116"/>
        <v>5</v>
      </c>
      <c r="L1502" t="str">
        <f t="shared" si="117"/>
        <v>No</v>
      </c>
      <c r="M1502" t="str">
        <f t="shared" si="119"/>
        <v>Yes</v>
      </c>
      <c r="N1502" t="str">
        <f t="shared" si="118"/>
        <v>No</v>
      </c>
    </row>
    <row r="1503" spans="1:14" x14ac:dyDescent="0.3">
      <c r="A1503" s="4" t="s">
        <v>3023</v>
      </c>
      <c r="B1503" s="4" t="s">
        <v>3024</v>
      </c>
      <c r="C1503" s="4" t="s">
        <v>27</v>
      </c>
      <c r="D1503" s="5">
        <v>45889</v>
      </c>
      <c r="E1503" s="5">
        <v>45898</v>
      </c>
      <c r="F1503" s="5">
        <v>45903</v>
      </c>
      <c r="G1503" s="4" t="s">
        <v>18</v>
      </c>
      <c r="H1503" s="4">
        <v>33</v>
      </c>
      <c r="I1503" s="2">
        <v>33</v>
      </c>
      <c r="J1503">
        <f t="shared" si="115"/>
        <v>14</v>
      </c>
      <c r="K1503">
        <f t="shared" si="116"/>
        <v>5</v>
      </c>
      <c r="L1503" t="str">
        <f t="shared" si="117"/>
        <v>No</v>
      </c>
      <c r="M1503" t="str">
        <f t="shared" si="119"/>
        <v>Yes</v>
      </c>
      <c r="N1503" t="str">
        <f t="shared" si="118"/>
        <v>No</v>
      </c>
    </row>
    <row r="1504" spans="1:14" x14ac:dyDescent="0.3">
      <c r="A1504" s="2" t="s">
        <v>3025</v>
      </c>
      <c r="B1504" s="2" t="s">
        <v>3026</v>
      </c>
      <c r="C1504" s="2" t="s">
        <v>27</v>
      </c>
      <c r="D1504" s="3">
        <v>45890</v>
      </c>
      <c r="E1504" s="3">
        <v>45897</v>
      </c>
      <c r="F1504" s="3">
        <v>45905</v>
      </c>
      <c r="G1504" s="2" t="s">
        <v>18</v>
      </c>
      <c r="H1504" s="2">
        <v>7</v>
      </c>
      <c r="I1504" s="2">
        <v>7</v>
      </c>
      <c r="J1504">
        <f t="shared" si="115"/>
        <v>15</v>
      </c>
      <c r="K1504">
        <f t="shared" si="116"/>
        <v>8</v>
      </c>
      <c r="L1504" t="str">
        <f t="shared" si="117"/>
        <v>No</v>
      </c>
      <c r="M1504" t="str">
        <f t="shared" si="119"/>
        <v>Yes</v>
      </c>
      <c r="N1504" t="str">
        <f t="shared" si="118"/>
        <v>No</v>
      </c>
    </row>
    <row r="1505" spans="1:14" x14ac:dyDescent="0.3">
      <c r="A1505" s="4" t="s">
        <v>3027</v>
      </c>
      <c r="B1505" s="4" t="s">
        <v>3028</v>
      </c>
      <c r="C1505" s="4" t="s">
        <v>27</v>
      </c>
      <c r="D1505" s="5">
        <v>45888</v>
      </c>
      <c r="E1505" s="5">
        <v>45896</v>
      </c>
      <c r="F1505" s="5">
        <v>45901</v>
      </c>
      <c r="G1505" s="4" t="s">
        <v>15</v>
      </c>
      <c r="H1505" s="4">
        <v>10</v>
      </c>
      <c r="I1505" s="2">
        <v>10</v>
      </c>
      <c r="J1505">
        <f t="shared" si="115"/>
        <v>13</v>
      </c>
      <c r="K1505">
        <f t="shared" si="116"/>
        <v>5</v>
      </c>
      <c r="L1505" t="str">
        <f t="shared" si="117"/>
        <v>No</v>
      </c>
      <c r="M1505" t="str">
        <f t="shared" si="119"/>
        <v>Yes</v>
      </c>
      <c r="N1505" t="str">
        <f t="shared" si="118"/>
        <v>No</v>
      </c>
    </row>
    <row r="1506" spans="1:14" x14ac:dyDescent="0.3">
      <c r="A1506" s="2" t="s">
        <v>3029</v>
      </c>
      <c r="B1506" s="2" t="s">
        <v>3030</v>
      </c>
      <c r="C1506" s="2" t="s">
        <v>34</v>
      </c>
      <c r="D1506" s="3">
        <v>45891</v>
      </c>
      <c r="E1506" s="3">
        <v>45899</v>
      </c>
      <c r="F1506" s="3">
        <v>45899</v>
      </c>
      <c r="G1506" s="2" t="s">
        <v>15</v>
      </c>
      <c r="H1506" s="2">
        <v>27</v>
      </c>
      <c r="I1506" s="2">
        <v>27</v>
      </c>
      <c r="J1506">
        <f t="shared" si="115"/>
        <v>8</v>
      </c>
      <c r="K1506">
        <f t="shared" si="116"/>
        <v>0</v>
      </c>
      <c r="L1506" t="str">
        <f t="shared" si="117"/>
        <v>Yes</v>
      </c>
      <c r="M1506" t="str">
        <f t="shared" si="119"/>
        <v>Yes</v>
      </c>
      <c r="N1506" t="str">
        <f t="shared" si="118"/>
        <v>Yes</v>
      </c>
    </row>
    <row r="1507" spans="1:14" x14ac:dyDescent="0.3">
      <c r="A1507" s="4" t="s">
        <v>3031</v>
      </c>
      <c r="B1507" s="4" t="s">
        <v>3032</v>
      </c>
      <c r="C1507" s="4" t="s">
        <v>72</v>
      </c>
      <c r="D1507" s="5">
        <v>45891</v>
      </c>
      <c r="E1507" s="5">
        <v>45895</v>
      </c>
      <c r="F1507" s="5">
        <v>45905</v>
      </c>
      <c r="G1507" s="4" t="s">
        <v>15</v>
      </c>
      <c r="H1507" s="4">
        <v>23</v>
      </c>
      <c r="I1507" s="2">
        <v>23</v>
      </c>
      <c r="J1507">
        <f t="shared" si="115"/>
        <v>14</v>
      </c>
      <c r="K1507">
        <f t="shared" si="116"/>
        <v>10</v>
      </c>
      <c r="L1507" t="str">
        <f t="shared" si="117"/>
        <v>No</v>
      </c>
      <c r="M1507" t="str">
        <f t="shared" si="119"/>
        <v>Yes</v>
      </c>
      <c r="N1507" t="str">
        <f t="shared" si="118"/>
        <v>No</v>
      </c>
    </row>
    <row r="1508" spans="1:14" x14ac:dyDescent="0.3">
      <c r="A1508" s="2" t="s">
        <v>3033</v>
      </c>
      <c r="B1508" s="2" t="s">
        <v>3034</v>
      </c>
      <c r="C1508" s="2" t="s">
        <v>59</v>
      </c>
      <c r="D1508" s="3">
        <v>45890</v>
      </c>
      <c r="E1508" s="3">
        <v>45899</v>
      </c>
      <c r="F1508" s="3">
        <v>45893</v>
      </c>
      <c r="G1508" s="2" t="s">
        <v>18</v>
      </c>
      <c r="H1508" s="2">
        <v>49</v>
      </c>
      <c r="I1508" s="2">
        <v>49</v>
      </c>
      <c r="J1508">
        <f t="shared" si="115"/>
        <v>3</v>
      </c>
      <c r="K1508">
        <f t="shared" si="116"/>
        <v>-6</v>
      </c>
      <c r="L1508" t="str">
        <f t="shared" si="117"/>
        <v>Yes</v>
      </c>
      <c r="M1508" t="str">
        <f t="shared" si="119"/>
        <v>Yes</v>
      </c>
      <c r="N1508" t="str">
        <f t="shared" si="118"/>
        <v>Yes</v>
      </c>
    </row>
    <row r="1509" spans="1:14" x14ac:dyDescent="0.3">
      <c r="A1509" s="4" t="s">
        <v>3035</v>
      </c>
      <c r="B1509" s="4" t="s">
        <v>3036</v>
      </c>
      <c r="C1509" s="4" t="s">
        <v>59</v>
      </c>
      <c r="D1509" s="5">
        <v>45889</v>
      </c>
      <c r="E1509" s="5">
        <v>45892</v>
      </c>
      <c r="F1509" s="5">
        <v>45894</v>
      </c>
      <c r="G1509" s="4" t="s">
        <v>11</v>
      </c>
      <c r="H1509" s="4">
        <v>8</v>
      </c>
      <c r="I1509" s="2">
        <v>8</v>
      </c>
      <c r="J1509">
        <f t="shared" si="115"/>
        <v>5</v>
      </c>
      <c r="K1509">
        <f t="shared" si="116"/>
        <v>2</v>
      </c>
      <c r="L1509" t="str">
        <f t="shared" si="117"/>
        <v>No</v>
      </c>
      <c r="M1509" t="str">
        <f t="shared" si="119"/>
        <v>Yes</v>
      </c>
      <c r="N1509" t="str">
        <f t="shared" si="118"/>
        <v>No</v>
      </c>
    </row>
    <row r="1510" spans="1:14" x14ac:dyDescent="0.3">
      <c r="A1510" s="2" t="s">
        <v>3037</v>
      </c>
      <c r="B1510" s="2" t="s">
        <v>3038</v>
      </c>
      <c r="C1510" s="2" t="s">
        <v>21</v>
      </c>
      <c r="D1510" s="3">
        <v>45889</v>
      </c>
      <c r="E1510" s="3">
        <v>45893</v>
      </c>
      <c r="F1510" s="3">
        <v>45895</v>
      </c>
      <c r="G1510" s="2" t="s">
        <v>18</v>
      </c>
      <c r="H1510" s="2">
        <v>34</v>
      </c>
      <c r="I1510" s="2">
        <v>34</v>
      </c>
      <c r="J1510">
        <f t="shared" si="115"/>
        <v>6</v>
      </c>
      <c r="K1510">
        <f t="shared" si="116"/>
        <v>2</v>
      </c>
      <c r="L1510" t="str">
        <f t="shared" si="117"/>
        <v>No</v>
      </c>
      <c r="M1510" t="str">
        <f t="shared" si="119"/>
        <v>Yes</v>
      </c>
      <c r="N1510" t="str">
        <f t="shared" si="118"/>
        <v>No</v>
      </c>
    </row>
    <row r="1511" spans="1:14" x14ac:dyDescent="0.3">
      <c r="A1511" s="4" t="s">
        <v>3039</v>
      </c>
      <c r="B1511" s="4" t="s">
        <v>3040</v>
      </c>
      <c r="C1511" s="4" t="s">
        <v>21</v>
      </c>
      <c r="D1511" s="5">
        <v>45891</v>
      </c>
      <c r="E1511" s="5">
        <v>45899</v>
      </c>
      <c r="F1511" s="5">
        <v>45896</v>
      </c>
      <c r="G1511" s="4" t="s">
        <v>15</v>
      </c>
      <c r="H1511" s="4">
        <v>31</v>
      </c>
      <c r="I1511" s="2">
        <v>34</v>
      </c>
      <c r="J1511">
        <f t="shared" si="115"/>
        <v>5</v>
      </c>
      <c r="K1511">
        <f t="shared" si="116"/>
        <v>-3</v>
      </c>
      <c r="L1511" t="str">
        <f t="shared" si="117"/>
        <v>Yes</v>
      </c>
      <c r="M1511" t="str">
        <f t="shared" si="119"/>
        <v>No</v>
      </c>
      <c r="N1511" t="str">
        <f t="shared" si="118"/>
        <v>No</v>
      </c>
    </row>
    <row r="1512" spans="1:14" x14ac:dyDescent="0.3">
      <c r="A1512" s="2" t="s">
        <v>3041</v>
      </c>
      <c r="B1512" s="2" t="s">
        <v>3042</v>
      </c>
      <c r="C1512" s="2" t="s">
        <v>27</v>
      </c>
      <c r="D1512" s="3">
        <v>45889</v>
      </c>
      <c r="E1512" s="3">
        <v>45898</v>
      </c>
      <c r="F1512" s="3">
        <v>45901</v>
      </c>
      <c r="G1512" s="2" t="s">
        <v>11</v>
      </c>
      <c r="H1512" s="2">
        <v>28</v>
      </c>
      <c r="I1512" s="2">
        <v>28</v>
      </c>
      <c r="J1512">
        <f t="shared" si="115"/>
        <v>12</v>
      </c>
      <c r="K1512">
        <f t="shared" si="116"/>
        <v>3</v>
      </c>
      <c r="L1512" t="str">
        <f t="shared" si="117"/>
        <v>No</v>
      </c>
      <c r="M1512" t="str">
        <f t="shared" si="119"/>
        <v>Yes</v>
      </c>
      <c r="N1512" t="str">
        <f t="shared" si="118"/>
        <v>No</v>
      </c>
    </row>
    <row r="1513" spans="1:14" x14ac:dyDescent="0.3">
      <c r="A1513" s="4" t="s">
        <v>3043</v>
      </c>
      <c r="B1513" s="4" t="s">
        <v>3044</v>
      </c>
      <c r="C1513" s="4" t="s">
        <v>27</v>
      </c>
      <c r="D1513" s="5">
        <v>45889</v>
      </c>
      <c r="E1513" s="5">
        <v>45897</v>
      </c>
      <c r="F1513" s="5">
        <v>45904</v>
      </c>
      <c r="G1513" s="4" t="s">
        <v>15</v>
      </c>
      <c r="H1513" s="4">
        <v>5</v>
      </c>
      <c r="I1513" s="2">
        <v>5</v>
      </c>
      <c r="J1513">
        <f t="shared" si="115"/>
        <v>15</v>
      </c>
      <c r="K1513">
        <f t="shared" si="116"/>
        <v>7</v>
      </c>
      <c r="L1513" t="str">
        <f t="shared" si="117"/>
        <v>No</v>
      </c>
      <c r="M1513" t="str">
        <f t="shared" si="119"/>
        <v>Yes</v>
      </c>
      <c r="N1513" t="str">
        <f t="shared" si="118"/>
        <v>No</v>
      </c>
    </row>
    <row r="1514" spans="1:14" x14ac:dyDescent="0.3">
      <c r="A1514" s="2" t="s">
        <v>3045</v>
      </c>
      <c r="B1514" s="2" t="s">
        <v>3046</v>
      </c>
      <c r="C1514" s="2" t="s">
        <v>34</v>
      </c>
      <c r="D1514" s="3">
        <v>45890</v>
      </c>
      <c r="E1514" s="3">
        <v>45899</v>
      </c>
      <c r="F1514" s="3">
        <v>45901</v>
      </c>
      <c r="G1514" s="2" t="s">
        <v>22</v>
      </c>
      <c r="H1514" s="2">
        <v>15</v>
      </c>
      <c r="I1514" s="2">
        <v>15</v>
      </c>
      <c r="J1514">
        <f t="shared" si="115"/>
        <v>11</v>
      </c>
      <c r="K1514">
        <f t="shared" si="116"/>
        <v>2</v>
      </c>
      <c r="L1514" t="str">
        <f t="shared" si="117"/>
        <v>No</v>
      </c>
      <c r="M1514" t="str">
        <f t="shared" si="119"/>
        <v>Yes</v>
      </c>
      <c r="N1514" t="str">
        <f t="shared" si="118"/>
        <v>No</v>
      </c>
    </row>
    <row r="1515" spans="1:14" x14ac:dyDescent="0.3">
      <c r="A1515" s="4" t="s">
        <v>3047</v>
      </c>
      <c r="B1515" s="4" t="s">
        <v>3048</v>
      </c>
      <c r="C1515" s="4" t="s">
        <v>34</v>
      </c>
      <c r="D1515" s="5">
        <v>45892</v>
      </c>
      <c r="E1515" s="5">
        <v>45895</v>
      </c>
      <c r="F1515" s="5">
        <v>45901</v>
      </c>
      <c r="G1515" s="4" t="s">
        <v>22</v>
      </c>
      <c r="H1515" s="4">
        <v>24</v>
      </c>
      <c r="I1515" s="2">
        <v>24</v>
      </c>
      <c r="J1515">
        <f t="shared" si="115"/>
        <v>9</v>
      </c>
      <c r="K1515">
        <f t="shared" si="116"/>
        <v>6</v>
      </c>
      <c r="L1515" t="str">
        <f t="shared" si="117"/>
        <v>No</v>
      </c>
      <c r="M1515" t="str">
        <f t="shared" si="119"/>
        <v>Yes</v>
      </c>
      <c r="N1515" t="str">
        <f t="shared" si="118"/>
        <v>No</v>
      </c>
    </row>
    <row r="1516" spans="1:14" x14ac:dyDescent="0.3">
      <c r="A1516" s="2" t="s">
        <v>3049</v>
      </c>
      <c r="B1516" s="2" t="s">
        <v>3050</v>
      </c>
      <c r="C1516" s="2" t="s">
        <v>72</v>
      </c>
      <c r="D1516" s="3">
        <v>45892</v>
      </c>
      <c r="E1516" s="3">
        <v>45900</v>
      </c>
      <c r="F1516" s="3">
        <v>45907</v>
      </c>
      <c r="G1516" s="2" t="s">
        <v>22</v>
      </c>
      <c r="H1516" s="2">
        <v>17</v>
      </c>
      <c r="I1516" s="2">
        <v>22</v>
      </c>
      <c r="J1516">
        <f t="shared" si="115"/>
        <v>15</v>
      </c>
      <c r="K1516">
        <f t="shared" si="116"/>
        <v>7</v>
      </c>
      <c r="L1516" t="str">
        <f t="shared" si="117"/>
        <v>No</v>
      </c>
      <c r="M1516" t="str">
        <f t="shared" si="119"/>
        <v>No</v>
      </c>
      <c r="N1516" t="str">
        <f t="shared" si="118"/>
        <v>No</v>
      </c>
    </row>
    <row r="1517" spans="1:14" x14ac:dyDescent="0.3">
      <c r="A1517" s="4" t="s">
        <v>3051</v>
      </c>
      <c r="B1517" s="4" t="s">
        <v>3052</v>
      </c>
      <c r="C1517" s="4" t="s">
        <v>59</v>
      </c>
      <c r="D1517" s="5">
        <v>45890</v>
      </c>
      <c r="E1517" s="5">
        <v>45893</v>
      </c>
      <c r="F1517" s="5">
        <v>45895</v>
      </c>
      <c r="G1517" s="4" t="s">
        <v>15</v>
      </c>
      <c r="H1517" s="4">
        <v>7</v>
      </c>
      <c r="I1517" s="2">
        <v>7</v>
      </c>
      <c r="J1517">
        <f t="shared" si="115"/>
        <v>5</v>
      </c>
      <c r="K1517">
        <f t="shared" si="116"/>
        <v>2</v>
      </c>
      <c r="L1517" t="str">
        <f t="shared" si="117"/>
        <v>No</v>
      </c>
      <c r="M1517" t="str">
        <f t="shared" si="119"/>
        <v>Yes</v>
      </c>
      <c r="N1517" t="str">
        <f t="shared" si="118"/>
        <v>No</v>
      </c>
    </row>
    <row r="1518" spans="1:14" x14ac:dyDescent="0.3">
      <c r="A1518" s="2" t="s">
        <v>3053</v>
      </c>
      <c r="B1518" s="2" t="s">
        <v>3054</v>
      </c>
      <c r="C1518" s="2" t="s">
        <v>21</v>
      </c>
      <c r="D1518" s="3">
        <v>45890</v>
      </c>
      <c r="E1518" s="3">
        <v>45895</v>
      </c>
      <c r="F1518" s="3">
        <v>45898</v>
      </c>
      <c r="G1518" s="2" t="s">
        <v>15</v>
      </c>
      <c r="H1518" s="2">
        <v>38</v>
      </c>
      <c r="I1518" s="2">
        <v>38</v>
      </c>
      <c r="J1518">
        <f t="shared" si="115"/>
        <v>8</v>
      </c>
      <c r="K1518">
        <f t="shared" si="116"/>
        <v>3</v>
      </c>
      <c r="L1518" t="str">
        <f t="shared" si="117"/>
        <v>No</v>
      </c>
      <c r="M1518" t="str">
        <f t="shared" si="119"/>
        <v>Yes</v>
      </c>
      <c r="N1518" t="str">
        <f t="shared" si="118"/>
        <v>No</v>
      </c>
    </row>
    <row r="1519" spans="1:14" x14ac:dyDescent="0.3">
      <c r="A1519" s="4" t="s">
        <v>3055</v>
      </c>
      <c r="B1519" s="4" t="s">
        <v>3056</v>
      </c>
      <c r="C1519" s="4" t="s">
        <v>21</v>
      </c>
      <c r="D1519" s="5">
        <v>45890</v>
      </c>
      <c r="E1519" s="5">
        <v>45896</v>
      </c>
      <c r="F1519" s="5">
        <v>45897</v>
      </c>
      <c r="G1519" s="4" t="s">
        <v>15</v>
      </c>
      <c r="H1519" s="4">
        <v>20</v>
      </c>
      <c r="I1519" s="2">
        <v>20</v>
      </c>
      <c r="J1519">
        <f t="shared" si="115"/>
        <v>7</v>
      </c>
      <c r="K1519">
        <f t="shared" si="116"/>
        <v>1</v>
      </c>
      <c r="L1519" t="str">
        <f t="shared" si="117"/>
        <v>No</v>
      </c>
      <c r="M1519" t="str">
        <f t="shared" si="119"/>
        <v>Yes</v>
      </c>
      <c r="N1519" t="str">
        <f t="shared" si="118"/>
        <v>No</v>
      </c>
    </row>
    <row r="1520" spans="1:14" x14ac:dyDescent="0.3">
      <c r="A1520" s="2" t="s">
        <v>3057</v>
      </c>
      <c r="B1520" s="2" t="s">
        <v>3058</v>
      </c>
      <c r="C1520" s="2" t="s">
        <v>27</v>
      </c>
      <c r="D1520" s="3">
        <v>45892</v>
      </c>
      <c r="E1520" s="3">
        <v>45897</v>
      </c>
      <c r="F1520" s="3">
        <v>45905</v>
      </c>
      <c r="G1520" s="2" t="s">
        <v>40</v>
      </c>
      <c r="H1520" s="2">
        <v>21</v>
      </c>
      <c r="I1520" s="2">
        <v>21</v>
      </c>
      <c r="J1520">
        <f t="shared" si="115"/>
        <v>13</v>
      </c>
      <c r="K1520">
        <f t="shared" si="116"/>
        <v>8</v>
      </c>
      <c r="L1520" t="str">
        <f t="shared" si="117"/>
        <v>No</v>
      </c>
      <c r="M1520" t="str">
        <f t="shared" si="119"/>
        <v>Yes</v>
      </c>
      <c r="N1520" t="str">
        <f t="shared" si="118"/>
        <v>No</v>
      </c>
    </row>
    <row r="1521" spans="1:14" x14ac:dyDescent="0.3">
      <c r="A1521" s="4" t="s">
        <v>3059</v>
      </c>
      <c r="B1521" s="4" t="s">
        <v>3060</v>
      </c>
      <c r="C1521" s="4" t="s">
        <v>34</v>
      </c>
      <c r="D1521" s="5">
        <v>45891</v>
      </c>
      <c r="E1521" s="5">
        <v>45899</v>
      </c>
      <c r="F1521" s="5">
        <v>45898</v>
      </c>
      <c r="G1521" s="4" t="s">
        <v>40</v>
      </c>
      <c r="H1521" s="4">
        <v>21</v>
      </c>
      <c r="I1521" s="2">
        <v>21</v>
      </c>
      <c r="J1521">
        <f t="shared" si="115"/>
        <v>7</v>
      </c>
      <c r="K1521">
        <f t="shared" si="116"/>
        <v>-1</v>
      </c>
      <c r="L1521" t="str">
        <f t="shared" si="117"/>
        <v>Yes</v>
      </c>
      <c r="M1521" t="str">
        <f t="shared" si="119"/>
        <v>Yes</v>
      </c>
      <c r="N1521" t="str">
        <f t="shared" si="118"/>
        <v>Yes</v>
      </c>
    </row>
    <row r="1522" spans="1:14" x14ac:dyDescent="0.3">
      <c r="A1522" s="2" t="s">
        <v>3061</v>
      </c>
      <c r="B1522" s="2" t="s">
        <v>3062</v>
      </c>
      <c r="C1522" s="2" t="s">
        <v>10</v>
      </c>
      <c r="D1522" s="3">
        <v>45893</v>
      </c>
      <c r="E1522" s="3">
        <v>45896</v>
      </c>
      <c r="F1522" s="3">
        <v>45898</v>
      </c>
      <c r="G1522" s="2" t="s">
        <v>40</v>
      </c>
      <c r="H1522" s="2">
        <v>31</v>
      </c>
      <c r="I1522" s="2">
        <v>31</v>
      </c>
      <c r="J1522">
        <f t="shared" si="115"/>
        <v>5</v>
      </c>
      <c r="K1522">
        <f t="shared" si="116"/>
        <v>2</v>
      </c>
      <c r="L1522" t="str">
        <f t="shared" si="117"/>
        <v>No</v>
      </c>
      <c r="M1522" t="str">
        <f t="shared" si="119"/>
        <v>Yes</v>
      </c>
      <c r="N1522" t="str">
        <f t="shared" si="118"/>
        <v>No</v>
      </c>
    </row>
    <row r="1523" spans="1:14" x14ac:dyDescent="0.3">
      <c r="A1523" s="4" t="s">
        <v>3063</v>
      </c>
      <c r="B1523" s="4" t="s">
        <v>3064</v>
      </c>
      <c r="C1523" s="4" t="s">
        <v>59</v>
      </c>
      <c r="D1523" s="5">
        <v>45893</v>
      </c>
      <c r="E1523" s="5">
        <v>45900</v>
      </c>
      <c r="F1523" s="5">
        <v>45897</v>
      </c>
      <c r="G1523" s="4" t="s">
        <v>15</v>
      </c>
      <c r="H1523" s="4">
        <v>18</v>
      </c>
      <c r="I1523" s="2">
        <v>18</v>
      </c>
      <c r="J1523">
        <f t="shared" si="115"/>
        <v>4</v>
      </c>
      <c r="K1523">
        <f t="shared" si="116"/>
        <v>-3</v>
      </c>
      <c r="L1523" t="str">
        <f t="shared" si="117"/>
        <v>Yes</v>
      </c>
      <c r="M1523" t="str">
        <f t="shared" si="119"/>
        <v>Yes</v>
      </c>
      <c r="N1523" t="str">
        <f t="shared" si="118"/>
        <v>Yes</v>
      </c>
    </row>
    <row r="1524" spans="1:14" x14ac:dyDescent="0.3">
      <c r="A1524" s="2" t="s">
        <v>3065</v>
      </c>
      <c r="B1524" s="2" t="s">
        <v>3066</v>
      </c>
      <c r="C1524" s="2" t="s">
        <v>21</v>
      </c>
      <c r="D1524" s="3">
        <v>45893</v>
      </c>
      <c r="E1524" s="3">
        <v>45895</v>
      </c>
      <c r="F1524" s="3">
        <v>45899</v>
      </c>
      <c r="G1524" s="2" t="s">
        <v>18</v>
      </c>
      <c r="H1524" s="2">
        <v>60</v>
      </c>
      <c r="I1524" s="2">
        <v>60</v>
      </c>
      <c r="J1524">
        <f t="shared" si="115"/>
        <v>6</v>
      </c>
      <c r="K1524">
        <f t="shared" si="116"/>
        <v>4</v>
      </c>
      <c r="L1524" t="str">
        <f t="shared" si="117"/>
        <v>No</v>
      </c>
      <c r="M1524" t="str">
        <f t="shared" si="119"/>
        <v>Yes</v>
      </c>
      <c r="N1524" t="str">
        <f t="shared" si="118"/>
        <v>No</v>
      </c>
    </row>
    <row r="1525" spans="1:14" x14ac:dyDescent="0.3">
      <c r="A1525" s="4" t="s">
        <v>3067</v>
      </c>
      <c r="B1525" s="4" t="s">
        <v>3068</v>
      </c>
      <c r="C1525" s="4" t="s">
        <v>27</v>
      </c>
      <c r="D1525" s="5">
        <v>45891</v>
      </c>
      <c r="E1525" s="5">
        <v>45901</v>
      </c>
      <c r="F1525" s="5">
        <v>45905</v>
      </c>
      <c r="G1525" s="4" t="s">
        <v>18</v>
      </c>
      <c r="H1525" s="4">
        <v>35</v>
      </c>
      <c r="I1525" s="2">
        <v>35</v>
      </c>
      <c r="J1525">
        <f t="shared" si="115"/>
        <v>14</v>
      </c>
      <c r="K1525">
        <f t="shared" si="116"/>
        <v>4</v>
      </c>
      <c r="L1525" t="str">
        <f t="shared" si="117"/>
        <v>No</v>
      </c>
      <c r="M1525" t="str">
        <f t="shared" si="119"/>
        <v>Yes</v>
      </c>
      <c r="N1525" t="str">
        <f t="shared" si="118"/>
        <v>No</v>
      </c>
    </row>
    <row r="1526" spans="1:14" x14ac:dyDescent="0.3">
      <c r="A1526" s="2" t="s">
        <v>3069</v>
      </c>
      <c r="B1526" s="2" t="s">
        <v>3070</v>
      </c>
      <c r="C1526" s="2" t="s">
        <v>10</v>
      </c>
      <c r="D1526" s="3">
        <v>45894</v>
      </c>
      <c r="E1526" s="3">
        <v>45896</v>
      </c>
      <c r="F1526" s="3">
        <v>45903</v>
      </c>
      <c r="G1526" s="2" t="s">
        <v>18</v>
      </c>
      <c r="H1526" s="2">
        <v>15</v>
      </c>
      <c r="I1526" s="2">
        <v>15</v>
      </c>
      <c r="J1526">
        <f t="shared" si="115"/>
        <v>9</v>
      </c>
      <c r="K1526">
        <f t="shared" si="116"/>
        <v>7</v>
      </c>
      <c r="L1526" t="str">
        <f t="shared" si="117"/>
        <v>No</v>
      </c>
      <c r="M1526" t="str">
        <f t="shared" si="119"/>
        <v>Yes</v>
      </c>
      <c r="N1526" t="str">
        <f t="shared" si="118"/>
        <v>No</v>
      </c>
    </row>
    <row r="1527" spans="1:14" x14ac:dyDescent="0.3">
      <c r="A1527" s="4" t="s">
        <v>3071</v>
      </c>
      <c r="B1527" s="4" t="s">
        <v>3072</v>
      </c>
      <c r="C1527" s="4" t="s">
        <v>10</v>
      </c>
      <c r="D1527" s="5">
        <v>45892</v>
      </c>
      <c r="E1527" s="5">
        <v>45902</v>
      </c>
      <c r="F1527" s="5">
        <v>45896</v>
      </c>
      <c r="G1527" s="4" t="s">
        <v>11</v>
      </c>
      <c r="H1527" s="4">
        <v>8</v>
      </c>
      <c r="I1527" s="2">
        <v>8</v>
      </c>
      <c r="J1527">
        <f t="shared" si="115"/>
        <v>4</v>
      </c>
      <c r="K1527">
        <f t="shared" si="116"/>
        <v>-6</v>
      </c>
      <c r="L1527" t="str">
        <f t="shared" si="117"/>
        <v>Yes</v>
      </c>
      <c r="M1527" t="str">
        <f t="shared" si="119"/>
        <v>Yes</v>
      </c>
      <c r="N1527" t="str">
        <f t="shared" si="118"/>
        <v>Yes</v>
      </c>
    </row>
    <row r="1528" spans="1:14" x14ac:dyDescent="0.3">
      <c r="A1528" s="2" t="s">
        <v>3073</v>
      </c>
      <c r="B1528" s="2" t="s">
        <v>3074</v>
      </c>
      <c r="C1528" s="2" t="s">
        <v>59</v>
      </c>
      <c r="D1528" s="3">
        <v>45894</v>
      </c>
      <c r="E1528" s="3">
        <v>45899</v>
      </c>
      <c r="F1528" s="3">
        <v>45897</v>
      </c>
      <c r="G1528" s="2" t="s">
        <v>15</v>
      </c>
      <c r="H1528" s="2">
        <v>11</v>
      </c>
      <c r="I1528" s="2">
        <v>11</v>
      </c>
      <c r="J1528">
        <f t="shared" si="115"/>
        <v>3</v>
      </c>
      <c r="K1528">
        <f t="shared" si="116"/>
        <v>-2</v>
      </c>
      <c r="L1528" t="str">
        <f t="shared" si="117"/>
        <v>Yes</v>
      </c>
      <c r="M1528" t="str">
        <f t="shared" si="119"/>
        <v>Yes</v>
      </c>
      <c r="N1528" t="str">
        <f t="shared" si="118"/>
        <v>Yes</v>
      </c>
    </row>
    <row r="1529" spans="1:14" x14ac:dyDescent="0.3">
      <c r="A1529" s="4" t="s">
        <v>3075</v>
      </c>
      <c r="B1529" s="4" t="s">
        <v>3076</v>
      </c>
      <c r="C1529" s="4" t="s">
        <v>14</v>
      </c>
      <c r="D1529" s="5">
        <v>45892</v>
      </c>
      <c r="E1529" s="5">
        <v>45901</v>
      </c>
      <c r="F1529" s="5">
        <v>45908</v>
      </c>
      <c r="G1529" s="4" t="s">
        <v>11</v>
      </c>
      <c r="H1529" s="4">
        <v>47</v>
      </c>
      <c r="I1529" s="2">
        <v>47</v>
      </c>
      <c r="J1529">
        <f t="shared" si="115"/>
        <v>16</v>
      </c>
      <c r="K1529">
        <f t="shared" si="116"/>
        <v>7</v>
      </c>
      <c r="L1529" t="str">
        <f t="shared" si="117"/>
        <v>No</v>
      </c>
      <c r="M1529" t="str">
        <f t="shared" si="119"/>
        <v>Yes</v>
      </c>
      <c r="N1529" t="str">
        <f t="shared" si="118"/>
        <v>No</v>
      </c>
    </row>
    <row r="1530" spans="1:14" x14ac:dyDescent="0.3">
      <c r="A1530" s="2" t="s">
        <v>3077</v>
      </c>
      <c r="B1530" s="2" t="s">
        <v>3078</v>
      </c>
      <c r="C1530" s="2" t="s">
        <v>14</v>
      </c>
      <c r="D1530" s="3">
        <v>45892</v>
      </c>
      <c r="E1530" s="3">
        <v>45895</v>
      </c>
      <c r="F1530" s="3">
        <v>45911</v>
      </c>
      <c r="G1530" s="2" t="s">
        <v>11</v>
      </c>
      <c r="H1530" s="2">
        <v>21</v>
      </c>
      <c r="I1530" s="2">
        <v>21</v>
      </c>
      <c r="J1530">
        <f t="shared" si="115"/>
        <v>19</v>
      </c>
      <c r="K1530">
        <f t="shared" si="116"/>
        <v>16</v>
      </c>
      <c r="L1530" t="str">
        <f t="shared" si="117"/>
        <v>No</v>
      </c>
      <c r="M1530" t="str">
        <f t="shared" si="119"/>
        <v>Yes</v>
      </c>
      <c r="N1530" t="str">
        <f t="shared" si="118"/>
        <v>No</v>
      </c>
    </row>
    <row r="1531" spans="1:14" x14ac:dyDescent="0.3">
      <c r="A1531" s="4" t="s">
        <v>3079</v>
      </c>
      <c r="B1531" s="4" t="s">
        <v>3080</v>
      </c>
      <c r="C1531" s="4" t="s">
        <v>27</v>
      </c>
      <c r="D1531" s="5">
        <v>45893</v>
      </c>
      <c r="E1531" s="5">
        <v>45897</v>
      </c>
      <c r="F1531" s="5">
        <v>45906</v>
      </c>
      <c r="G1531" s="4" t="s">
        <v>11</v>
      </c>
      <c r="H1531" s="4">
        <v>24</v>
      </c>
      <c r="I1531" s="2">
        <v>24</v>
      </c>
      <c r="J1531">
        <f t="shared" si="115"/>
        <v>13</v>
      </c>
      <c r="K1531">
        <f t="shared" si="116"/>
        <v>9</v>
      </c>
      <c r="L1531" t="str">
        <f t="shared" si="117"/>
        <v>No</v>
      </c>
      <c r="M1531" t="str">
        <f t="shared" si="119"/>
        <v>Yes</v>
      </c>
      <c r="N1531" t="str">
        <f t="shared" si="118"/>
        <v>No</v>
      </c>
    </row>
    <row r="1532" spans="1:14" x14ac:dyDescent="0.3">
      <c r="A1532" s="2" t="s">
        <v>3081</v>
      </c>
      <c r="B1532" s="2" t="s">
        <v>3082</v>
      </c>
      <c r="C1532" s="2" t="s">
        <v>27</v>
      </c>
      <c r="D1532" s="3">
        <v>45893</v>
      </c>
      <c r="E1532" s="3">
        <v>45901</v>
      </c>
      <c r="F1532" s="3">
        <v>45905</v>
      </c>
      <c r="G1532" s="2" t="s">
        <v>11</v>
      </c>
      <c r="H1532" s="2">
        <v>7</v>
      </c>
      <c r="I1532" s="2">
        <v>7</v>
      </c>
      <c r="J1532">
        <f t="shared" si="115"/>
        <v>12</v>
      </c>
      <c r="K1532">
        <f t="shared" si="116"/>
        <v>4</v>
      </c>
      <c r="L1532" t="str">
        <f t="shared" si="117"/>
        <v>No</v>
      </c>
      <c r="M1532" t="str">
        <f t="shared" si="119"/>
        <v>Yes</v>
      </c>
      <c r="N1532" t="str">
        <f t="shared" si="118"/>
        <v>No</v>
      </c>
    </row>
    <row r="1533" spans="1:14" x14ac:dyDescent="0.3">
      <c r="A1533" s="4" t="s">
        <v>3083</v>
      </c>
      <c r="B1533" s="4" t="s">
        <v>3084</v>
      </c>
      <c r="C1533" s="4" t="s">
        <v>27</v>
      </c>
      <c r="D1533" s="5">
        <v>45892</v>
      </c>
      <c r="E1533" s="5">
        <v>45901</v>
      </c>
      <c r="F1533" s="5">
        <v>45907</v>
      </c>
      <c r="G1533" s="4" t="s">
        <v>18</v>
      </c>
      <c r="H1533" s="4">
        <v>8</v>
      </c>
      <c r="I1533" s="2">
        <v>8</v>
      </c>
      <c r="J1533">
        <f t="shared" si="115"/>
        <v>15</v>
      </c>
      <c r="K1533">
        <f t="shared" si="116"/>
        <v>6</v>
      </c>
      <c r="L1533" t="str">
        <f t="shared" si="117"/>
        <v>No</v>
      </c>
      <c r="M1533" t="str">
        <f t="shared" si="119"/>
        <v>Yes</v>
      </c>
      <c r="N1533" t="str">
        <f t="shared" si="118"/>
        <v>No</v>
      </c>
    </row>
    <row r="1534" spans="1:14" x14ac:dyDescent="0.3">
      <c r="A1534" s="2" t="s">
        <v>3085</v>
      </c>
      <c r="B1534" s="2" t="s">
        <v>3086</v>
      </c>
      <c r="C1534" s="2" t="s">
        <v>34</v>
      </c>
      <c r="D1534" s="3">
        <v>45894</v>
      </c>
      <c r="E1534" s="3">
        <v>45899</v>
      </c>
      <c r="F1534" s="3">
        <v>45900</v>
      </c>
      <c r="G1534" s="2" t="s">
        <v>15</v>
      </c>
      <c r="H1534" s="2">
        <v>22</v>
      </c>
      <c r="I1534" s="2">
        <v>30</v>
      </c>
      <c r="J1534">
        <f t="shared" si="115"/>
        <v>6</v>
      </c>
      <c r="K1534">
        <f t="shared" si="116"/>
        <v>1</v>
      </c>
      <c r="L1534" t="str">
        <f t="shared" si="117"/>
        <v>No</v>
      </c>
      <c r="M1534" t="str">
        <f t="shared" si="119"/>
        <v>No</v>
      </c>
      <c r="N1534" t="str">
        <f t="shared" si="118"/>
        <v>No</v>
      </c>
    </row>
    <row r="1535" spans="1:14" x14ac:dyDescent="0.3">
      <c r="A1535" s="4" t="s">
        <v>3087</v>
      </c>
      <c r="B1535" s="4" t="s">
        <v>3088</v>
      </c>
      <c r="C1535" s="4" t="s">
        <v>14</v>
      </c>
      <c r="D1535" s="5">
        <v>45893</v>
      </c>
      <c r="E1535" s="5">
        <v>45898</v>
      </c>
      <c r="F1535" s="5">
        <v>45910</v>
      </c>
      <c r="G1535" s="4" t="s">
        <v>11</v>
      </c>
      <c r="H1535" s="4">
        <v>8</v>
      </c>
      <c r="I1535" s="2">
        <v>16</v>
      </c>
      <c r="J1535">
        <f t="shared" si="115"/>
        <v>17</v>
      </c>
      <c r="K1535">
        <f t="shared" si="116"/>
        <v>12</v>
      </c>
      <c r="L1535" t="str">
        <f t="shared" si="117"/>
        <v>No</v>
      </c>
      <c r="M1535" t="str">
        <f t="shared" si="119"/>
        <v>No</v>
      </c>
      <c r="N1535" t="str">
        <f t="shared" si="118"/>
        <v>No</v>
      </c>
    </row>
    <row r="1536" spans="1:14" x14ac:dyDescent="0.3">
      <c r="A1536" s="2" t="s">
        <v>3089</v>
      </c>
      <c r="B1536" s="2" t="s">
        <v>3090</v>
      </c>
      <c r="C1536" s="2" t="s">
        <v>59</v>
      </c>
      <c r="D1536" s="3">
        <v>45893</v>
      </c>
      <c r="E1536" s="3">
        <v>45898</v>
      </c>
      <c r="F1536" s="3">
        <v>45897</v>
      </c>
      <c r="G1536" s="2" t="s">
        <v>22</v>
      </c>
      <c r="H1536" s="2">
        <v>39</v>
      </c>
      <c r="I1536" s="2">
        <v>42</v>
      </c>
      <c r="J1536">
        <f t="shared" si="115"/>
        <v>4</v>
      </c>
      <c r="K1536">
        <f t="shared" si="116"/>
        <v>-1</v>
      </c>
      <c r="L1536" t="str">
        <f t="shared" si="117"/>
        <v>Yes</v>
      </c>
      <c r="M1536" t="str">
        <f t="shared" si="119"/>
        <v>No</v>
      </c>
      <c r="N1536" t="str">
        <f t="shared" si="118"/>
        <v>No</v>
      </c>
    </row>
    <row r="1537" spans="1:14" x14ac:dyDescent="0.3">
      <c r="A1537" s="4" t="s">
        <v>3091</v>
      </c>
      <c r="B1537" s="4" t="s">
        <v>3092</v>
      </c>
      <c r="C1537" s="4" t="s">
        <v>21</v>
      </c>
      <c r="D1537" s="5">
        <v>45895</v>
      </c>
      <c r="E1537" s="5">
        <v>45898</v>
      </c>
      <c r="F1537" s="5">
        <v>45901</v>
      </c>
      <c r="G1537" s="4" t="s">
        <v>18</v>
      </c>
      <c r="H1537" s="4">
        <v>38</v>
      </c>
      <c r="I1537" s="2">
        <v>38</v>
      </c>
      <c r="J1537">
        <f t="shared" si="115"/>
        <v>6</v>
      </c>
      <c r="K1537">
        <f t="shared" si="116"/>
        <v>3</v>
      </c>
      <c r="L1537" t="str">
        <f t="shared" si="117"/>
        <v>No</v>
      </c>
      <c r="M1537" t="str">
        <f t="shared" si="119"/>
        <v>Yes</v>
      </c>
      <c r="N1537" t="str">
        <f t="shared" si="118"/>
        <v>No</v>
      </c>
    </row>
    <row r="1538" spans="1:14" x14ac:dyDescent="0.3">
      <c r="A1538" s="2" t="s">
        <v>3093</v>
      </c>
      <c r="B1538" s="2" t="s">
        <v>3094</v>
      </c>
      <c r="C1538" s="2" t="s">
        <v>21</v>
      </c>
      <c r="D1538" s="3">
        <v>45895</v>
      </c>
      <c r="E1538" s="3">
        <v>45899</v>
      </c>
      <c r="F1538" s="3">
        <v>45901</v>
      </c>
      <c r="G1538" s="2" t="s">
        <v>40</v>
      </c>
      <c r="H1538" s="2">
        <v>33</v>
      </c>
      <c r="I1538" s="2">
        <v>33</v>
      </c>
      <c r="J1538">
        <f t="shared" si="115"/>
        <v>6</v>
      </c>
      <c r="K1538">
        <f t="shared" si="116"/>
        <v>2</v>
      </c>
      <c r="L1538" t="str">
        <f t="shared" si="117"/>
        <v>No</v>
      </c>
      <c r="M1538" t="str">
        <f t="shared" si="119"/>
        <v>Yes</v>
      </c>
      <c r="N1538" t="str">
        <f t="shared" si="118"/>
        <v>No</v>
      </c>
    </row>
    <row r="1539" spans="1:14" x14ac:dyDescent="0.3">
      <c r="A1539" s="4" t="s">
        <v>3095</v>
      </c>
      <c r="B1539" s="4" t="s">
        <v>3096</v>
      </c>
      <c r="C1539" s="4" t="s">
        <v>27</v>
      </c>
      <c r="D1539" s="5">
        <v>45894</v>
      </c>
      <c r="E1539" s="5">
        <v>45900</v>
      </c>
      <c r="F1539" s="5">
        <v>45906</v>
      </c>
      <c r="G1539" s="4" t="s">
        <v>40</v>
      </c>
      <c r="H1539" s="4">
        <v>5</v>
      </c>
      <c r="I1539" s="2">
        <v>5</v>
      </c>
      <c r="J1539">
        <f t="shared" ref="J1539:J1602" si="120">F1539-D1539</f>
        <v>12</v>
      </c>
      <c r="K1539">
        <f t="shared" ref="K1539:K1602" si="121">F1539-E1539</f>
        <v>6</v>
      </c>
      <c r="L1539" t="str">
        <f t="shared" ref="L1539:L1602" si="122">IF(K1539&lt;=0,"Yes","No")</f>
        <v>No</v>
      </c>
      <c r="M1539" t="str">
        <f t="shared" si="119"/>
        <v>Yes</v>
      </c>
      <c r="N1539" t="str">
        <f t="shared" ref="N1539:N1602" si="123">IF(AND(L1539="Yes",M1539="Yes"),"Yes","No")</f>
        <v>No</v>
      </c>
    </row>
    <row r="1540" spans="1:14" x14ac:dyDescent="0.3">
      <c r="A1540" s="2" t="s">
        <v>3097</v>
      </c>
      <c r="B1540" s="2" t="s">
        <v>3098</v>
      </c>
      <c r="C1540" s="2" t="s">
        <v>27</v>
      </c>
      <c r="D1540" s="3">
        <v>45894</v>
      </c>
      <c r="E1540" s="3">
        <v>45897</v>
      </c>
      <c r="F1540" s="3">
        <v>45907</v>
      </c>
      <c r="G1540" s="2" t="s">
        <v>11</v>
      </c>
      <c r="H1540" s="2">
        <v>12</v>
      </c>
      <c r="I1540" s="2">
        <v>12</v>
      </c>
      <c r="J1540">
        <f t="shared" si="120"/>
        <v>13</v>
      </c>
      <c r="K1540">
        <f t="shared" si="121"/>
        <v>10</v>
      </c>
      <c r="L1540" t="str">
        <f t="shared" si="122"/>
        <v>No</v>
      </c>
      <c r="M1540" t="str">
        <f t="shared" ref="M1540:M1603" si="124">IF(H1540=I1540,"Yes","No")</f>
        <v>Yes</v>
      </c>
      <c r="N1540" t="str">
        <f t="shared" si="123"/>
        <v>No</v>
      </c>
    </row>
    <row r="1541" spans="1:14" x14ac:dyDescent="0.3">
      <c r="A1541" s="4" t="s">
        <v>3099</v>
      </c>
      <c r="B1541" s="4" t="s">
        <v>3100</v>
      </c>
      <c r="C1541" s="4" t="s">
        <v>37</v>
      </c>
      <c r="D1541" s="5">
        <v>45895</v>
      </c>
      <c r="E1541" s="5">
        <v>45899</v>
      </c>
      <c r="F1541" s="5">
        <v>45908</v>
      </c>
      <c r="G1541" s="4" t="s">
        <v>15</v>
      </c>
      <c r="H1541" s="4">
        <v>14</v>
      </c>
      <c r="I1541" s="2">
        <v>14</v>
      </c>
      <c r="J1541">
        <f t="shared" si="120"/>
        <v>13</v>
      </c>
      <c r="K1541">
        <f t="shared" si="121"/>
        <v>9</v>
      </c>
      <c r="L1541" t="str">
        <f t="shared" si="122"/>
        <v>No</v>
      </c>
      <c r="M1541" t="str">
        <f t="shared" si="124"/>
        <v>Yes</v>
      </c>
      <c r="N1541" t="str">
        <f t="shared" si="123"/>
        <v>No</v>
      </c>
    </row>
    <row r="1542" spans="1:14" x14ac:dyDescent="0.3">
      <c r="A1542" s="2" t="s">
        <v>3101</v>
      </c>
      <c r="B1542" s="2" t="s">
        <v>3102</v>
      </c>
      <c r="C1542" s="2" t="s">
        <v>72</v>
      </c>
      <c r="D1542" s="3">
        <v>45894</v>
      </c>
      <c r="E1542" s="3">
        <v>45900</v>
      </c>
      <c r="F1542" s="3">
        <v>45912</v>
      </c>
      <c r="G1542" s="2" t="s">
        <v>22</v>
      </c>
      <c r="H1542" s="2">
        <v>9</v>
      </c>
      <c r="I1542" s="2">
        <v>9</v>
      </c>
      <c r="J1542">
        <f t="shared" si="120"/>
        <v>18</v>
      </c>
      <c r="K1542">
        <f t="shared" si="121"/>
        <v>12</v>
      </c>
      <c r="L1542" t="str">
        <f t="shared" si="122"/>
        <v>No</v>
      </c>
      <c r="M1542" t="str">
        <f t="shared" si="124"/>
        <v>Yes</v>
      </c>
      <c r="N1542" t="str">
        <f t="shared" si="123"/>
        <v>No</v>
      </c>
    </row>
    <row r="1543" spans="1:14" x14ac:dyDescent="0.3">
      <c r="A1543" s="4" t="s">
        <v>3103</v>
      </c>
      <c r="B1543" s="4" t="s">
        <v>3104</v>
      </c>
      <c r="C1543" s="4" t="s">
        <v>10</v>
      </c>
      <c r="D1543" s="5">
        <v>45896</v>
      </c>
      <c r="E1543" s="5">
        <v>45898</v>
      </c>
      <c r="F1543" s="5">
        <v>45905</v>
      </c>
      <c r="G1543" s="4" t="s">
        <v>11</v>
      </c>
      <c r="H1543" s="4">
        <v>14</v>
      </c>
      <c r="I1543" s="2">
        <v>14</v>
      </c>
      <c r="J1543">
        <f t="shared" si="120"/>
        <v>9</v>
      </c>
      <c r="K1543">
        <f t="shared" si="121"/>
        <v>7</v>
      </c>
      <c r="L1543" t="str">
        <f t="shared" si="122"/>
        <v>No</v>
      </c>
      <c r="M1543" t="str">
        <f t="shared" si="124"/>
        <v>Yes</v>
      </c>
      <c r="N1543" t="str">
        <f t="shared" si="123"/>
        <v>No</v>
      </c>
    </row>
    <row r="1544" spans="1:14" x14ac:dyDescent="0.3">
      <c r="A1544" s="2" t="s">
        <v>3105</v>
      </c>
      <c r="B1544" s="2" t="s">
        <v>3106</v>
      </c>
      <c r="C1544" s="2" t="s">
        <v>59</v>
      </c>
      <c r="D1544" s="3">
        <v>45896</v>
      </c>
      <c r="E1544" s="3">
        <v>45904</v>
      </c>
      <c r="F1544" s="3">
        <v>45899</v>
      </c>
      <c r="G1544" s="2" t="s">
        <v>22</v>
      </c>
      <c r="H1544" s="2">
        <v>5</v>
      </c>
      <c r="I1544" s="2">
        <v>5</v>
      </c>
      <c r="J1544">
        <f t="shared" si="120"/>
        <v>3</v>
      </c>
      <c r="K1544">
        <f t="shared" si="121"/>
        <v>-5</v>
      </c>
      <c r="L1544" t="str">
        <f t="shared" si="122"/>
        <v>Yes</v>
      </c>
      <c r="M1544" t="str">
        <f t="shared" si="124"/>
        <v>Yes</v>
      </c>
      <c r="N1544" t="str">
        <f t="shared" si="123"/>
        <v>Yes</v>
      </c>
    </row>
    <row r="1545" spans="1:14" x14ac:dyDescent="0.3">
      <c r="A1545" s="4" t="s">
        <v>3107</v>
      </c>
      <c r="B1545" s="4" t="s">
        <v>3108</v>
      </c>
      <c r="C1545" s="4" t="s">
        <v>14</v>
      </c>
      <c r="D1545" s="5">
        <v>45894</v>
      </c>
      <c r="E1545" s="5">
        <v>45899</v>
      </c>
      <c r="F1545" s="5">
        <v>45909</v>
      </c>
      <c r="G1545" s="4" t="s">
        <v>40</v>
      </c>
      <c r="H1545" s="4">
        <v>54</v>
      </c>
      <c r="I1545" s="2">
        <v>54</v>
      </c>
      <c r="J1545">
        <f t="shared" si="120"/>
        <v>15</v>
      </c>
      <c r="K1545">
        <f t="shared" si="121"/>
        <v>10</v>
      </c>
      <c r="L1545" t="str">
        <f t="shared" si="122"/>
        <v>No</v>
      </c>
      <c r="M1545" t="str">
        <f t="shared" si="124"/>
        <v>Yes</v>
      </c>
      <c r="N1545" t="str">
        <f t="shared" si="123"/>
        <v>No</v>
      </c>
    </row>
    <row r="1546" spans="1:14" x14ac:dyDescent="0.3">
      <c r="A1546" s="2" t="s">
        <v>3109</v>
      </c>
      <c r="B1546" s="2" t="s">
        <v>3110</v>
      </c>
      <c r="C1546" s="2" t="s">
        <v>14</v>
      </c>
      <c r="D1546" s="3">
        <v>45894</v>
      </c>
      <c r="E1546" s="3">
        <v>45897</v>
      </c>
      <c r="F1546" s="3">
        <v>45909</v>
      </c>
      <c r="G1546" s="2" t="s">
        <v>40</v>
      </c>
      <c r="H1546" s="2">
        <v>16</v>
      </c>
      <c r="I1546" s="2">
        <v>16</v>
      </c>
      <c r="J1546">
        <f t="shared" si="120"/>
        <v>15</v>
      </c>
      <c r="K1546">
        <f t="shared" si="121"/>
        <v>12</v>
      </c>
      <c r="L1546" t="str">
        <f t="shared" si="122"/>
        <v>No</v>
      </c>
      <c r="M1546" t="str">
        <f t="shared" si="124"/>
        <v>Yes</v>
      </c>
      <c r="N1546" t="str">
        <f t="shared" si="123"/>
        <v>No</v>
      </c>
    </row>
    <row r="1547" spans="1:14" x14ac:dyDescent="0.3">
      <c r="A1547" s="4" t="s">
        <v>3111</v>
      </c>
      <c r="B1547" s="4" t="s">
        <v>3112</v>
      </c>
      <c r="C1547" s="4" t="s">
        <v>21</v>
      </c>
      <c r="D1547" s="5">
        <v>45894</v>
      </c>
      <c r="E1547" s="5">
        <v>45897</v>
      </c>
      <c r="F1547" s="5">
        <v>45901</v>
      </c>
      <c r="G1547" s="4" t="s">
        <v>18</v>
      </c>
      <c r="H1547" s="4">
        <v>49</v>
      </c>
      <c r="I1547" s="2">
        <v>49</v>
      </c>
      <c r="J1547">
        <f t="shared" si="120"/>
        <v>7</v>
      </c>
      <c r="K1547">
        <f t="shared" si="121"/>
        <v>4</v>
      </c>
      <c r="L1547" t="str">
        <f t="shared" si="122"/>
        <v>No</v>
      </c>
      <c r="M1547" t="str">
        <f t="shared" si="124"/>
        <v>Yes</v>
      </c>
      <c r="N1547" t="str">
        <f t="shared" si="123"/>
        <v>No</v>
      </c>
    </row>
    <row r="1548" spans="1:14" x14ac:dyDescent="0.3">
      <c r="A1548" s="2" t="s">
        <v>3113</v>
      </c>
      <c r="B1548" s="2" t="s">
        <v>3114</v>
      </c>
      <c r="C1548" s="2" t="s">
        <v>27</v>
      </c>
      <c r="D1548" s="3">
        <v>45896</v>
      </c>
      <c r="E1548" s="3">
        <v>45897</v>
      </c>
      <c r="F1548" s="3">
        <v>45908</v>
      </c>
      <c r="G1548" s="2" t="s">
        <v>18</v>
      </c>
      <c r="H1548" s="2">
        <v>3</v>
      </c>
      <c r="I1548" s="2">
        <v>3</v>
      </c>
      <c r="J1548">
        <f t="shared" si="120"/>
        <v>12</v>
      </c>
      <c r="K1548">
        <f t="shared" si="121"/>
        <v>11</v>
      </c>
      <c r="L1548" t="str">
        <f t="shared" si="122"/>
        <v>No</v>
      </c>
      <c r="M1548" t="str">
        <f t="shared" si="124"/>
        <v>Yes</v>
      </c>
      <c r="N1548" t="str">
        <f t="shared" si="123"/>
        <v>No</v>
      </c>
    </row>
    <row r="1549" spans="1:14" x14ac:dyDescent="0.3">
      <c r="A1549" s="4" t="s">
        <v>3115</v>
      </c>
      <c r="B1549" s="4" t="s">
        <v>3116</v>
      </c>
      <c r="C1549" s="4" t="s">
        <v>27</v>
      </c>
      <c r="D1549" s="5">
        <v>45896</v>
      </c>
      <c r="E1549" s="5">
        <v>45899</v>
      </c>
      <c r="F1549" s="5">
        <v>45911</v>
      </c>
      <c r="G1549" s="4" t="s">
        <v>11</v>
      </c>
      <c r="H1549" s="4">
        <v>13</v>
      </c>
      <c r="I1549" s="2">
        <v>13</v>
      </c>
      <c r="J1549">
        <f t="shared" si="120"/>
        <v>15</v>
      </c>
      <c r="K1549">
        <f t="shared" si="121"/>
        <v>12</v>
      </c>
      <c r="L1549" t="str">
        <f t="shared" si="122"/>
        <v>No</v>
      </c>
      <c r="M1549" t="str">
        <f t="shared" si="124"/>
        <v>Yes</v>
      </c>
      <c r="N1549" t="str">
        <f t="shared" si="123"/>
        <v>No</v>
      </c>
    </row>
    <row r="1550" spans="1:14" x14ac:dyDescent="0.3">
      <c r="A1550" s="2" t="s">
        <v>3117</v>
      </c>
      <c r="B1550" s="2" t="s">
        <v>3118</v>
      </c>
      <c r="C1550" s="2" t="s">
        <v>34</v>
      </c>
      <c r="D1550" s="3">
        <v>45896</v>
      </c>
      <c r="E1550" s="3">
        <v>45905</v>
      </c>
      <c r="F1550" s="3">
        <v>45903</v>
      </c>
      <c r="G1550" s="2" t="s">
        <v>18</v>
      </c>
      <c r="H1550" s="2">
        <v>25</v>
      </c>
      <c r="I1550" s="2">
        <v>25</v>
      </c>
      <c r="J1550">
        <f t="shared" si="120"/>
        <v>7</v>
      </c>
      <c r="K1550">
        <f t="shared" si="121"/>
        <v>-2</v>
      </c>
      <c r="L1550" t="str">
        <f t="shared" si="122"/>
        <v>Yes</v>
      </c>
      <c r="M1550" t="str">
        <f t="shared" si="124"/>
        <v>Yes</v>
      </c>
      <c r="N1550" t="str">
        <f t="shared" si="123"/>
        <v>Yes</v>
      </c>
    </row>
    <row r="1551" spans="1:14" x14ac:dyDescent="0.3">
      <c r="A1551" s="4" t="s">
        <v>3119</v>
      </c>
      <c r="B1551" s="4" t="s">
        <v>3120</v>
      </c>
      <c r="C1551" s="4" t="s">
        <v>72</v>
      </c>
      <c r="D1551" s="5">
        <v>45897</v>
      </c>
      <c r="E1551" s="5">
        <v>45901</v>
      </c>
      <c r="F1551" s="5">
        <v>45911</v>
      </c>
      <c r="G1551" s="4" t="s">
        <v>22</v>
      </c>
      <c r="H1551" s="4">
        <v>24</v>
      </c>
      <c r="I1551" s="2">
        <v>24</v>
      </c>
      <c r="J1551">
        <f t="shared" si="120"/>
        <v>14</v>
      </c>
      <c r="K1551">
        <f t="shared" si="121"/>
        <v>10</v>
      </c>
      <c r="L1551" t="str">
        <f t="shared" si="122"/>
        <v>No</v>
      </c>
      <c r="M1551" t="str">
        <f t="shared" si="124"/>
        <v>Yes</v>
      </c>
      <c r="N1551" t="str">
        <f t="shared" si="123"/>
        <v>No</v>
      </c>
    </row>
    <row r="1552" spans="1:14" x14ac:dyDescent="0.3">
      <c r="A1552" s="2" t="s">
        <v>3121</v>
      </c>
      <c r="B1552" s="2" t="s">
        <v>3122</v>
      </c>
      <c r="C1552" s="2" t="s">
        <v>14</v>
      </c>
      <c r="D1552" s="3">
        <v>45895</v>
      </c>
      <c r="E1552" s="3">
        <v>45900</v>
      </c>
      <c r="F1552" s="3">
        <v>45912</v>
      </c>
      <c r="G1552" s="2" t="s">
        <v>15</v>
      </c>
      <c r="H1552" s="2">
        <v>15</v>
      </c>
      <c r="I1552" s="2">
        <v>15</v>
      </c>
      <c r="J1552">
        <f t="shared" si="120"/>
        <v>17</v>
      </c>
      <c r="K1552">
        <f t="shared" si="121"/>
        <v>12</v>
      </c>
      <c r="L1552" t="str">
        <f t="shared" si="122"/>
        <v>No</v>
      </c>
      <c r="M1552" t="str">
        <f t="shared" si="124"/>
        <v>Yes</v>
      </c>
      <c r="N1552" t="str">
        <f t="shared" si="123"/>
        <v>No</v>
      </c>
    </row>
    <row r="1553" spans="1:14" x14ac:dyDescent="0.3">
      <c r="A1553" s="4" t="s">
        <v>3123</v>
      </c>
      <c r="B1553" s="4" t="s">
        <v>3124</v>
      </c>
      <c r="C1553" s="4" t="s">
        <v>59</v>
      </c>
      <c r="D1553" s="5">
        <v>45895</v>
      </c>
      <c r="E1553" s="5">
        <v>45905</v>
      </c>
      <c r="F1553" s="5">
        <v>45899</v>
      </c>
      <c r="G1553" s="4" t="s">
        <v>22</v>
      </c>
      <c r="H1553" s="4">
        <v>18</v>
      </c>
      <c r="I1553" s="2">
        <v>22</v>
      </c>
      <c r="J1553">
        <f t="shared" si="120"/>
        <v>4</v>
      </c>
      <c r="K1553">
        <f t="shared" si="121"/>
        <v>-6</v>
      </c>
      <c r="L1553" t="str">
        <f t="shared" si="122"/>
        <v>Yes</v>
      </c>
      <c r="M1553" t="str">
        <f t="shared" si="124"/>
        <v>No</v>
      </c>
      <c r="N1553" t="str">
        <f t="shared" si="123"/>
        <v>No</v>
      </c>
    </row>
    <row r="1554" spans="1:14" x14ac:dyDescent="0.3">
      <c r="A1554" s="2" t="s">
        <v>3125</v>
      </c>
      <c r="B1554" s="2" t="s">
        <v>3126</v>
      </c>
      <c r="C1554" s="2" t="s">
        <v>21</v>
      </c>
      <c r="D1554" s="3">
        <v>45896</v>
      </c>
      <c r="E1554" s="3">
        <v>45899</v>
      </c>
      <c r="F1554" s="3">
        <v>45902</v>
      </c>
      <c r="G1554" s="2" t="s">
        <v>22</v>
      </c>
      <c r="H1554" s="2">
        <v>13</v>
      </c>
      <c r="I1554" s="2">
        <v>18</v>
      </c>
      <c r="J1554">
        <f t="shared" si="120"/>
        <v>6</v>
      </c>
      <c r="K1554">
        <f t="shared" si="121"/>
        <v>3</v>
      </c>
      <c r="L1554" t="str">
        <f t="shared" si="122"/>
        <v>No</v>
      </c>
      <c r="M1554" t="str">
        <f t="shared" si="124"/>
        <v>No</v>
      </c>
      <c r="N1554" t="str">
        <f t="shared" si="123"/>
        <v>No</v>
      </c>
    </row>
    <row r="1555" spans="1:14" x14ac:dyDescent="0.3">
      <c r="A1555" s="4" t="s">
        <v>3127</v>
      </c>
      <c r="B1555" s="4" t="s">
        <v>3128</v>
      </c>
      <c r="C1555" s="4" t="s">
        <v>27</v>
      </c>
      <c r="D1555" s="5">
        <v>45897</v>
      </c>
      <c r="E1555" s="5">
        <v>45904</v>
      </c>
      <c r="F1555" s="5">
        <v>45914</v>
      </c>
      <c r="G1555" s="4" t="s">
        <v>40</v>
      </c>
      <c r="H1555" s="4">
        <v>7</v>
      </c>
      <c r="I1555" s="2">
        <v>7</v>
      </c>
      <c r="J1555">
        <f t="shared" si="120"/>
        <v>17</v>
      </c>
      <c r="K1555">
        <f t="shared" si="121"/>
        <v>10</v>
      </c>
      <c r="L1555" t="str">
        <f t="shared" si="122"/>
        <v>No</v>
      </c>
      <c r="M1555" t="str">
        <f t="shared" si="124"/>
        <v>Yes</v>
      </c>
      <c r="N1555" t="str">
        <f t="shared" si="123"/>
        <v>No</v>
      </c>
    </row>
    <row r="1556" spans="1:14" x14ac:dyDescent="0.3">
      <c r="A1556" s="2" t="s">
        <v>3129</v>
      </c>
      <c r="B1556" s="2" t="s">
        <v>3130</v>
      </c>
      <c r="C1556" s="2" t="s">
        <v>37</v>
      </c>
      <c r="D1556" s="3">
        <v>45896</v>
      </c>
      <c r="E1556" s="3">
        <v>45905</v>
      </c>
      <c r="F1556" s="3">
        <v>45913</v>
      </c>
      <c r="G1556" s="2" t="s">
        <v>40</v>
      </c>
      <c r="H1556" s="2">
        <v>49</v>
      </c>
      <c r="I1556" s="2">
        <v>49</v>
      </c>
      <c r="J1556">
        <f t="shared" si="120"/>
        <v>17</v>
      </c>
      <c r="K1556">
        <f t="shared" si="121"/>
        <v>8</v>
      </c>
      <c r="L1556" t="str">
        <f t="shared" si="122"/>
        <v>No</v>
      </c>
      <c r="M1556" t="str">
        <f t="shared" si="124"/>
        <v>Yes</v>
      </c>
      <c r="N1556" t="str">
        <f t="shared" si="123"/>
        <v>No</v>
      </c>
    </row>
    <row r="1557" spans="1:14" x14ac:dyDescent="0.3">
      <c r="A1557" s="4" t="s">
        <v>3131</v>
      </c>
      <c r="B1557" s="4" t="s">
        <v>3132</v>
      </c>
      <c r="C1557" s="4" t="s">
        <v>34</v>
      </c>
      <c r="D1557" s="5">
        <v>45897</v>
      </c>
      <c r="E1557" s="5">
        <v>45902</v>
      </c>
      <c r="F1557" s="5">
        <v>45908</v>
      </c>
      <c r="G1557" s="4" t="s">
        <v>40</v>
      </c>
      <c r="H1557" s="4">
        <v>23</v>
      </c>
      <c r="I1557" s="2">
        <v>24</v>
      </c>
      <c r="J1557">
        <f t="shared" si="120"/>
        <v>11</v>
      </c>
      <c r="K1557">
        <f t="shared" si="121"/>
        <v>6</v>
      </c>
      <c r="L1557" t="str">
        <f t="shared" si="122"/>
        <v>No</v>
      </c>
      <c r="M1557" t="str">
        <f t="shared" si="124"/>
        <v>No</v>
      </c>
      <c r="N1557" t="str">
        <f t="shared" si="123"/>
        <v>No</v>
      </c>
    </row>
    <row r="1558" spans="1:14" x14ac:dyDescent="0.3">
      <c r="A1558" s="2" t="s">
        <v>3133</v>
      </c>
      <c r="B1558" s="2" t="s">
        <v>3134</v>
      </c>
      <c r="C1558" s="2" t="s">
        <v>34</v>
      </c>
      <c r="D1558" s="3">
        <v>45898</v>
      </c>
      <c r="E1558" s="3">
        <v>45904</v>
      </c>
      <c r="F1558" s="3">
        <v>45906</v>
      </c>
      <c r="G1558" s="2" t="s">
        <v>11</v>
      </c>
      <c r="H1558" s="2">
        <v>36</v>
      </c>
      <c r="I1558" s="2">
        <v>36</v>
      </c>
      <c r="J1558">
        <f t="shared" si="120"/>
        <v>8</v>
      </c>
      <c r="K1558">
        <f t="shared" si="121"/>
        <v>2</v>
      </c>
      <c r="L1558" t="str">
        <f t="shared" si="122"/>
        <v>No</v>
      </c>
      <c r="M1558" t="str">
        <f t="shared" si="124"/>
        <v>Yes</v>
      </c>
      <c r="N1558" t="str">
        <f t="shared" si="123"/>
        <v>No</v>
      </c>
    </row>
    <row r="1559" spans="1:14" x14ac:dyDescent="0.3">
      <c r="A1559" s="4" t="s">
        <v>3135</v>
      </c>
      <c r="B1559" s="4" t="s">
        <v>3136</v>
      </c>
      <c r="C1559" s="4" t="s">
        <v>10</v>
      </c>
      <c r="D1559" s="5">
        <v>45898</v>
      </c>
      <c r="E1559" s="5">
        <v>45904</v>
      </c>
      <c r="F1559" s="5">
        <v>45903</v>
      </c>
      <c r="G1559" s="4" t="s">
        <v>22</v>
      </c>
      <c r="H1559" s="4">
        <v>22</v>
      </c>
      <c r="I1559" s="2">
        <v>22</v>
      </c>
      <c r="J1559">
        <f t="shared" si="120"/>
        <v>5</v>
      </c>
      <c r="K1559">
        <f t="shared" si="121"/>
        <v>-1</v>
      </c>
      <c r="L1559" t="str">
        <f t="shared" si="122"/>
        <v>Yes</v>
      </c>
      <c r="M1559" t="str">
        <f t="shared" si="124"/>
        <v>Yes</v>
      </c>
      <c r="N1559" t="str">
        <f t="shared" si="123"/>
        <v>Yes</v>
      </c>
    </row>
    <row r="1560" spans="1:14" x14ac:dyDescent="0.3">
      <c r="A1560" s="2" t="s">
        <v>3137</v>
      </c>
      <c r="B1560" s="2" t="s">
        <v>3138</v>
      </c>
      <c r="C1560" s="2" t="s">
        <v>10</v>
      </c>
      <c r="D1560" s="3">
        <v>45897</v>
      </c>
      <c r="E1560" s="3">
        <v>45900</v>
      </c>
      <c r="F1560" s="3">
        <v>45902</v>
      </c>
      <c r="G1560" s="2" t="s">
        <v>22</v>
      </c>
      <c r="H1560" s="2">
        <v>3</v>
      </c>
      <c r="I1560" s="2">
        <v>9</v>
      </c>
      <c r="J1560">
        <f t="shared" si="120"/>
        <v>5</v>
      </c>
      <c r="K1560">
        <f t="shared" si="121"/>
        <v>2</v>
      </c>
      <c r="L1560" t="str">
        <f t="shared" si="122"/>
        <v>No</v>
      </c>
      <c r="M1560" t="str">
        <f t="shared" si="124"/>
        <v>No</v>
      </c>
      <c r="N1560" t="str">
        <f t="shared" si="123"/>
        <v>No</v>
      </c>
    </row>
    <row r="1561" spans="1:14" x14ac:dyDescent="0.3">
      <c r="A1561" s="4" t="s">
        <v>3139</v>
      </c>
      <c r="B1561" s="4" t="s">
        <v>3140</v>
      </c>
      <c r="C1561" s="4" t="s">
        <v>27</v>
      </c>
      <c r="D1561" s="5">
        <v>45897</v>
      </c>
      <c r="E1561" s="5">
        <v>45904</v>
      </c>
      <c r="F1561" s="5">
        <v>45912</v>
      </c>
      <c r="G1561" s="4" t="s">
        <v>18</v>
      </c>
      <c r="H1561" s="4">
        <v>5</v>
      </c>
      <c r="I1561" s="2">
        <v>5</v>
      </c>
      <c r="J1561">
        <f t="shared" si="120"/>
        <v>15</v>
      </c>
      <c r="K1561">
        <f t="shared" si="121"/>
        <v>8</v>
      </c>
      <c r="L1561" t="str">
        <f t="shared" si="122"/>
        <v>No</v>
      </c>
      <c r="M1561" t="str">
        <f t="shared" si="124"/>
        <v>Yes</v>
      </c>
      <c r="N1561" t="str">
        <f t="shared" si="123"/>
        <v>No</v>
      </c>
    </row>
    <row r="1562" spans="1:14" x14ac:dyDescent="0.3">
      <c r="A1562" s="2" t="s">
        <v>3141</v>
      </c>
      <c r="B1562" s="2" t="s">
        <v>3142</v>
      </c>
      <c r="C1562" s="2" t="s">
        <v>27</v>
      </c>
      <c r="D1562" s="3">
        <v>45896</v>
      </c>
      <c r="E1562" s="3">
        <v>45903</v>
      </c>
      <c r="F1562" s="3">
        <v>45911</v>
      </c>
      <c r="G1562" s="2" t="s">
        <v>15</v>
      </c>
      <c r="H1562" s="2">
        <v>8</v>
      </c>
      <c r="I1562" s="2">
        <v>8</v>
      </c>
      <c r="J1562">
        <f t="shared" si="120"/>
        <v>15</v>
      </c>
      <c r="K1562">
        <f t="shared" si="121"/>
        <v>8</v>
      </c>
      <c r="L1562" t="str">
        <f t="shared" si="122"/>
        <v>No</v>
      </c>
      <c r="M1562" t="str">
        <f t="shared" si="124"/>
        <v>Yes</v>
      </c>
      <c r="N1562" t="str">
        <f t="shared" si="123"/>
        <v>No</v>
      </c>
    </row>
    <row r="1563" spans="1:14" x14ac:dyDescent="0.3">
      <c r="A1563" s="4" t="s">
        <v>3143</v>
      </c>
      <c r="B1563" s="4" t="s">
        <v>3144</v>
      </c>
      <c r="C1563" s="4" t="s">
        <v>37</v>
      </c>
      <c r="D1563" s="5">
        <v>45897</v>
      </c>
      <c r="E1563" s="5">
        <v>45902</v>
      </c>
      <c r="F1563" s="5">
        <v>45909</v>
      </c>
      <c r="G1563" s="4" t="s">
        <v>18</v>
      </c>
      <c r="H1563" s="4">
        <v>33</v>
      </c>
      <c r="I1563" s="2">
        <v>33</v>
      </c>
      <c r="J1563">
        <f t="shared" si="120"/>
        <v>12</v>
      </c>
      <c r="K1563">
        <f t="shared" si="121"/>
        <v>7</v>
      </c>
      <c r="L1563" t="str">
        <f t="shared" si="122"/>
        <v>No</v>
      </c>
      <c r="M1563" t="str">
        <f t="shared" si="124"/>
        <v>Yes</v>
      </c>
      <c r="N1563" t="str">
        <f t="shared" si="123"/>
        <v>No</v>
      </c>
    </row>
    <row r="1564" spans="1:14" x14ac:dyDescent="0.3">
      <c r="A1564" s="2" t="s">
        <v>3145</v>
      </c>
      <c r="B1564" s="2" t="s">
        <v>3146</v>
      </c>
      <c r="C1564" s="2" t="s">
        <v>34</v>
      </c>
      <c r="D1564" s="3">
        <v>45898</v>
      </c>
      <c r="E1564" s="3">
        <v>45900</v>
      </c>
      <c r="F1564" s="3">
        <v>45905</v>
      </c>
      <c r="G1564" s="2" t="s">
        <v>18</v>
      </c>
      <c r="H1564" s="2">
        <v>38</v>
      </c>
      <c r="I1564" s="2">
        <v>38</v>
      </c>
      <c r="J1564">
        <f t="shared" si="120"/>
        <v>7</v>
      </c>
      <c r="K1564">
        <f t="shared" si="121"/>
        <v>5</v>
      </c>
      <c r="L1564" t="str">
        <f t="shared" si="122"/>
        <v>No</v>
      </c>
      <c r="M1564" t="str">
        <f t="shared" si="124"/>
        <v>Yes</v>
      </c>
      <c r="N1564" t="str">
        <f t="shared" si="123"/>
        <v>No</v>
      </c>
    </row>
    <row r="1565" spans="1:14" x14ac:dyDescent="0.3">
      <c r="A1565" s="4" t="s">
        <v>3147</v>
      </c>
      <c r="B1565" s="4" t="s">
        <v>3148</v>
      </c>
      <c r="C1565" s="4" t="s">
        <v>10</v>
      </c>
      <c r="D1565" s="5">
        <v>45898</v>
      </c>
      <c r="E1565" s="5">
        <v>45906</v>
      </c>
      <c r="F1565" s="5">
        <v>45903</v>
      </c>
      <c r="G1565" s="4" t="s">
        <v>22</v>
      </c>
      <c r="H1565" s="4">
        <v>6</v>
      </c>
      <c r="I1565" s="2">
        <v>14</v>
      </c>
      <c r="J1565">
        <f t="shared" si="120"/>
        <v>5</v>
      </c>
      <c r="K1565">
        <f t="shared" si="121"/>
        <v>-3</v>
      </c>
      <c r="L1565" t="str">
        <f t="shared" si="122"/>
        <v>Yes</v>
      </c>
      <c r="M1565" t="str">
        <f t="shared" si="124"/>
        <v>No</v>
      </c>
      <c r="N1565" t="str">
        <f t="shared" si="123"/>
        <v>No</v>
      </c>
    </row>
    <row r="1566" spans="1:14" x14ac:dyDescent="0.3">
      <c r="A1566" s="2" t="s">
        <v>3149</v>
      </c>
      <c r="B1566" s="2" t="s">
        <v>3150</v>
      </c>
      <c r="C1566" s="2" t="s">
        <v>10</v>
      </c>
      <c r="D1566" s="3">
        <v>45897</v>
      </c>
      <c r="E1566" s="3">
        <v>45906</v>
      </c>
      <c r="F1566" s="3">
        <v>45904</v>
      </c>
      <c r="G1566" s="2" t="s">
        <v>18</v>
      </c>
      <c r="H1566" s="2">
        <v>38</v>
      </c>
      <c r="I1566" s="2">
        <v>38</v>
      </c>
      <c r="J1566">
        <f t="shared" si="120"/>
        <v>7</v>
      </c>
      <c r="K1566">
        <f t="shared" si="121"/>
        <v>-2</v>
      </c>
      <c r="L1566" t="str">
        <f t="shared" si="122"/>
        <v>Yes</v>
      </c>
      <c r="M1566" t="str">
        <f t="shared" si="124"/>
        <v>Yes</v>
      </c>
      <c r="N1566" t="str">
        <f t="shared" si="123"/>
        <v>Yes</v>
      </c>
    </row>
    <row r="1567" spans="1:14" x14ac:dyDescent="0.3">
      <c r="A1567" s="4" t="s">
        <v>3151</v>
      </c>
      <c r="B1567" s="4" t="s">
        <v>3152</v>
      </c>
      <c r="C1567" s="4" t="s">
        <v>10</v>
      </c>
      <c r="D1567" s="5">
        <v>45899</v>
      </c>
      <c r="E1567" s="5">
        <v>45905</v>
      </c>
      <c r="F1567" s="5">
        <v>45908</v>
      </c>
      <c r="G1567" s="4" t="s">
        <v>11</v>
      </c>
      <c r="H1567" s="4">
        <v>14</v>
      </c>
      <c r="I1567" s="2">
        <v>14</v>
      </c>
      <c r="J1567">
        <f t="shared" si="120"/>
        <v>9</v>
      </c>
      <c r="K1567">
        <f t="shared" si="121"/>
        <v>3</v>
      </c>
      <c r="L1567" t="str">
        <f t="shared" si="122"/>
        <v>No</v>
      </c>
      <c r="M1567" t="str">
        <f t="shared" si="124"/>
        <v>Yes</v>
      </c>
      <c r="N1567" t="str">
        <f t="shared" si="123"/>
        <v>No</v>
      </c>
    </row>
    <row r="1568" spans="1:14" x14ac:dyDescent="0.3">
      <c r="A1568" s="2" t="s">
        <v>3153</v>
      </c>
      <c r="B1568" s="2" t="s">
        <v>3154</v>
      </c>
      <c r="C1568" s="2" t="s">
        <v>59</v>
      </c>
      <c r="D1568" s="3">
        <v>45897</v>
      </c>
      <c r="E1568" s="3">
        <v>45907</v>
      </c>
      <c r="F1568" s="3">
        <v>45900</v>
      </c>
      <c r="G1568" s="2" t="s">
        <v>40</v>
      </c>
      <c r="H1568" s="2">
        <v>29</v>
      </c>
      <c r="I1568" s="2">
        <v>29</v>
      </c>
      <c r="J1568">
        <f t="shared" si="120"/>
        <v>3</v>
      </c>
      <c r="K1568">
        <f t="shared" si="121"/>
        <v>-7</v>
      </c>
      <c r="L1568" t="str">
        <f t="shared" si="122"/>
        <v>Yes</v>
      </c>
      <c r="M1568" t="str">
        <f t="shared" si="124"/>
        <v>Yes</v>
      </c>
      <c r="N1568" t="str">
        <f t="shared" si="123"/>
        <v>Yes</v>
      </c>
    </row>
    <row r="1569" spans="1:14" x14ac:dyDescent="0.3">
      <c r="A1569" s="4" t="s">
        <v>3155</v>
      </c>
      <c r="B1569" s="4" t="s">
        <v>3156</v>
      </c>
      <c r="C1569" s="4" t="s">
        <v>21</v>
      </c>
      <c r="D1569" s="5">
        <v>45898</v>
      </c>
      <c r="E1569" s="5">
        <v>45903</v>
      </c>
      <c r="F1569" s="5">
        <v>45903</v>
      </c>
      <c r="G1569" s="4" t="s">
        <v>18</v>
      </c>
      <c r="H1569" s="4">
        <v>25</v>
      </c>
      <c r="I1569" s="2">
        <v>30</v>
      </c>
      <c r="J1569">
        <f t="shared" si="120"/>
        <v>5</v>
      </c>
      <c r="K1569">
        <f t="shared" si="121"/>
        <v>0</v>
      </c>
      <c r="L1569" t="str">
        <f t="shared" si="122"/>
        <v>Yes</v>
      </c>
      <c r="M1569" t="str">
        <f t="shared" si="124"/>
        <v>No</v>
      </c>
      <c r="N1569" t="str">
        <f t="shared" si="123"/>
        <v>No</v>
      </c>
    </row>
    <row r="1570" spans="1:14" x14ac:dyDescent="0.3">
      <c r="A1570" s="2" t="s">
        <v>3157</v>
      </c>
      <c r="B1570" s="2" t="s">
        <v>3158</v>
      </c>
      <c r="C1570" s="2" t="s">
        <v>21</v>
      </c>
      <c r="D1570" s="3">
        <v>45899</v>
      </c>
      <c r="E1570" s="3">
        <v>45906</v>
      </c>
      <c r="F1570" s="3">
        <v>45904</v>
      </c>
      <c r="G1570" s="2" t="s">
        <v>15</v>
      </c>
      <c r="H1570" s="2">
        <v>44</v>
      </c>
      <c r="I1570" s="2">
        <v>44</v>
      </c>
      <c r="J1570">
        <f t="shared" si="120"/>
        <v>5</v>
      </c>
      <c r="K1570">
        <f t="shared" si="121"/>
        <v>-2</v>
      </c>
      <c r="L1570" t="str">
        <f t="shared" si="122"/>
        <v>Yes</v>
      </c>
      <c r="M1570" t="str">
        <f t="shared" si="124"/>
        <v>Yes</v>
      </c>
      <c r="N1570" t="str">
        <f t="shared" si="123"/>
        <v>Yes</v>
      </c>
    </row>
    <row r="1571" spans="1:14" x14ac:dyDescent="0.3">
      <c r="A1571" s="4" t="s">
        <v>3159</v>
      </c>
      <c r="B1571" s="4" t="s">
        <v>3160</v>
      </c>
      <c r="C1571" s="4" t="s">
        <v>27</v>
      </c>
      <c r="D1571" s="5">
        <v>45897</v>
      </c>
      <c r="E1571" s="5">
        <v>45905</v>
      </c>
      <c r="F1571" s="5">
        <v>45912</v>
      </c>
      <c r="G1571" s="4" t="s">
        <v>22</v>
      </c>
      <c r="H1571" s="4">
        <v>18</v>
      </c>
      <c r="I1571" s="2">
        <v>25</v>
      </c>
      <c r="J1571">
        <f t="shared" si="120"/>
        <v>15</v>
      </c>
      <c r="K1571">
        <f t="shared" si="121"/>
        <v>7</v>
      </c>
      <c r="L1571" t="str">
        <f t="shared" si="122"/>
        <v>No</v>
      </c>
      <c r="M1571" t="str">
        <f t="shared" si="124"/>
        <v>No</v>
      </c>
      <c r="N1571" t="str">
        <f t="shared" si="123"/>
        <v>No</v>
      </c>
    </row>
    <row r="1572" spans="1:14" x14ac:dyDescent="0.3">
      <c r="A1572" s="2" t="s">
        <v>3161</v>
      </c>
      <c r="B1572" s="2" t="s">
        <v>3162</v>
      </c>
      <c r="C1572" s="2" t="s">
        <v>34</v>
      </c>
      <c r="D1572" s="3">
        <v>45899</v>
      </c>
      <c r="E1572" s="3">
        <v>45905</v>
      </c>
      <c r="F1572" s="3">
        <v>45910</v>
      </c>
      <c r="G1572" s="2" t="s">
        <v>40</v>
      </c>
      <c r="H1572" s="2">
        <v>34</v>
      </c>
      <c r="I1572" s="2">
        <v>34</v>
      </c>
      <c r="J1572">
        <f t="shared" si="120"/>
        <v>11</v>
      </c>
      <c r="K1572">
        <f t="shared" si="121"/>
        <v>5</v>
      </c>
      <c r="L1572" t="str">
        <f t="shared" si="122"/>
        <v>No</v>
      </c>
      <c r="M1572" t="str">
        <f t="shared" si="124"/>
        <v>Yes</v>
      </c>
      <c r="N1572" t="str">
        <f t="shared" si="123"/>
        <v>No</v>
      </c>
    </row>
    <row r="1573" spans="1:14" x14ac:dyDescent="0.3">
      <c r="A1573" s="4" t="s">
        <v>3163</v>
      </c>
      <c r="B1573" s="4" t="s">
        <v>3164</v>
      </c>
      <c r="C1573" s="4" t="s">
        <v>37</v>
      </c>
      <c r="D1573" s="5">
        <v>45898</v>
      </c>
      <c r="E1573" s="5">
        <v>45907</v>
      </c>
      <c r="F1573" s="5">
        <v>45911</v>
      </c>
      <c r="G1573" s="4" t="s">
        <v>15</v>
      </c>
      <c r="H1573" s="4">
        <v>14</v>
      </c>
      <c r="I1573" s="2">
        <v>14</v>
      </c>
      <c r="J1573">
        <f t="shared" si="120"/>
        <v>13</v>
      </c>
      <c r="K1573">
        <f t="shared" si="121"/>
        <v>4</v>
      </c>
      <c r="L1573" t="str">
        <f t="shared" si="122"/>
        <v>No</v>
      </c>
      <c r="M1573" t="str">
        <f t="shared" si="124"/>
        <v>Yes</v>
      </c>
      <c r="N1573" t="str">
        <f t="shared" si="123"/>
        <v>No</v>
      </c>
    </row>
    <row r="1574" spans="1:14" x14ac:dyDescent="0.3">
      <c r="A1574" s="2" t="s">
        <v>3165</v>
      </c>
      <c r="B1574" s="2" t="s">
        <v>3166</v>
      </c>
      <c r="C1574" s="2" t="s">
        <v>10</v>
      </c>
      <c r="D1574" s="3">
        <v>45899</v>
      </c>
      <c r="E1574" s="3">
        <v>45907</v>
      </c>
      <c r="F1574" s="3">
        <v>45904</v>
      </c>
      <c r="G1574" s="2" t="s">
        <v>11</v>
      </c>
      <c r="H1574" s="2">
        <v>25</v>
      </c>
      <c r="I1574" s="2">
        <v>25</v>
      </c>
      <c r="J1574">
        <f t="shared" si="120"/>
        <v>5</v>
      </c>
      <c r="K1574">
        <f t="shared" si="121"/>
        <v>-3</v>
      </c>
      <c r="L1574" t="str">
        <f t="shared" si="122"/>
        <v>Yes</v>
      </c>
      <c r="M1574" t="str">
        <f t="shared" si="124"/>
        <v>Yes</v>
      </c>
      <c r="N1574" t="str">
        <f t="shared" si="123"/>
        <v>Yes</v>
      </c>
    </row>
    <row r="1575" spans="1:14" x14ac:dyDescent="0.3">
      <c r="A1575" s="4" t="s">
        <v>3167</v>
      </c>
      <c r="B1575" s="4" t="s">
        <v>3168</v>
      </c>
      <c r="C1575" s="4" t="s">
        <v>14</v>
      </c>
      <c r="D1575" s="5">
        <v>45899</v>
      </c>
      <c r="E1575" s="5">
        <v>45908</v>
      </c>
      <c r="F1575" s="5">
        <v>45914</v>
      </c>
      <c r="G1575" s="4" t="s">
        <v>22</v>
      </c>
      <c r="H1575" s="4">
        <v>47</v>
      </c>
      <c r="I1575" s="2">
        <v>47</v>
      </c>
      <c r="J1575">
        <f t="shared" si="120"/>
        <v>15</v>
      </c>
      <c r="K1575">
        <f t="shared" si="121"/>
        <v>6</v>
      </c>
      <c r="L1575" t="str">
        <f t="shared" si="122"/>
        <v>No</v>
      </c>
      <c r="M1575" t="str">
        <f t="shared" si="124"/>
        <v>Yes</v>
      </c>
      <c r="N1575" t="str">
        <f t="shared" si="123"/>
        <v>No</v>
      </c>
    </row>
    <row r="1576" spans="1:14" x14ac:dyDescent="0.3">
      <c r="A1576" s="2" t="s">
        <v>3169</v>
      </c>
      <c r="B1576" s="2" t="s">
        <v>3170</v>
      </c>
      <c r="C1576" s="2" t="s">
        <v>21</v>
      </c>
      <c r="D1576" s="3">
        <v>45900</v>
      </c>
      <c r="E1576" s="3">
        <v>45905</v>
      </c>
      <c r="F1576" s="3">
        <v>45906</v>
      </c>
      <c r="G1576" s="2" t="s">
        <v>11</v>
      </c>
      <c r="H1576" s="2">
        <v>35</v>
      </c>
      <c r="I1576" s="2">
        <v>37</v>
      </c>
      <c r="J1576">
        <f t="shared" si="120"/>
        <v>6</v>
      </c>
      <c r="K1576">
        <f t="shared" si="121"/>
        <v>1</v>
      </c>
      <c r="L1576" t="str">
        <f t="shared" si="122"/>
        <v>No</v>
      </c>
      <c r="M1576" t="str">
        <f t="shared" si="124"/>
        <v>No</v>
      </c>
      <c r="N1576" t="str">
        <f t="shared" si="123"/>
        <v>No</v>
      </c>
    </row>
    <row r="1577" spans="1:14" x14ac:dyDescent="0.3">
      <c r="A1577" s="4" t="s">
        <v>3171</v>
      </c>
      <c r="B1577" s="4" t="s">
        <v>3172</v>
      </c>
      <c r="C1577" s="4" t="s">
        <v>21</v>
      </c>
      <c r="D1577" s="5">
        <v>45900</v>
      </c>
      <c r="E1577" s="5">
        <v>45904</v>
      </c>
      <c r="F1577" s="5">
        <v>45905</v>
      </c>
      <c r="G1577" s="4" t="s">
        <v>18</v>
      </c>
      <c r="H1577" s="4">
        <v>19</v>
      </c>
      <c r="I1577" s="2">
        <v>19</v>
      </c>
      <c r="J1577">
        <f t="shared" si="120"/>
        <v>5</v>
      </c>
      <c r="K1577">
        <f t="shared" si="121"/>
        <v>1</v>
      </c>
      <c r="L1577" t="str">
        <f t="shared" si="122"/>
        <v>No</v>
      </c>
      <c r="M1577" t="str">
        <f t="shared" si="124"/>
        <v>Yes</v>
      </c>
      <c r="N1577" t="str">
        <f t="shared" si="123"/>
        <v>No</v>
      </c>
    </row>
    <row r="1578" spans="1:14" x14ac:dyDescent="0.3">
      <c r="A1578" s="2" t="s">
        <v>3173</v>
      </c>
      <c r="B1578" s="2" t="s">
        <v>3174</v>
      </c>
      <c r="C1578" s="2" t="s">
        <v>27</v>
      </c>
      <c r="D1578" s="3">
        <v>45900</v>
      </c>
      <c r="E1578" s="3">
        <v>45904</v>
      </c>
      <c r="F1578" s="3">
        <v>45913</v>
      </c>
      <c r="G1578" s="2" t="s">
        <v>15</v>
      </c>
      <c r="H1578" s="2">
        <v>5</v>
      </c>
      <c r="I1578" s="2">
        <v>5</v>
      </c>
      <c r="J1578">
        <f t="shared" si="120"/>
        <v>13</v>
      </c>
      <c r="K1578">
        <f t="shared" si="121"/>
        <v>9</v>
      </c>
      <c r="L1578" t="str">
        <f t="shared" si="122"/>
        <v>No</v>
      </c>
      <c r="M1578" t="str">
        <f t="shared" si="124"/>
        <v>Yes</v>
      </c>
      <c r="N1578" t="str">
        <f t="shared" si="123"/>
        <v>No</v>
      </c>
    </row>
    <row r="1579" spans="1:14" x14ac:dyDescent="0.3">
      <c r="A1579" s="4" t="s">
        <v>3175</v>
      </c>
      <c r="B1579" s="4" t="s">
        <v>3176</v>
      </c>
      <c r="C1579" s="4" t="s">
        <v>27</v>
      </c>
      <c r="D1579" s="5">
        <v>45899</v>
      </c>
      <c r="E1579" s="5">
        <v>45902</v>
      </c>
      <c r="F1579" s="5">
        <v>45912</v>
      </c>
      <c r="G1579" s="4" t="s">
        <v>40</v>
      </c>
      <c r="H1579" s="4">
        <v>2</v>
      </c>
      <c r="I1579" s="2">
        <v>9</v>
      </c>
      <c r="J1579">
        <f t="shared" si="120"/>
        <v>13</v>
      </c>
      <c r="K1579">
        <f t="shared" si="121"/>
        <v>10</v>
      </c>
      <c r="L1579" t="str">
        <f t="shared" si="122"/>
        <v>No</v>
      </c>
      <c r="M1579" t="str">
        <f t="shared" si="124"/>
        <v>No</v>
      </c>
      <c r="N1579" t="str">
        <f t="shared" si="123"/>
        <v>No</v>
      </c>
    </row>
    <row r="1580" spans="1:14" x14ac:dyDescent="0.3">
      <c r="A1580" s="2" t="s">
        <v>3177</v>
      </c>
      <c r="B1580" s="2" t="s">
        <v>3178</v>
      </c>
      <c r="C1580" s="2" t="s">
        <v>10</v>
      </c>
      <c r="D1580" s="3">
        <v>45900</v>
      </c>
      <c r="E1580" s="3">
        <v>45904</v>
      </c>
      <c r="F1580" s="3">
        <v>45907</v>
      </c>
      <c r="G1580" s="2" t="s">
        <v>15</v>
      </c>
      <c r="H1580" s="2">
        <v>21</v>
      </c>
      <c r="I1580" s="2">
        <v>21</v>
      </c>
      <c r="J1580">
        <f t="shared" si="120"/>
        <v>7</v>
      </c>
      <c r="K1580">
        <f t="shared" si="121"/>
        <v>3</v>
      </c>
      <c r="L1580" t="str">
        <f t="shared" si="122"/>
        <v>No</v>
      </c>
      <c r="M1580" t="str">
        <f t="shared" si="124"/>
        <v>Yes</v>
      </c>
      <c r="N1580" t="str">
        <f t="shared" si="123"/>
        <v>No</v>
      </c>
    </row>
    <row r="1581" spans="1:14" x14ac:dyDescent="0.3">
      <c r="A1581" s="4" t="s">
        <v>3179</v>
      </c>
      <c r="B1581" s="4" t="s">
        <v>3180</v>
      </c>
      <c r="C1581" s="4" t="s">
        <v>10</v>
      </c>
      <c r="D1581" s="5">
        <v>45900</v>
      </c>
      <c r="E1581" s="5">
        <v>45907</v>
      </c>
      <c r="F1581" s="5">
        <v>45905</v>
      </c>
      <c r="G1581" s="4" t="s">
        <v>40</v>
      </c>
      <c r="H1581" s="4">
        <v>11</v>
      </c>
      <c r="I1581" s="2">
        <v>11</v>
      </c>
      <c r="J1581">
        <f t="shared" si="120"/>
        <v>5</v>
      </c>
      <c r="K1581">
        <f t="shared" si="121"/>
        <v>-2</v>
      </c>
      <c r="L1581" t="str">
        <f t="shared" si="122"/>
        <v>Yes</v>
      </c>
      <c r="M1581" t="str">
        <f t="shared" si="124"/>
        <v>Yes</v>
      </c>
      <c r="N1581" t="str">
        <f t="shared" si="123"/>
        <v>Yes</v>
      </c>
    </row>
    <row r="1582" spans="1:14" x14ac:dyDescent="0.3">
      <c r="A1582" s="2" t="s">
        <v>3181</v>
      </c>
      <c r="B1582" s="2" t="s">
        <v>3182</v>
      </c>
      <c r="C1582" s="2" t="s">
        <v>21</v>
      </c>
      <c r="D1582" s="3">
        <v>45899</v>
      </c>
      <c r="E1582" s="3">
        <v>45906</v>
      </c>
      <c r="F1582" s="3">
        <v>45907</v>
      </c>
      <c r="G1582" s="2" t="s">
        <v>22</v>
      </c>
      <c r="H1582" s="2">
        <v>37</v>
      </c>
      <c r="I1582" s="2">
        <v>37</v>
      </c>
      <c r="J1582">
        <f t="shared" si="120"/>
        <v>8</v>
      </c>
      <c r="K1582">
        <f t="shared" si="121"/>
        <v>1</v>
      </c>
      <c r="L1582" t="str">
        <f t="shared" si="122"/>
        <v>No</v>
      </c>
      <c r="M1582" t="str">
        <f t="shared" si="124"/>
        <v>Yes</v>
      </c>
      <c r="N1582" t="str">
        <f t="shared" si="123"/>
        <v>No</v>
      </c>
    </row>
    <row r="1583" spans="1:14" x14ac:dyDescent="0.3">
      <c r="A1583" s="4" t="s">
        <v>3183</v>
      </c>
      <c r="B1583" s="4" t="s">
        <v>3184</v>
      </c>
      <c r="C1583" s="4" t="s">
        <v>21</v>
      </c>
      <c r="D1583" s="5">
        <v>45900</v>
      </c>
      <c r="E1583" s="5">
        <v>45903</v>
      </c>
      <c r="F1583" s="5">
        <v>45906</v>
      </c>
      <c r="G1583" s="4" t="s">
        <v>15</v>
      </c>
      <c r="H1583" s="4">
        <v>46</v>
      </c>
      <c r="I1583" s="2">
        <v>46</v>
      </c>
      <c r="J1583">
        <f t="shared" si="120"/>
        <v>6</v>
      </c>
      <c r="K1583">
        <f t="shared" si="121"/>
        <v>3</v>
      </c>
      <c r="L1583" t="str">
        <f t="shared" si="122"/>
        <v>No</v>
      </c>
      <c r="M1583" t="str">
        <f t="shared" si="124"/>
        <v>Yes</v>
      </c>
      <c r="N1583" t="str">
        <f t="shared" si="123"/>
        <v>No</v>
      </c>
    </row>
    <row r="1584" spans="1:14" x14ac:dyDescent="0.3">
      <c r="A1584" s="2" t="s">
        <v>3185</v>
      </c>
      <c r="B1584" s="2" t="s">
        <v>3186</v>
      </c>
      <c r="C1584" s="2" t="s">
        <v>21</v>
      </c>
      <c r="D1584" s="3">
        <v>45899</v>
      </c>
      <c r="E1584" s="3">
        <v>45902</v>
      </c>
      <c r="F1584" s="3">
        <v>45905</v>
      </c>
      <c r="G1584" s="2" t="s">
        <v>22</v>
      </c>
      <c r="H1584" s="2">
        <v>30</v>
      </c>
      <c r="I1584" s="2">
        <v>30</v>
      </c>
      <c r="J1584">
        <f t="shared" si="120"/>
        <v>6</v>
      </c>
      <c r="K1584">
        <f t="shared" si="121"/>
        <v>3</v>
      </c>
      <c r="L1584" t="str">
        <f t="shared" si="122"/>
        <v>No</v>
      </c>
      <c r="M1584" t="str">
        <f t="shared" si="124"/>
        <v>Yes</v>
      </c>
      <c r="N1584" t="str">
        <f t="shared" si="123"/>
        <v>No</v>
      </c>
    </row>
    <row r="1585" spans="1:14" x14ac:dyDescent="0.3">
      <c r="A1585" s="4" t="s">
        <v>3187</v>
      </c>
      <c r="B1585" s="4" t="s">
        <v>3188</v>
      </c>
      <c r="C1585" s="4" t="s">
        <v>27</v>
      </c>
      <c r="D1585" s="5">
        <v>45899</v>
      </c>
      <c r="E1585" s="5">
        <v>45903</v>
      </c>
      <c r="F1585" s="5">
        <v>45912</v>
      </c>
      <c r="G1585" s="4" t="s">
        <v>15</v>
      </c>
      <c r="H1585" s="4">
        <v>22</v>
      </c>
      <c r="I1585" s="2">
        <v>22</v>
      </c>
      <c r="J1585">
        <f t="shared" si="120"/>
        <v>13</v>
      </c>
      <c r="K1585">
        <f t="shared" si="121"/>
        <v>9</v>
      </c>
      <c r="L1585" t="str">
        <f t="shared" si="122"/>
        <v>No</v>
      </c>
      <c r="M1585" t="str">
        <f t="shared" si="124"/>
        <v>Yes</v>
      </c>
      <c r="N1585" t="str">
        <f t="shared" si="123"/>
        <v>No</v>
      </c>
    </row>
    <row r="1586" spans="1:14" x14ac:dyDescent="0.3">
      <c r="A1586" s="2" t="s">
        <v>3189</v>
      </c>
      <c r="B1586" s="2" t="s">
        <v>3190</v>
      </c>
      <c r="C1586" s="2" t="s">
        <v>27</v>
      </c>
      <c r="D1586" s="3">
        <v>45899</v>
      </c>
      <c r="E1586" s="3">
        <v>45908</v>
      </c>
      <c r="F1586" s="3">
        <v>45912</v>
      </c>
      <c r="G1586" s="2" t="s">
        <v>11</v>
      </c>
      <c r="H1586" s="2">
        <v>7</v>
      </c>
      <c r="I1586" s="2">
        <v>7</v>
      </c>
      <c r="J1586">
        <f t="shared" si="120"/>
        <v>13</v>
      </c>
      <c r="K1586">
        <f t="shared" si="121"/>
        <v>4</v>
      </c>
      <c r="L1586" t="str">
        <f t="shared" si="122"/>
        <v>No</v>
      </c>
      <c r="M1586" t="str">
        <f t="shared" si="124"/>
        <v>Yes</v>
      </c>
      <c r="N1586" t="str">
        <f t="shared" si="123"/>
        <v>No</v>
      </c>
    </row>
    <row r="1587" spans="1:14" x14ac:dyDescent="0.3">
      <c r="A1587" s="4" t="s">
        <v>3191</v>
      </c>
      <c r="B1587" s="4" t="s">
        <v>3192</v>
      </c>
      <c r="C1587" s="4" t="s">
        <v>27</v>
      </c>
      <c r="D1587" s="5">
        <v>45899</v>
      </c>
      <c r="E1587" s="5">
        <v>45906</v>
      </c>
      <c r="F1587" s="5">
        <v>45914</v>
      </c>
      <c r="G1587" s="4" t="s">
        <v>22</v>
      </c>
      <c r="H1587" s="4">
        <v>12</v>
      </c>
      <c r="I1587" s="2">
        <v>12</v>
      </c>
      <c r="J1587">
        <f t="shared" si="120"/>
        <v>15</v>
      </c>
      <c r="K1587">
        <f t="shared" si="121"/>
        <v>8</v>
      </c>
      <c r="L1587" t="str">
        <f t="shared" si="122"/>
        <v>No</v>
      </c>
      <c r="M1587" t="str">
        <f t="shared" si="124"/>
        <v>Yes</v>
      </c>
      <c r="N1587" t="str">
        <f t="shared" si="123"/>
        <v>No</v>
      </c>
    </row>
    <row r="1588" spans="1:14" x14ac:dyDescent="0.3">
      <c r="A1588" s="2" t="s">
        <v>3193</v>
      </c>
      <c r="B1588" s="2" t="s">
        <v>3194</v>
      </c>
      <c r="C1588" s="2" t="s">
        <v>34</v>
      </c>
      <c r="D1588" s="3">
        <v>45901</v>
      </c>
      <c r="E1588" s="3">
        <v>45906</v>
      </c>
      <c r="F1588" s="3">
        <v>45912</v>
      </c>
      <c r="G1588" s="2" t="s">
        <v>22</v>
      </c>
      <c r="H1588" s="2">
        <v>11</v>
      </c>
      <c r="I1588" s="2">
        <v>13</v>
      </c>
      <c r="J1588">
        <f t="shared" si="120"/>
        <v>11</v>
      </c>
      <c r="K1588">
        <f t="shared" si="121"/>
        <v>6</v>
      </c>
      <c r="L1588" t="str">
        <f t="shared" si="122"/>
        <v>No</v>
      </c>
      <c r="M1588" t="str">
        <f t="shared" si="124"/>
        <v>No</v>
      </c>
      <c r="N1588" t="str">
        <f t="shared" si="123"/>
        <v>No</v>
      </c>
    </row>
    <row r="1589" spans="1:14" x14ac:dyDescent="0.3">
      <c r="A1589" s="4" t="s">
        <v>3195</v>
      </c>
      <c r="B1589" s="4" t="s">
        <v>3196</v>
      </c>
      <c r="C1589" s="4" t="s">
        <v>37</v>
      </c>
      <c r="D1589" s="5">
        <v>45902</v>
      </c>
      <c r="E1589" s="5">
        <v>45907</v>
      </c>
      <c r="F1589" s="5">
        <v>45914</v>
      </c>
      <c r="G1589" s="4" t="s">
        <v>40</v>
      </c>
      <c r="H1589" s="4">
        <v>26</v>
      </c>
      <c r="I1589" s="2">
        <v>26</v>
      </c>
      <c r="J1589">
        <f t="shared" si="120"/>
        <v>12</v>
      </c>
      <c r="K1589">
        <f t="shared" si="121"/>
        <v>7</v>
      </c>
      <c r="L1589" t="str">
        <f t="shared" si="122"/>
        <v>No</v>
      </c>
      <c r="M1589" t="str">
        <f t="shared" si="124"/>
        <v>Yes</v>
      </c>
      <c r="N1589" t="str">
        <f t="shared" si="123"/>
        <v>No</v>
      </c>
    </row>
    <row r="1590" spans="1:14" x14ac:dyDescent="0.3">
      <c r="A1590" s="2" t="s">
        <v>3197</v>
      </c>
      <c r="B1590" s="2" t="s">
        <v>3198</v>
      </c>
      <c r="C1590" s="2" t="s">
        <v>10</v>
      </c>
      <c r="D1590" s="3">
        <v>45902</v>
      </c>
      <c r="E1590" s="3">
        <v>45904</v>
      </c>
      <c r="F1590" s="3">
        <v>45907</v>
      </c>
      <c r="G1590" s="2" t="s">
        <v>40</v>
      </c>
      <c r="H1590" s="2">
        <v>17</v>
      </c>
      <c r="I1590" s="2">
        <v>17</v>
      </c>
      <c r="J1590">
        <f t="shared" si="120"/>
        <v>5</v>
      </c>
      <c r="K1590">
        <f t="shared" si="121"/>
        <v>3</v>
      </c>
      <c r="L1590" t="str">
        <f t="shared" si="122"/>
        <v>No</v>
      </c>
      <c r="M1590" t="str">
        <f t="shared" si="124"/>
        <v>Yes</v>
      </c>
      <c r="N1590" t="str">
        <f t="shared" si="123"/>
        <v>No</v>
      </c>
    </row>
    <row r="1591" spans="1:14" x14ac:dyDescent="0.3">
      <c r="A1591" s="4" t="s">
        <v>3199</v>
      </c>
      <c r="B1591" s="4" t="s">
        <v>3200</v>
      </c>
      <c r="C1591" s="4" t="s">
        <v>72</v>
      </c>
      <c r="D1591" s="5">
        <v>45900</v>
      </c>
      <c r="E1591" s="5">
        <v>45903</v>
      </c>
      <c r="F1591" s="5">
        <v>45913</v>
      </c>
      <c r="G1591" s="4" t="s">
        <v>11</v>
      </c>
      <c r="H1591" s="4">
        <v>29</v>
      </c>
      <c r="I1591" s="2">
        <v>29</v>
      </c>
      <c r="J1591">
        <f t="shared" si="120"/>
        <v>13</v>
      </c>
      <c r="K1591">
        <f t="shared" si="121"/>
        <v>10</v>
      </c>
      <c r="L1591" t="str">
        <f t="shared" si="122"/>
        <v>No</v>
      </c>
      <c r="M1591" t="str">
        <f t="shared" si="124"/>
        <v>Yes</v>
      </c>
      <c r="N1591" t="str">
        <f t="shared" si="123"/>
        <v>No</v>
      </c>
    </row>
    <row r="1592" spans="1:14" x14ac:dyDescent="0.3">
      <c r="A1592" s="2" t="s">
        <v>3201</v>
      </c>
      <c r="B1592" s="2" t="s">
        <v>3202</v>
      </c>
      <c r="C1592" s="2" t="s">
        <v>10</v>
      </c>
      <c r="D1592" s="3">
        <v>45902</v>
      </c>
      <c r="E1592" s="3">
        <v>45909</v>
      </c>
      <c r="F1592" s="3">
        <v>45907</v>
      </c>
      <c r="G1592" s="2" t="s">
        <v>15</v>
      </c>
      <c r="H1592" s="2">
        <v>10</v>
      </c>
      <c r="I1592" s="2">
        <v>10</v>
      </c>
      <c r="J1592">
        <f t="shared" si="120"/>
        <v>5</v>
      </c>
      <c r="K1592">
        <f t="shared" si="121"/>
        <v>-2</v>
      </c>
      <c r="L1592" t="str">
        <f t="shared" si="122"/>
        <v>Yes</v>
      </c>
      <c r="M1592" t="str">
        <f t="shared" si="124"/>
        <v>Yes</v>
      </c>
      <c r="N1592" t="str">
        <f t="shared" si="123"/>
        <v>Yes</v>
      </c>
    </row>
    <row r="1593" spans="1:14" x14ac:dyDescent="0.3">
      <c r="A1593" s="4" t="s">
        <v>3203</v>
      </c>
      <c r="B1593" s="4" t="s">
        <v>3204</v>
      </c>
      <c r="C1593" s="4" t="s">
        <v>14</v>
      </c>
      <c r="D1593" s="5">
        <v>45902</v>
      </c>
      <c r="E1593" s="5">
        <v>45907</v>
      </c>
      <c r="F1593" s="5">
        <v>45917</v>
      </c>
      <c r="G1593" s="4" t="s">
        <v>11</v>
      </c>
      <c r="H1593" s="4">
        <v>13</v>
      </c>
      <c r="I1593" s="2">
        <v>13</v>
      </c>
      <c r="J1593">
        <f t="shared" si="120"/>
        <v>15</v>
      </c>
      <c r="K1593">
        <f t="shared" si="121"/>
        <v>10</v>
      </c>
      <c r="L1593" t="str">
        <f t="shared" si="122"/>
        <v>No</v>
      </c>
      <c r="M1593" t="str">
        <f t="shared" si="124"/>
        <v>Yes</v>
      </c>
      <c r="N1593" t="str">
        <f t="shared" si="123"/>
        <v>No</v>
      </c>
    </row>
    <row r="1594" spans="1:14" x14ac:dyDescent="0.3">
      <c r="A1594" s="2" t="s">
        <v>3205</v>
      </c>
      <c r="B1594" s="2" t="s">
        <v>3206</v>
      </c>
      <c r="C1594" s="2" t="s">
        <v>59</v>
      </c>
      <c r="D1594" s="3">
        <v>45900</v>
      </c>
      <c r="E1594" s="3">
        <v>45907</v>
      </c>
      <c r="F1594" s="3">
        <v>45905</v>
      </c>
      <c r="G1594" s="2" t="s">
        <v>40</v>
      </c>
      <c r="H1594" s="2">
        <v>46</v>
      </c>
      <c r="I1594" s="2">
        <v>46</v>
      </c>
      <c r="J1594">
        <f t="shared" si="120"/>
        <v>5</v>
      </c>
      <c r="K1594">
        <f t="shared" si="121"/>
        <v>-2</v>
      </c>
      <c r="L1594" t="str">
        <f t="shared" si="122"/>
        <v>Yes</v>
      </c>
      <c r="M1594" t="str">
        <f t="shared" si="124"/>
        <v>Yes</v>
      </c>
      <c r="N1594" t="str">
        <f t="shared" si="123"/>
        <v>Yes</v>
      </c>
    </row>
    <row r="1595" spans="1:14" x14ac:dyDescent="0.3">
      <c r="A1595" s="4" t="s">
        <v>3207</v>
      </c>
      <c r="B1595" s="4" t="s">
        <v>3208</v>
      </c>
      <c r="C1595" s="4" t="s">
        <v>14</v>
      </c>
      <c r="D1595" s="5">
        <v>45900</v>
      </c>
      <c r="E1595" s="5">
        <v>45910</v>
      </c>
      <c r="F1595" s="5">
        <v>45914</v>
      </c>
      <c r="G1595" s="4" t="s">
        <v>18</v>
      </c>
      <c r="H1595" s="4">
        <v>28</v>
      </c>
      <c r="I1595" s="2">
        <v>28</v>
      </c>
      <c r="J1595">
        <f t="shared" si="120"/>
        <v>14</v>
      </c>
      <c r="K1595">
        <f t="shared" si="121"/>
        <v>4</v>
      </c>
      <c r="L1595" t="str">
        <f t="shared" si="122"/>
        <v>No</v>
      </c>
      <c r="M1595" t="str">
        <f t="shared" si="124"/>
        <v>Yes</v>
      </c>
      <c r="N1595" t="str">
        <f t="shared" si="123"/>
        <v>No</v>
      </c>
    </row>
    <row r="1596" spans="1:14" x14ac:dyDescent="0.3">
      <c r="A1596" s="2" t="s">
        <v>3209</v>
      </c>
      <c r="B1596" s="2" t="s">
        <v>3210</v>
      </c>
      <c r="C1596" s="2" t="s">
        <v>21</v>
      </c>
      <c r="D1596" s="3">
        <v>45900</v>
      </c>
      <c r="E1596" s="3">
        <v>45908</v>
      </c>
      <c r="F1596" s="3">
        <v>45906</v>
      </c>
      <c r="G1596" s="2" t="s">
        <v>15</v>
      </c>
      <c r="H1596" s="2">
        <v>24</v>
      </c>
      <c r="I1596" s="2">
        <v>24</v>
      </c>
      <c r="J1596">
        <f t="shared" si="120"/>
        <v>6</v>
      </c>
      <c r="K1596">
        <f t="shared" si="121"/>
        <v>-2</v>
      </c>
      <c r="L1596" t="str">
        <f t="shared" si="122"/>
        <v>Yes</v>
      </c>
      <c r="M1596" t="str">
        <f t="shared" si="124"/>
        <v>Yes</v>
      </c>
      <c r="N1596" t="str">
        <f t="shared" si="123"/>
        <v>Yes</v>
      </c>
    </row>
    <row r="1597" spans="1:14" x14ac:dyDescent="0.3">
      <c r="A1597" s="4" t="s">
        <v>3211</v>
      </c>
      <c r="B1597" s="4" t="s">
        <v>3212</v>
      </c>
      <c r="C1597" s="4" t="s">
        <v>27</v>
      </c>
      <c r="D1597" s="5">
        <v>45901</v>
      </c>
      <c r="E1597" s="5">
        <v>45903</v>
      </c>
      <c r="F1597" s="5">
        <v>45914</v>
      </c>
      <c r="G1597" s="4" t="s">
        <v>11</v>
      </c>
      <c r="H1597" s="4">
        <v>7</v>
      </c>
      <c r="I1597" s="2">
        <v>7</v>
      </c>
      <c r="J1597">
        <f t="shared" si="120"/>
        <v>13</v>
      </c>
      <c r="K1597">
        <f t="shared" si="121"/>
        <v>11</v>
      </c>
      <c r="L1597" t="str">
        <f t="shared" si="122"/>
        <v>No</v>
      </c>
      <c r="M1597" t="str">
        <f t="shared" si="124"/>
        <v>Yes</v>
      </c>
      <c r="N1597" t="str">
        <f t="shared" si="123"/>
        <v>No</v>
      </c>
    </row>
    <row r="1598" spans="1:14" x14ac:dyDescent="0.3">
      <c r="A1598" s="2" t="s">
        <v>3213</v>
      </c>
      <c r="B1598" s="2" t="s">
        <v>3214</v>
      </c>
      <c r="C1598" s="2" t="s">
        <v>34</v>
      </c>
      <c r="D1598" s="3">
        <v>45903</v>
      </c>
      <c r="E1598" s="3">
        <v>45909</v>
      </c>
      <c r="F1598" s="3">
        <v>45911</v>
      </c>
      <c r="G1598" s="2" t="s">
        <v>22</v>
      </c>
      <c r="H1598" s="2">
        <v>17</v>
      </c>
      <c r="I1598" s="2">
        <v>17</v>
      </c>
      <c r="J1598">
        <f t="shared" si="120"/>
        <v>8</v>
      </c>
      <c r="K1598">
        <f t="shared" si="121"/>
        <v>2</v>
      </c>
      <c r="L1598" t="str">
        <f t="shared" si="122"/>
        <v>No</v>
      </c>
      <c r="M1598" t="str">
        <f t="shared" si="124"/>
        <v>Yes</v>
      </c>
      <c r="N1598" t="str">
        <f t="shared" si="123"/>
        <v>No</v>
      </c>
    </row>
    <row r="1599" spans="1:14" x14ac:dyDescent="0.3">
      <c r="A1599" s="4" t="s">
        <v>3215</v>
      </c>
      <c r="B1599" s="4" t="s">
        <v>3216</v>
      </c>
      <c r="C1599" s="4" t="s">
        <v>72</v>
      </c>
      <c r="D1599" s="5">
        <v>45902</v>
      </c>
      <c r="E1599" s="5">
        <v>45905</v>
      </c>
      <c r="F1599" s="5">
        <v>45918</v>
      </c>
      <c r="G1599" s="4" t="s">
        <v>18</v>
      </c>
      <c r="H1599" s="4">
        <v>13</v>
      </c>
      <c r="I1599" s="2">
        <v>13</v>
      </c>
      <c r="J1599">
        <f t="shared" si="120"/>
        <v>16</v>
      </c>
      <c r="K1599">
        <f t="shared" si="121"/>
        <v>13</v>
      </c>
      <c r="L1599" t="str">
        <f t="shared" si="122"/>
        <v>No</v>
      </c>
      <c r="M1599" t="str">
        <f t="shared" si="124"/>
        <v>Yes</v>
      </c>
      <c r="N1599" t="str">
        <f t="shared" si="123"/>
        <v>No</v>
      </c>
    </row>
    <row r="1600" spans="1:14" x14ac:dyDescent="0.3">
      <c r="A1600" s="2" t="s">
        <v>3217</v>
      </c>
      <c r="B1600" s="2" t="s">
        <v>3218</v>
      </c>
      <c r="C1600" s="2" t="s">
        <v>14</v>
      </c>
      <c r="D1600" s="3">
        <v>45903</v>
      </c>
      <c r="E1600" s="3">
        <v>45908</v>
      </c>
      <c r="F1600" s="3">
        <v>45918</v>
      </c>
      <c r="G1600" s="2" t="s">
        <v>40</v>
      </c>
      <c r="H1600" s="2">
        <v>21</v>
      </c>
      <c r="I1600" s="2">
        <v>21</v>
      </c>
      <c r="J1600">
        <f t="shared" si="120"/>
        <v>15</v>
      </c>
      <c r="K1600">
        <f t="shared" si="121"/>
        <v>10</v>
      </c>
      <c r="L1600" t="str">
        <f t="shared" si="122"/>
        <v>No</v>
      </c>
      <c r="M1600" t="str">
        <f t="shared" si="124"/>
        <v>Yes</v>
      </c>
      <c r="N1600" t="str">
        <f t="shared" si="123"/>
        <v>No</v>
      </c>
    </row>
    <row r="1601" spans="1:14" x14ac:dyDescent="0.3">
      <c r="A1601" s="4" t="s">
        <v>3219</v>
      </c>
      <c r="B1601" s="4" t="s">
        <v>3220</v>
      </c>
      <c r="C1601" s="4" t="s">
        <v>27</v>
      </c>
      <c r="D1601" s="5">
        <v>45901</v>
      </c>
      <c r="E1601" s="5">
        <v>45911</v>
      </c>
      <c r="F1601" s="5">
        <v>45915</v>
      </c>
      <c r="G1601" s="4" t="s">
        <v>18</v>
      </c>
      <c r="H1601" s="4">
        <v>27</v>
      </c>
      <c r="I1601" s="2">
        <v>29</v>
      </c>
      <c r="J1601">
        <f t="shared" si="120"/>
        <v>14</v>
      </c>
      <c r="K1601">
        <f t="shared" si="121"/>
        <v>4</v>
      </c>
      <c r="L1601" t="str">
        <f t="shared" si="122"/>
        <v>No</v>
      </c>
      <c r="M1601" t="str">
        <f t="shared" si="124"/>
        <v>No</v>
      </c>
      <c r="N1601" t="str">
        <f t="shared" si="123"/>
        <v>No</v>
      </c>
    </row>
    <row r="1602" spans="1:14" x14ac:dyDescent="0.3">
      <c r="A1602" s="2" t="s">
        <v>3221</v>
      </c>
      <c r="B1602" s="2" t="s">
        <v>3222</v>
      </c>
      <c r="C1602" s="2" t="s">
        <v>34</v>
      </c>
      <c r="D1602" s="3">
        <v>45903</v>
      </c>
      <c r="E1602" s="3">
        <v>45912</v>
      </c>
      <c r="F1602" s="3">
        <v>45912</v>
      </c>
      <c r="G1602" s="2" t="s">
        <v>40</v>
      </c>
      <c r="H1602" s="2">
        <v>26</v>
      </c>
      <c r="I1602" s="2">
        <v>26</v>
      </c>
      <c r="J1602">
        <f t="shared" si="120"/>
        <v>9</v>
      </c>
      <c r="K1602">
        <f t="shared" si="121"/>
        <v>0</v>
      </c>
      <c r="L1602" t="str">
        <f t="shared" si="122"/>
        <v>Yes</v>
      </c>
      <c r="M1602" t="str">
        <f t="shared" si="124"/>
        <v>Yes</v>
      </c>
      <c r="N1602" t="str">
        <f t="shared" si="123"/>
        <v>Yes</v>
      </c>
    </row>
    <row r="1603" spans="1:14" x14ac:dyDescent="0.3">
      <c r="A1603" s="4" t="s">
        <v>3223</v>
      </c>
      <c r="B1603" s="4" t="s">
        <v>3224</v>
      </c>
      <c r="C1603" s="4" t="s">
        <v>72</v>
      </c>
      <c r="D1603" s="5">
        <v>45903</v>
      </c>
      <c r="E1603" s="5">
        <v>45911</v>
      </c>
      <c r="F1603" s="5">
        <v>45921</v>
      </c>
      <c r="G1603" s="4" t="s">
        <v>15</v>
      </c>
      <c r="H1603" s="4">
        <v>19</v>
      </c>
      <c r="I1603" s="2">
        <v>19</v>
      </c>
      <c r="J1603">
        <f t="shared" ref="J1603:J1666" si="125">F1603-D1603</f>
        <v>18</v>
      </c>
      <c r="K1603">
        <f t="shared" ref="K1603:K1666" si="126">F1603-E1603</f>
        <v>10</v>
      </c>
      <c r="L1603" t="str">
        <f t="shared" ref="L1603:L1666" si="127">IF(K1603&lt;=0,"Yes","No")</f>
        <v>No</v>
      </c>
      <c r="M1603" t="str">
        <f t="shared" si="124"/>
        <v>Yes</v>
      </c>
      <c r="N1603" t="str">
        <f t="shared" ref="N1603:N1666" si="128">IF(AND(L1603="Yes",M1603="Yes"),"Yes","No")</f>
        <v>No</v>
      </c>
    </row>
    <row r="1604" spans="1:14" x14ac:dyDescent="0.3">
      <c r="A1604" s="2" t="s">
        <v>3225</v>
      </c>
      <c r="B1604" s="2" t="s">
        <v>3226</v>
      </c>
      <c r="C1604" s="2" t="s">
        <v>10</v>
      </c>
      <c r="D1604" s="3">
        <v>45902</v>
      </c>
      <c r="E1604" s="3">
        <v>45911</v>
      </c>
      <c r="F1604" s="3">
        <v>45908</v>
      </c>
      <c r="G1604" s="2" t="s">
        <v>11</v>
      </c>
      <c r="H1604" s="2">
        <v>39</v>
      </c>
      <c r="I1604" s="2">
        <v>39</v>
      </c>
      <c r="J1604">
        <f t="shared" si="125"/>
        <v>6</v>
      </c>
      <c r="K1604">
        <f t="shared" si="126"/>
        <v>-3</v>
      </c>
      <c r="L1604" t="str">
        <f t="shared" si="127"/>
        <v>Yes</v>
      </c>
      <c r="M1604" t="str">
        <f t="shared" ref="M1604:M1667" si="129">IF(H1604=I1604,"Yes","No")</f>
        <v>Yes</v>
      </c>
      <c r="N1604" t="str">
        <f t="shared" si="128"/>
        <v>Yes</v>
      </c>
    </row>
    <row r="1605" spans="1:14" x14ac:dyDescent="0.3">
      <c r="A1605" s="4" t="s">
        <v>3227</v>
      </c>
      <c r="B1605" s="4" t="s">
        <v>3228</v>
      </c>
      <c r="C1605" s="4" t="s">
        <v>59</v>
      </c>
      <c r="D1605" s="5">
        <v>45902</v>
      </c>
      <c r="E1605" s="5">
        <v>45911</v>
      </c>
      <c r="F1605" s="5">
        <v>45906</v>
      </c>
      <c r="G1605" s="4" t="s">
        <v>22</v>
      </c>
      <c r="H1605" s="4">
        <v>15</v>
      </c>
      <c r="I1605" s="2">
        <v>15</v>
      </c>
      <c r="J1605">
        <f t="shared" si="125"/>
        <v>4</v>
      </c>
      <c r="K1605">
        <f t="shared" si="126"/>
        <v>-5</v>
      </c>
      <c r="L1605" t="str">
        <f t="shared" si="127"/>
        <v>Yes</v>
      </c>
      <c r="M1605" t="str">
        <f t="shared" si="129"/>
        <v>Yes</v>
      </c>
      <c r="N1605" t="str">
        <f t="shared" si="128"/>
        <v>Yes</v>
      </c>
    </row>
    <row r="1606" spans="1:14" x14ac:dyDescent="0.3">
      <c r="A1606" s="2" t="s">
        <v>3229</v>
      </c>
      <c r="B1606" s="2" t="s">
        <v>3230</v>
      </c>
      <c r="C1606" s="2" t="s">
        <v>21</v>
      </c>
      <c r="D1606" s="3">
        <v>45904</v>
      </c>
      <c r="E1606" s="3">
        <v>45909</v>
      </c>
      <c r="F1606" s="3">
        <v>45910</v>
      </c>
      <c r="G1606" s="2" t="s">
        <v>40</v>
      </c>
      <c r="H1606" s="2">
        <v>37</v>
      </c>
      <c r="I1606" s="2">
        <v>37</v>
      </c>
      <c r="J1606">
        <f t="shared" si="125"/>
        <v>6</v>
      </c>
      <c r="K1606">
        <f t="shared" si="126"/>
        <v>1</v>
      </c>
      <c r="L1606" t="str">
        <f t="shared" si="127"/>
        <v>No</v>
      </c>
      <c r="M1606" t="str">
        <f t="shared" si="129"/>
        <v>Yes</v>
      </c>
      <c r="N1606" t="str">
        <f t="shared" si="128"/>
        <v>No</v>
      </c>
    </row>
    <row r="1607" spans="1:14" x14ac:dyDescent="0.3">
      <c r="A1607" s="4" t="s">
        <v>3231</v>
      </c>
      <c r="B1607" s="4" t="s">
        <v>3232</v>
      </c>
      <c r="C1607" s="4" t="s">
        <v>27</v>
      </c>
      <c r="D1607" s="5">
        <v>45902</v>
      </c>
      <c r="E1607" s="5">
        <v>45911</v>
      </c>
      <c r="F1607" s="5">
        <v>45919</v>
      </c>
      <c r="G1607" s="4" t="s">
        <v>40</v>
      </c>
      <c r="H1607" s="4">
        <v>5</v>
      </c>
      <c r="I1607" s="2">
        <v>5</v>
      </c>
      <c r="J1607">
        <f t="shared" si="125"/>
        <v>17</v>
      </c>
      <c r="K1607">
        <f t="shared" si="126"/>
        <v>8</v>
      </c>
      <c r="L1607" t="str">
        <f t="shared" si="127"/>
        <v>No</v>
      </c>
      <c r="M1607" t="str">
        <f t="shared" si="129"/>
        <v>Yes</v>
      </c>
      <c r="N1607" t="str">
        <f t="shared" si="128"/>
        <v>No</v>
      </c>
    </row>
    <row r="1608" spans="1:14" x14ac:dyDescent="0.3">
      <c r="A1608" s="2" t="s">
        <v>3233</v>
      </c>
      <c r="B1608" s="2" t="s">
        <v>3234</v>
      </c>
      <c r="C1608" s="2" t="s">
        <v>27</v>
      </c>
      <c r="D1608" s="3">
        <v>45904</v>
      </c>
      <c r="E1608" s="3">
        <v>45906</v>
      </c>
      <c r="F1608" s="3">
        <v>45917</v>
      </c>
      <c r="G1608" s="2" t="s">
        <v>11</v>
      </c>
      <c r="H1608" s="2">
        <v>3</v>
      </c>
      <c r="I1608" s="2">
        <v>4</v>
      </c>
      <c r="J1608">
        <f t="shared" si="125"/>
        <v>13</v>
      </c>
      <c r="K1608">
        <f t="shared" si="126"/>
        <v>11</v>
      </c>
      <c r="L1608" t="str">
        <f t="shared" si="127"/>
        <v>No</v>
      </c>
      <c r="M1608" t="str">
        <f t="shared" si="129"/>
        <v>No</v>
      </c>
      <c r="N1608" t="str">
        <f t="shared" si="128"/>
        <v>No</v>
      </c>
    </row>
    <row r="1609" spans="1:14" x14ac:dyDescent="0.3">
      <c r="A1609" s="4" t="s">
        <v>3235</v>
      </c>
      <c r="B1609" s="4" t="s">
        <v>3236</v>
      </c>
      <c r="C1609" s="4" t="s">
        <v>34</v>
      </c>
      <c r="D1609" s="5">
        <v>45905</v>
      </c>
      <c r="E1609" s="5">
        <v>45907</v>
      </c>
      <c r="F1609" s="5">
        <v>45912</v>
      </c>
      <c r="G1609" s="4" t="s">
        <v>15</v>
      </c>
      <c r="H1609" s="4">
        <v>26</v>
      </c>
      <c r="I1609" s="2">
        <v>26</v>
      </c>
      <c r="J1609">
        <f t="shared" si="125"/>
        <v>7</v>
      </c>
      <c r="K1609">
        <f t="shared" si="126"/>
        <v>5</v>
      </c>
      <c r="L1609" t="str">
        <f t="shared" si="127"/>
        <v>No</v>
      </c>
      <c r="M1609" t="str">
        <f t="shared" si="129"/>
        <v>Yes</v>
      </c>
      <c r="N1609" t="str">
        <f t="shared" si="128"/>
        <v>No</v>
      </c>
    </row>
    <row r="1610" spans="1:14" x14ac:dyDescent="0.3">
      <c r="A1610" s="2" t="s">
        <v>3237</v>
      </c>
      <c r="B1610" s="2" t="s">
        <v>3238</v>
      </c>
      <c r="C1610" s="2" t="s">
        <v>10</v>
      </c>
      <c r="D1610" s="3">
        <v>45903</v>
      </c>
      <c r="E1610" s="3">
        <v>45910</v>
      </c>
      <c r="F1610" s="3">
        <v>45908</v>
      </c>
      <c r="G1610" s="2" t="s">
        <v>22</v>
      </c>
      <c r="H1610" s="2">
        <v>22</v>
      </c>
      <c r="I1610" s="2">
        <v>22</v>
      </c>
      <c r="J1610">
        <f t="shared" si="125"/>
        <v>5</v>
      </c>
      <c r="K1610">
        <f t="shared" si="126"/>
        <v>-2</v>
      </c>
      <c r="L1610" t="str">
        <f t="shared" si="127"/>
        <v>Yes</v>
      </c>
      <c r="M1610" t="str">
        <f t="shared" si="129"/>
        <v>Yes</v>
      </c>
      <c r="N1610" t="str">
        <f t="shared" si="128"/>
        <v>Yes</v>
      </c>
    </row>
    <row r="1611" spans="1:14" x14ac:dyDescent="0.3">
      <c r="A1611" s="4" t="s">
        <v>3239</v>
      </c>
      <c r="B1611" s="4" t="s">
        <v>3240</v>
      </c>
      <c r="C1611" s="4" t="s">
        <v>72</v>
      </c>
      <c r="D1611" s="5">
        <v>45905</v>
      </c>
      <c r="E1611" s="5">
        <v>45910</v>
      </c>
      <c r="F1611" s="5">
        <v>45919</v>
      </c>
      <c r="G1611" s="4" t="s">
        <v>40</v>
      </c>
      <c r="H1611" s="4">
        <v>2</v>
      </c>
      <c r="I1611" s="2">
        <v>8</v>
      </c>
      <c r="J1611">
        <f t="shared" si="125"/>
        <v>14</v>
      </c>
      <c r="K1611">
        <f t="shared" si="126"/>
        <v>9</v>
      </c>
      <c r="L1611" t="str">
        <f t="shared" si="127"/>
        <v>No</v>
      </c>
      <c r="M1611" t="str">
        <f t="shared" si="129"/>
        <v>No</v>
      </c>
      <c r="N1611" t="str">
        <f t="shared" si="128"/>
        <v>No</v>
      </c>
    </row>
    <row r="1612" spans="1:14" x14ac:dyDescent="0.3">
      <c r="A1612" s="2" t="s">
        <v>3241</v>
      </c>
      <c r="B1612" s="2" t="s">
        <v>3242</v>
      </c>
      <c r="C1612" s="2" t="s">
        <v>59</v>
      </c>
      <c r="D1612" s="3">
        <v>45903</v>
      </c>
      <c r="E1612" s="3">
        <v>45907</v>
      </c>
      <c r="F1612" s="3">
        <v>45907</v>
      </c>
      <c r="G1612" s="2" t="s">
        <v>22</v>
      </c>
      <c r="H1612" s="2">
        <v>17</v>
      </c>
      <c r="I1612" s="2">
        <v>17</v>
      </c>
      <c r="J1612">
        <f t="shared" si="125"/>
        <v>4</v>
      </c>
      <c r="K1612">
        <f t="shared" si="126"/>
        <v>0</v>
      </c>
      <c r="L1612" t="str">
        <f t="shared" si="127"/>
        <v>Yes</v>
      </c>
      <c r="M1612" t="str">
        <f t="shared" si="129"/>
        <v>Yes</v>
      </c>
      <c r="N1612" t="str">
        <f t="shared" si="128"/>
        <v>Yes</v>
      </c>
    </row>
    <row r="1613" spans="1:14" x14ac:dyDescent="0.3">
      <c r="A1613" s="4" t="s">
        <v>3243</v>
      </c>
      <c r="B1613" s="4" t="s">
        <v>3244</v>
      </c>
      <c r="C1613" s="4" t="s">
        <v>14</v>
      </c>
      <c r="D1613" s="5">
        <v>45904</v>
      </c>
      <c r="E1613" s="5">
        <v>45912</v>
      </c>
      <c r="F1613" s="5">
        <v>45923</v>
      </c>
      <c r="G1613" s="4" t="s">
        <v>22</v>
      </c>
      <c r="H1613" s="4">
        <v>36</v>
      </c>
      <c r="I1613" s="2">
        <v>43</v>
      </c>
      <c r="J1613">
        <f t="shared" si="125"/>
        <v>19</v>
      </c>
      <c r="K1613">
        <f t="shared" si="126"/>
        <v>11</v>
      </c>
      <c r="L1613" t="str">
        <f t="shared" si="127"/>
        <v>No</v>
      </c>
      <c r="M1613" t="str">
        <f t="shared" si="129"/>
        <v>No</v>
      </c>
      <c r="N1613" t="str">
        <f t="shared" si="128"/>
        <v>No</v>
      </c>
    </row>
    <row r="1614" spans="1:14" x14ac:dyDescent="0.3">
      <c r="A1614" s="2" t="s">
        <v>3245</v>
      </c>
      <c r="B1614" s="2" t="s">
        <v>3246</v>
      </c>
      <c r="C1614" s="2" t="s">
        <v>14</v>
      </c>
      <c r="D1614" s="3">
        <v>45905</v>
      </c>
      <c r="E1614" s="3">
        <v>45908</v>
      </c>
      <c r="F1614" s="3">
        <v>45920</v>
      </c>
      <c r="G1614" s="2" t="s">
        <v>11</v>
      </c>
      <c r="H1614" s="2">
        <v>28</v>
      </c>
      <c r="I1614" s="2">
        <v>28</v>
      </c>
      <c r="J1614">
        <f t="shared" si="125"/>
        <v>15</v>
      </c>
      <c r="K1614">
        <f t="shared" si="126"/>
        <v>12</v>
      </c>
      <c r="L1614" t="str">
        <f t="shared" si="127"/>
        <v>No</v>
      </c>
      <c r="M1614" t="str">
        <f t="shared" si="129"/>
        <v>Yes</v>
      </c>
      <c r="N1614" t="str">
        <f t="shared" si="128"/>
        <v>No</v>
      </c>
    </row>
    <row r="1615" spans="1:14" x14ac:dyDescent="0.3">
      <c r="A1615" s="4" t="s">
        <v>3247</v>
      </c>
      <c r="B1615" s="4" t="s">
        <v>3248</v>
      </c>
      <c r="C1615" s="4" t="s">
        <v>21</v>
      </c>
      <c r="D1615" s="5">
        <v>45903</v>
      </c>
      <c r="E1615" s="5">
        <v>45909</v>
      </c>
      <c r="F1615" s="5">
        <v>45909</v>
      </c>
      <c r="G1615" s="4" t="s">
        <v>40</v>
      </c>
      <c r="H1615" s="4">
        <v>59</v>
      </c>
      <c r="I1615" s="2">
        <v>59</v>
      </c>
      <c r="J1615">
        <f t="shared" si="125"/>
        <v>6</v>
      </c>
      <c r="K1615">
        <f t="shared" si="126"/>
        <v>0</v>
      </c>
      <c r="L1615" t="str">
        <f t="shared" si="127"/>
        <v>Yes</v>
      </c>
      <c r="M1615" t="str">
        <f t="shared" si="129"/>
        <v>Yes</v>
      </c>
      <c r="N1615" t="str">
        <f t="shared" si="128"/>
        <v>Yes</v>
      </c>
    </row>
    <row r="1616" spans="1:14" x14ac:dyDescent="0.3">
      <c r="A1616" s="2" t="s">
        <v>3249</v>
      </c>
      <c r="B1616" s="2" t="s">
        <v>3250</v>
      </c>
      <c r="C1616" s="2" t="s">
        <v>21</v>
      </c>
      <c r="D1616" s="3">
        <v>45905</v>
      </c>
      <c r="E1616" s="3">
        <v>45909</v>
      </c>
      <c r="F1616" s="3">
        <v>45911</v>
      </c>
      <c r="G1616" s="2" t="s">
        <v>18</v>
      </c>
      <c r="H1616" s="2">
        <v>69</v>
      </c>
      <c r="I1616" s="2">
        <v>69</v>
      </c>
      <c r="J1616">
        <f t="shared" si="125"/>
        <v>6</v>
      </c>
      <c r="K1616">
        <f t="shared" si="126"/>
        <v>2</v>
      </c>
      <c r="L1616" t="str">
        <f t="shared" si="127"/>
        <v>No</v>
      </c>
      <c r="M1616" t="str">
        <f t="shared" si="129"/>
        <v>Yes</v>
      </c>
      <c r="N1616" t="str">
        <f t="shared" si="128"/>
        <v>No</v>
      </c>
    </row>
    <row r="1617" spans="1:14" x14ac:dyDescent="0.3">
      <c r="A1617" s="4" t="s">
        <v>3251</v>
      </c>
      <c r="B1617" s="4" t="s">
        <v>3252</v>
      </c>
      <c r="C1617" s="4" t="s">
        <v>21</v>
      </c>
      <c r="D1617" s="5">
        <v>45903</v>
      </c>
      <c r="E1617" s="5">
        <v>45907</v>
      </c>
      <c r="F1617" s="5">
        <v>45911</v>
      </c>
      <c r="G1617" s="4" t="s">
        <v>11</v>
      </c>
      <c r="H1617" s="4">
        <v>30</v>
      </c>
      <c r="I1617" s="2">
        <v>30</v>
      </c>
      <c r="J1617">
        <f t="shared" si="125"/>
        <v>8</v>
      </c>
      <c r="K1617">
        <f t="shared" si="126"/>
        <v>4</v>
      </c>
      <c r="L1617" t="str">
        <f t="shared" si="127"/>
        <v>No</v>
      </c>
      <c r="M1617" t="str">
        <f t="shared" si="129"/>
        <v>Yes</v>
      </c>
      <c r="N1617" t="str">
        <f t="shared" si="128"/>
        <v>No</v>
      </c>
    </row>
    <row r="1618" spans="1:14" x14ac:dyDescent="0.3">
      <c r="A1618" s="2" t="s">
        <v>3253</v>
      </c>
      <c r="B1618" s="2" t="s">
        <v>3254</v>
      </c>
      <c r="C1618" s="2" t="s">
        <v>27</v>
      </c>
      <c r="D1618" s="3">
        <v>45903</v>
      </c>
      <c r="E1618" s="3">
        <v>45908</v>
      </c>
      <c r="F1618" s="3">
        <v>45915</v>
      </c>
      <c r="G1618" s="2" t="s">
        <v>11</v>
      </c>
      <c r="H1618" s="2">
        <v>2</v>
      </c>
      <c r="I1618" s="2">
        <v>2</v>
      </c>
      <c r="J1618">
        <f t="shared" si="125"/>
        <v>12</v>
      </c>
      <c r="K1618">
        <f t="shared" si="126"/>
        <v>7</v>
      </c>
      <c r="L1618" t="str">
        <f t="shared" si="127"/>
        <v>No</v>
      </c>
      <c r="M1618" t="str">
        <f t="shared" si="129"/>
        <v>Yes</v>
      </c>
      <c r="N1618" t="str">
        <f t="shared" si="128"/>
        <v>No</v>
      </c>
    </row>
    <row r="1619" spans="1:14" x14ac:dyDescent="0.3">
      <c r="A1619" s="4" t="s">
        <v>3255</v>
      </c>
      <c r="B1619" s="4" t="s">
        <v>3256</v>
      </c>
      <c r="C1619" s="4" t="s">
        <v>27</v>
      </c>
      <c r="D1619" s="5">
        <v>45905</v>
      </c>
      <c r="E1619" s="5">
        <v>45912</v>
      </c>
      <c r="F1619" s="5">
        <v>45917</v>
      </c>
      <c r="G1619" s="4" t="s">
        <v>15</v>
      </c>
      <c r="H1619" s="4">
        <v>11</v>
      </c>
      <c r="I1619" s="2">
        <v>11</v>
      </c>
      <c r="J1619">
        <f t="shared" si="125"/>
        <v>12</v>
      </c>
      <c r="K1619">
        <f t="shared" si="126"/>
        <v>5</v>
      </c>
      <c r="L1619" t="str">
        <f t="shared" si="127"/>
        <v>No</v>
      </c>
      <c r="M1619" t="str">
        <f t="shared" si="129"/>
        <v>Yes</v>
      </c>
      <c r="N1619" t="str">
        <f t="shared" si="128"/>
        <v>No</v>
      </c>
    </row>
    <row r="1620" spans="1:14" x14ac:dyDescent="0.3">
      <c r="A1620" s="2" t="s">
        <v>3257</v>
      </c>
      <c r="B1620" s="2" t="s">
        <v>3258</v>
      </c>
      <c r="C1620" s="2" t="s">
        <v>37</v>
      </c>
      <c r="D1620" s="3">
        <v>45906</v>
      </c>
      <c r="E1620" s="3">
        <v>45914</v>
      </c>
      <c r="F1620" s="3">
        <v>45921</v>
      </c>
      <c r="G1620" s="2" t="s">
        <v>15</v>
      </c>
      <c r="H1620" s="2">
        <v>39</v>
      </c>
      <c r="I1620" s="2">
        <v>46</v>
      </c>
      <c r="J1620">
        <f t="shared" si="125"/>
        <v>15</v>
      </c>
      <c r="K1620">
        <f t="shared" si="126"/>
        <v>7</v>
      </c>
      <c r="L1620" t="str">
        <f t="shared" si="127"/>
        <v>No</v>
      </c>
      <c r="M1620" t="str">
        <f t="shared" si="129"/>
        <v>No</v>
      </c>
      <c r="N1620" t="str">
        <f t="shared" si="128"/>
        <v>No</v>
      </c>
    </row>
    <row r="1621" spans="1:14" x14ac:dyDescent="0.3">
      <c r="A1621" s="4" t="s">
        <v>3259</v>
      </c>
      <c r="B1621" s="4" t="s">
        <v>3260</v>
      </c>
      <c r="C1621" s="4" t="s">
        <v>34</v>
      </c>
      <c r="D1621" s="5">
        <v>45906</v>
      </c>
      <c r="E1621" s="5">
        <v>45913</v>
      </c>
      <c r="F1621" s="5">
        <v>45913</v>
      </c>
      <c r="G1621" s="4" t="s">
        <v>15</v>
      </c>
      <c r="H1621" s="4">
        <v>21</v>
      </c>
      <c r="I1621" s="2">
        <v>21</v>
      </c>
      <c r="J1621">
        <f t="shared" si="125"/>
        <v>7</v>
      </c>
      <c r="K1621">
        <f t="shared" si="126"/>
        <v>0</v>
      </c>
      <c r="L1621" t="str">
        <f t="shared" si="127"/>
        <v>Yes</v>
      </c>
      <c r="M1621" t="str">
        <f t="shared" si="129"/>
        <v>Yes</v>
      </c>
      <c r="N1621" t="str">
        <f t="shared" si="128"/>
        <v>Yes</v>
      </c>
    </row>
    <row r="1622" spans="1:14" x14ac:dyDescent="0.3">
      <c r="A1622" s="2" t="s">
        <v>3261</v>
      </c>
      <c r="B1622" s="2" t="s">
        <v>3262</v>
      </c>
      <c r="C1622" s="2" t="s">
        <v>14</v>
      </c>
      <c r="D1622" s="3">
        <v>45905</v>
      </c>
      <c r="E1622" s="3">
        <v>45913</v>
      </c>
      <c r="F1622" s="3">
        <v>45919</v>
      </c>
      <c r="G1622" s="2" t="s">
        <v>40</v>
      </c>
      <c r="H1622" s="2">
        <v>10</v>
      </c>
      <c r="I1622" s="2">
        <v>10</v>
      </c>
      <c r="J1622">
        <f t="shared" si="125"/>
        <v>14</v>
      </c>
      <c r="K1622">
        <f t="shared" si="126"/>
        <v>6</v>
      </c>
      <c r="L1622" t="str">
        <f t="shared" si="127"/>
        <v>No</v>
      </c>
      <c r="M1622" t="str">
        <f t="shared" si="129"/>
        <v>Yes</v>
      </c>
      <c r="N1622" t="str">
        <f t="shared" si="128"/>
        <v>No</v>
      </c>
    </row>
    <row r="1623" spans="1:14" x14ac:dyDescent="0.3">
      <c r="A1623" s="4" t="s">
        <v>3263</v>
      </c>
      <c r="B1623" s="4" t="s">
        <v>3264</v>
      </c>
      <c r="C1623" s="4" t="s">
        <v>14</v>
      </c>
      <c r="D1623" s="5">
        <v>45906</v>
      </c>
      <c r="E1623" s="5">
        <v>45913</v>
      </c>
      <c r="F1623" s="5">
        <v>45922</v>
      </c>
      <c r="G1623" s="4" t="s">
        <v>18</v>
      </c>
      <c r="H1623" s="4">
        <v>25</v>
      </c>
      <c r="I1623" s="2">
        <v>25</v>
      </c>
      <c r="J1623">
        <f t="shared" si="125"/>
        <v>16</v>
      </c>
      <c r="K1623">
        <f t="shared" si="126"/>
        <v>9</v>
      </c>
      <c r="L1623" t="str">
        <f t="shared" si="127"/>
        <v>No</v>
      </c>
      <c r="M1623" t="str">
        <f t="shared" si="129"/>
        <v>Yes</v>
      </c>
      <c r="N1623" t="str">
        <f t="shared" si="128"/>
        <v>No</v>
      </c>
    </row>
    <row r="1624" spans="1:14" x14ac:dyDescent="0.3">
      <c r="A1624" s="2" t="s">
        <v>3265</v>
      </c>
      <c r="B1624" s="2" t="s">
        <v>3266</v>
      </c>
      <c r="C1624" s="2" t="s">
        <v>21</v>
      </c>
      <c r="D1624" s="3">
        <v>45905</v>
      </c>
      <c r="E1624" s="3">
        <v>45909</v>
      </c>
      <c r="F1624" s="3">
        <v>45912</v>
      </c>
      <c r="G1624" s="2" t="s">
        <v>11</v>
      </c>
      <c r="H1624" s="2">
        <v>39</v>
      </c>
      <c r="I1624" s="2">
        <v>39</v>
      </c>
      <c r="J1624">
        <f t="shared" si="125"/>
        <v>7</v>
      </c>
      <c r="K1624">
        <f t="shared" si="126"/>
        <v>3</v>
      </c>
      <c r="L1624" t="str">
        <f t="shared" si="127"/>
        <v>No</v>
      </c>
      <c r="M1624" t="str">
        <f t="shared" si="129"/>
        <v>Yes</v>
      </c>
      <c r="N1624" t="str">
        <f t="shared" si="128"/>
        <v>No</v>
      </c>
    </row>
    <row r="1625" spans="1:14" x14ac:dyDescent="0.3">
      <c r="A1625" s="4" t="s">
        <v>3267</v>
      </c>
      <c r="B1625" s="4" t="s">
        <v>3268</v>
      </c>
      <c r="C1625" s="4" t="s">
        <v>21</v>
      </c>
      <c r="D1625" s="5">
        <v>45904</v>
      </c>
      <c r="E1625" s="5">
        <v>45913</v>
      </c>
      <c r="F1625" s="5">
        <v>45914</v>
      </c>
      <c r="G1625" s="4" t="s">
        <v>40</v>
      </c>
      <c r="H1625" s="4">
        <v>37</v>
      </c>
      <c r="I1625" s="2">
        <v>37</v>
      </c>
      <c r="J1625">
        <f t="shared" si="125"/>
        <v>10</v>
      </c>
      <c r="K1625">
        <f t="shared" si="126"/>
        <v>1</v>
      </c>
      <c r="L1625" t="str">
        <f t="shared" si="127"/>
        <v>No</v>
      </c>
      <c r="M1625" t="str">
        <f t="shared" si="129"/>
        <v>Yes</v>
      </c>
      <c r="N1625" t="str">
        <f t="shared" si="128"/>
        <v>No</v>
      </c>
    </row>
    <row r="1626" spans="1:14" x14ac:dyDescent="0.3">
      <c r="A1626" s="2" t="s">
        <v>3269</v>
      </c>
      <c r="B1626" s="2" t="s">
        <v>3270</v>
      </c>
      <c r="C1626" s="2" t="s">
        <v>34</v>
      </c>
      <c r="D1626" s="3">
        <v>45906</v>
      </c>
      <c r="E1626" s="3">
        <v>45909</v>
      </c>
      <c r="F1626" s="3">
        <v>45917</v>
      </c>
      <c r="G1626" s="2" t="s">
        <v>18</v>
      </c>
      <c r="H1626" s="2">
        <v>31</v>
      </c>
      <c r="I1626" s="2">
        <v>31</v>
      </c>
      <c r="J1626">
        <f t="shared" si="125"/>
        <v>11</v>
      </c>
      <c r="K1626">
        <f t="shared" si="126"/>
        <v>8</v>
      </c>
      <c r="L1626" t="str">
        <f t="shared" si="127"/>
        <v>No</v>
      </c>
      <c r="M1626" t="str">
        <f t="shared" si="129"/>
        <v>Yes</v>
      </c>
      <c r="N1626" t="str">
        <f t="shared" si="128"/>
        <v>No</v>
      </c>
    </row>
    <row r="1627" spans="1:14" x14ac:dyDescent="0.3">
      <c r="A1627" s="4" t="s">
        <v>3271</v>
      </c>
      <c r="B1627" s="4" t="s">
        <v>3272</v>
      </c>
      <c r="C1627" s="4" t="s">
        <v>14</v>
      </c>
      <c r="D1627" s="5">
        <v>45905</v>
      </c>
      <c r="E1627" s="5">
        <v>45908</v>
      </c>
      <c r="F1627" s="5">
        <v>45924</v>
      </c>
      <c r="G1627" s="4" t="s">
        <v>18</v>
      </c>
      <c r="H1627" s="4">
        <v>78</v>
      </c>
      <c r="I1627" s="2">
        <v>80</v>
      </c>
      <c r="J1627">
        <f t="shared" si="125"/>
        <v>19</v>
      </c>
      <c r="K1627">
        <f t="shared" si="126"/>
        <v>16</v>
      </c>
      <c r="L1627" t="str">
        <f t="shared" si="127"/>
        <v>No</v>
      </c>
      <c r="M1627" t="str">
        <f t="shared" si="129"/>
        <v>No</v>
      </c>
      <c r="N1627" t="str">
        <f t="shared" si="128"/>
        <v>No</v>
      </c>
    </row>
    <row r="1628" spans="1:14" x14ac:dyDescent="0.3">
      <c r="A1628" s="2" t="s">
        <v>3273</v>
      </c>
      <c r="B1628" s="2" t="s">
        <v>3274</v>
      </c>
      <c r="C1628" s="2" t="s">
        <v>21</v>
      </c>
      <c r="D1628" s="3">
        <v>45905</v>
      </c>
      <c r="E1628" s="3">
        <v>45910</v>
      </c>
      <c r="F1628" s="3">
        <v>45910</v>
      </c>
      <c r="G1628" s="2" t="s">
        <v>15</v>
      </c>
      <c r="H1628" s="2">
        <v>36</v>
      </c>
      <c r="I1628" s="2">
        <v>36</v>
      </c>
      <c r="J1628">
        <f t="shared" si="125"/>
        <v>5</v>
      </c>
      <c r="K1628">
        <f t="shared" si="126"/>
        <v>0</v>
      </c>
      <c r="L1628" t="str">
        <f t="shared" si="127"/>
        <v>Yes</v>
      </c>
      <c r="M1628" t="str">
        <f t="shared" si="129"/>
        <v>Yes</v>
      </c>
      <c r="N1628" t="str">
        <f t="shared" si="128"/>
        <v>Yes</v>
      </c>
    </row>
    <row r="1629" spans="1:14" x14ac:dyDescent="0.3">
      <c r="A1629" s="4" t="s">
        <v>3275</v>
      </c>
      <c r="B1629" s="4" t="s">
        <v>3276</v>
      </c>
      <c r="C1629" s="4" t="s">
        <v>34</v>
      </c>
      <c r="D1629" s="5">
        <v>45906</v>
      </c>
      <c r="E1629" s="5">
        <v>45910</v>
      </c>
      <c r="F1629" s="5">
        <v>45913</v>
      </c>
      <c r="G1629" s="4" t="s">
        <v>40</v>
      </c>
      <c r="H1629" s="4">
        <v>12</v>
      </c>
      <c r="I1629" s="2">
        <v>12</v>
      </c>
      <c r="J1629">
        <f t="shared" si="125"/>
        <v>7</v>
      </c>
      <c r="K1629">
        <f t="shared" si="126"/>
        <v>3</v>
      </c>
      <c r="L1629" t="str">
        <f t="shared" si="127"/>
        <v>No</v>
      </c>
      <c r="M1629" t="str">
        <f t="shared" si="129"/>
        <v>Yes</v>
      </c>
      <c r="N1629" t="str">
        <f t="shared" si="128"/>
        <v>No</v>
      </c>
    </row>
    <row r="1630" spans="1:14" x14ac:dyDescent="0.3">
      <c r="A1630" s="2" t="s">
        <v>3277</v>
      </c>
      <c r="B1630" s="2" t="s">
        <v>3278</v>
      </c>
      <c r="C1630" s="2" t="s">
        <v>72</v>
      </c>
      <c r="D1630" s="3">
        <v>45906</v>
      </c>
      <c r="E1630" s="3">
        <v>45916</v>
      </c>
      <c r="F1630" s="3">
        <v>45924</v>
      </c>
      <c r="G1630" s="2" t="s">
        <v>40</v>
      </c>
      <c r="H1630" s="2">
        <v>16</v>
      </c>
      <c r="I1630" s="2">
        <v>16</v>
      </c>
      <c r="J1630">
        <f t="shared" si="125"/>
        <v>18</v>
      </c>
      <c r="K1630">
        <f t="shared" si="126"/>
        <v>8</v>
      </c>
      <c r="L1630" t="str">
        <f t="shared" si="127"/>
        <v>No</v>
      </c>
      <c r="M1630" t="str">
        <f t="shared" si="129"/>
        <v>Yes</v>
      </c>
      <c r="N1630" t="str">
        <f t="shared" si="128"/>
        <v>No</v>
      </c>
    </row>
    <row r="1631" spans="1:14" x14ac:dyDescent="0.3">
      <c r="A1631" s="4" t="s">
        <v>3279</v>
      </c>
      <c r="B1631" s="4" t="s">
        <v>3280</v>
      </c>
      <c r="C1631" s="4" t="s">
        <v>72</v>
      </c>
      <c r="D1631" s="5">
        <v>45907</v>
      </c>
      <c r="E1631" s="5">
        <v>45910</v>
      </c>
      <c r="F1631" s="5">
        <v>45921</v>
      </c>
      <c r="G1631" s="4" t="s">
        <v>11</v>
      </c>
      <c r="H1631" s="4">
        <v>28</v>
      </c>
      <c r="I1631" s="2">
        <v>31</v>
      </c>
      <c r="J1631">
        <f t="shared" si="125"/>
        <v>14</v>
      </c>
      <c r="K1631">
        <f t="shared" si="126"/>
        <v>11</v>
      </c>
      <c r="L1631" t="str">
        <f t="shared" si="127"/>
        <v>No</v>
      </c>
      <c r="M1631" t="str">
        <f t="shared" si="129"/>
        <v>No</v>
      </c>
      <c r="N1631" t="str">
        <f t="shared" si="128"/>
        <v>No</v>
      </c>
    </row>
    <row r="1632" spans="1:14" x14ac:dyDescent="0.3">
      <c r="A1632" s="2" t="s">
        <v>3281</v>
      </c>
      <c r="B1632" s="2" t="s">
        <v>3282</v>
      </c>
      <c r="C1632" s="2" t="s">
        <v>59</v>
      </c>
      <c r="D1632" s="3">
        <v>45906</v>
      </c>
      <c r="E1632" s="3">
        <v>45913</v>
      </c>
      <c r="F1632" s="3">
        <v>45914</v>
      </c>
      <c r="G1632" s="2" t="s">
        <v>15</v>
      </c>
      <c r="H1632" s="2">
        <v>14</v>
      </c>
      <c r="I1632" s="2">
        <v>14</v>
      </c>
      <c r="J1632">
        <f t="shared" si="125"/>
        <v>8</v>
      </c>
      <c r="K1632">
        <f t="shared" si="126"/>
        <v>1</v>
      </c>
      <c r="L1632" t="str">
        <f t="shared" si="127"/>
        <v>No</v>
      </c>
      <c r="M1632" t="str">
        <f t="shared" si="129"/>
        <v>Yes</v>
      </c>
      <c r="N1632" t="str">
        <f t="shared" si="128"/>
        <v>No</v>
      </c>
    </row>
    <row r="1633" spans="1:14" x14ac:dyDescent="0.3">
      <c r="A1633" s="4" t="s">
        <v>3283</v>
      </c>
      <c r="B1633" s="4" t="s">
        <v>3284</v>
      </c>
      <c r="C1633" s="4" t="s">
        <v>21</v>
      </c>
      <c r="D1633" s="5">
        <v>45908</v>
      </c>
      <c r="E1633" s="5">
        <v>45909</v>
      </c>
      <c r="F1633" s="5">
        <v>45918</v>
      </c>
      <c r="G1633" s="4" t="s">
        <v>40</v>
      </c>
      <c r="H1633" s="4">
        <v>64</v>
      </c>
      <c r="I1633" s="2">
        <v>64</v>
      </c>
      <c r="J1633">
        <f t="shared" si="125"/>
        <v>10</v>
      </c>
      <c r="K1633">
        <f t="shared" si="126"/>
        <v>9</v>
      </c>
      <c r="L1633" t="str">
        <f t="shared" si="127"/>
        <v>No</v>
      </c>
      <c r="M1633" t="str">
        <f t="shared" si="129"/>
        <v>Yes</v>
      </c>
      <c r="N1633" t="str">
        <f t="shared" si="128"/>
        <v>No</v>
      </c>
    </row>
    <row r="1634" spans="1:14" x14ac:dyDescent="0.3">
      <c r="A1634" s="2" t="s">
        <v>3285</v>
      </c>
      <c r="B1634" s="2" t="s">
        <v>3286</v>
      </c>
      <c r="C1634" s="2" t="s">
        <v>27</v>
      </c>
      <c r="D1634" s="3">
        <v>45906</v>
      </c>
      <c r="E1634" s="3">
        <v>45916</v>
      </c>
      <c r="F1634" s="3">
        <v>45919</v>
      </c>
      <c r="G1634" s="2" t="s">
        <v>40</v>
      </c>
      <c r="H1634" s="2">
        <v>25</v>
      </c>
      <c r="I1634" s="2">
        <v>25</v>
      </c>
      <c r="J1634">
        <f t="shared" si="125"/>
        <v>13</v>
      </c>
      <c r="K1634">
        <f t="shared" si="126"/>
        <v>3</v>
      </c>
      <c r="L1634" t="str">
        <f t="shared" si="127"/>
        <v>No</v>
      </c>
      <c r="M1634" t="str">
        <f t="shared" si="129"/>
        <v>Yes</v>
      </c>
      <c r="N1634" t="str">
        <f t="shared" si="128"/>
        <v>No</v>
      </c>
    </row>
    <row r="1635" spans="1:14" x14ac:dyDescent="0.3">
      <c r="A1635" s="4" t="s">
        <v>3287</v>
      </c>
      <c r="B1635" s="4" t="s">
        <v>3288</v>
      </c>
      <c r="C1635" s="4" t="s">
        <v>27</v>
      </c>
      <c r="D1635" s="5">
        <v>45906</v>
      </c>
      <c r="E1635" s="5">
        <v>45910</v>
      </c>
      <c r="F1635" s="5">
        <v>45921</v>
      </c>
      <c r="G1635" s="4" t="s">
        <v>11</v>
      </c>
      <c r="H1635" s="4">
        <v>3</v>
      </c>
      <c r="I1635" s="2">
        <v>3</v>
      </c>
      <c r="J1635">
        <f t="shared" si="125"/>
        <v>15</v>
      </c>
      <c r="K1635">
        <f t="shared" si="126"/>
        <v>11</v>
      </c>
      <c r="L1635" t="str">
        <f t="shared" si="127"/>
        <v>No</v>
      </c>
      <c r="M1635" t="str">
        <f t="shared" si="129"/>
        <v>Yes</v>
      </c>
      <c r="N1635" t="str">
        <f t="shared" si="128"/>
        <v>No</v>
      </c>
    </row>
    <row r="1636" spans="1:14" x14ac:dyDescent="0.3">
      <c r="A1636" s="2" t="s">
        <v>3289</v>
      </c>
      <c r="B1636" s="2" t="s">
        <v>3290</v>
      </c>
      <c r="C1636" s="2" t="s">
        <v>27</v>
      </c>
      <c r="D1636" s="3">
        <v>45906</v>
      </c>
      <c r="E1636" s="3">
        <v>45910</v>
      </c>
      <c r="F1636" s="3">
        <v>45919</v>
      </c>
      <c r="G1636" s="2" t="s">
        <v>40</v>
      </c>
      <c r="H1636" s="2">
        <v>8</v>
      </c>
      <c r="I1636" s="2">
        <v>8</v>
      </c>
      <c r="J1636">
        <f t="shared" si="125"/>
        <v>13</v>
      </c>
      <c r="K1636">
        <f t="shared" si="126"/>
        <v>9</v>
      </c>
      <c r="L1636" t="str">
        <f t="shared" si="127"/>
        <v>No</v>
      </c>
      <c r="M1636" t="str">
        <f t="shared" si="129"/>
        <v>Yes</v>
      </c>
      <c r="N1636" t="str">
        <f t="shared" si="128"/>
        <v>No</v>
      </c>
    </row>
    <row r="1637" spans="1:14" x14ac:dyDescent="0.3">
      <c r="A1637" s="4" t="s">
        <v>3291</v>
      </c>
      <c r="B1637" s="4" t="s">
        <v>3292</v>
      </c>
      <c r="C1637" s="4" t="s">
        <v>37</v>
      </c>
      <c r="D1637" s="5">
        <v>45909</v>
      </c>
      <c r="E1637" s="5">
        <v>45914</v>
      </c>
      <c r="F1637" s="5">
        <v>45921</v>
      </c>
      <c r="G1637" s="4" t="s">
        <v>22</v>
      </c>
      <c r="H1637" s="4">
        <v>23</v>
      </c>
      <c r="I1637" s="2">
        <v>23</v>
      </c>
      <c r="J1637">
        <f t="shared" si="125"/>
        <v>12</v>
      </c>
      <c r="K1637">
        <f t="shared" si="126"/>
        <v>7</v>
      </c>
      <c r="L1637" t="str">
        <f t="shared" si="127"/>
        <v>No</v>
      </c>
      <c r="M1637" t="str">
        <f t="shared" si="129"/>
        <v>Yes</v>
      </c>
      <c r="N1637" t="str">
        <f t="shared" si="128"/>
        <v>No</v>
      </c>
    </row>
    <row r="1638" spans="1:14" x14ac:dyDescent="0.3">
      <c r="A1638" s="2" t="s">
        <v>3293</v>
      </c>
      <c r="B1638" s="2" t="s">
        <v>3294</v>
      </c>
      <c r="C1638" s="2" t="s">
        <v>10</v>
      </c>
      <c r="D1638" s="3">
        <v>45908</v>
      </c>
      <c r="E1638" s="3">
        <v>45917</v>
      </c>
      <c r="F1638" s="3">
        <v>45914</v>
      </c>
      <c r="G1638" s="2" t="s">
        <v>40</v>
      </c>
      <c r="H1638" s="2">
        <v>11</v>
      </c>
      <c r="I1638" s="2">
        <v>11</v>
      </c>
      <c r="J1638">
        <f t="shared" si="125"/>
        <v>6</v>
      </c>
      <c r="K1638">
        <f t="shared" si="126"/>
        <v>-3</v>
      </c>
      <c r="L1638" t="str">
        <f t="shared" si="127"/>
        <v>Yes</v>
      </c>
      <c r="M1638" t="str">
        <f t="shared" si="129"/>
        <v>Yes</v>
      </c>
      <c r="N1638" t="str">
        <f t="shared" si="128"/>
        <v>Yes</v>
      </c>
    </row>
    <row r="1639" spans="1:14" x14ac:dyDescent="0.3">
      <c r="A1639" s="4" t="s">
        <v>3295</v>
      </c>
      <c r="B1639" s="4" t="s">
        <v>3296</v>
      </c>
      <c r="C1639" s="4" t="s">
        <v>14</v>
      </c>
      <c r="D1639" s="5">
        <v>45908</v>
      </c>
      <c r="E1639" s="5">
        <v>45912</v>
      </c>
      <c r="F1639" s="5">
        <v>45923</v>
      </c>
      <c r="G1639" s="4" t="s">
        <v>11</v>
      </c>
      <c r="H1639" s="4">
        <v>59</v>
      </c>
      <c r="I1639" s="2">
        <v>59</v>
      </c>
      <c r="J1639">
        <f t="shared" si="125"/>
        <v>15</v>
      </c>
      <c r="K1639">
        <f t="shared" si="126"/>
        <v>11</v>
      </c>
      <c r="L1639" t="str">
        <f t="shared" si="127"/>
        <v>No</v>
      </c>
      <c r="M1639" t="str">
        <f t="shared" si="129"/>
        <v>Yes</v>
      </c>
      <c r="N1639" t="str">
        <f t="shared" si="128"/>
        <v>No</v>
      </c>
    </row>
    <row r="1640" spans="1:14" x14ac:dyDescent="0.3">
      <c r="A1640" s="2" t="s">
        <v>3297</v>
      </c>
      <c r="B1640" s="2" t="s">
        <v>3298</v>
      </c>
      <c r="C1640" s="2" t="s">
        <v>14</v>
      </c>
      <c r="D1640" s="3">
        <v>45909</v>
      </c>
      <c r="E1640" s="3">
        <v>45911</v>
      </c>
      <c r="F1640" s="3">
        <v>45923</v>
      </c>
      <c r="G1640" s="2" t="s">
        <v>18</v>
      </c>
      <c r="H1640" s="2">
        <v>17</v>
      </c>
      <c r="I1640" s="2">
        <v>17</v>
      </c>
      <c r="J1640">
        <f t="shared" si="125"/>
        <v>14</v>
      </c>
      <c r="K1640">
        <f t="shared" si="126"/>
        <v>12</v>
      </c>
      <c r="L1640" t="str">
        <f t="shared" si="127"/>
        <v>No</v>
      </c>
      <c r="M1640" t="str">
        <f t="shared" si="129"/>
        <v>Yes</v>
      </c>
      <c r="N1640" t="str">
        <f t="shared" si="128"/>
        <v>No</v>
      </c>
    </row>
    <row r="1641" spans="1:14" x14ac:dyDescent="0.3">
      <c r="A1641" s="4" t="s">
        <v>3299</v>
      </c>
      <c r="B1641" s="4" t="s">
        <v>3300</v>
      </c>
      <c r="C1641" s="4" t="s">
        <v>21</v>
      </c>
      <c r="D1641" s="5">
        <v>45909</v>
      </c>
      <c r="E1641" s="5">
        <v>45915</v>
      </c>
      <c r="F1641" s="5">
        <v>45914</v>
      </c>
      <c r="G1641" s="4" t="s">
        <v>15</v>
      </c>
      <c r="H1641" s="4">
        <v>25</v>
      </c>
      <c r="I1641" s="2">
        <v>25</v>
      </c>
      <c r="J1641">
        <f t="shared" si="125"/>
        <v>5</v>
      </c>
      <c r="K1641">
        <f t="shared" si="126"/>
        <v>-1</v>
      </c>
      <c r="L1641" t="str">
        <f t="shared" si="127"/>
        <v>Yes</v>
      </c>
      <c r="M1641" t="str">
        <f t="shared" si="129"/>
        <v>Yes</v>
      </c>
      <c r="N1641" t="str">
        <f t="shared" si="128"/>
        <v>Yes</v>
      </c>
    </row>
    <row r="1642" spans="1:14" x14ac:dyDescent="0.3">
      <c r="A1642" s="2" t="s">
        <v>3301</v>
      </c>
      <c r="B1642" s="2" t="s">
        <v>3302</v>
      </c>
      <c r="C1642" s="2" t="s">
        <v>21</v>
      </c>
      <c r="D1642" s="3">
        <v>45908</v>
      </c>
      <c r="E1642" s="3">
        <v>45916</v>
      </c>
      <c r="F1642" s="3">
        <v>45918</v>
      </c>
      <c r="G1642" s="2" t="s">
        <v>11</v>
      </c>
      <c r="H1642" s="2">
        <v>34</v>
      </c>
      <c r="I1642" s="2">
        <v>39</v>
      </c>
      <c r="J1642">
        <f t="shared" si="125"/>
        <v>10</v>
      </c>
      <c r="K1642">
        <f t="shared" si="126"/>
        <v>2</v>
      </c>
      <c r="L1642" t="str">
        <f t="shared" si="127"/>
        <v>No</v>
      </c>
      <c r="M1642" t="str">
        <f t="shared" si="129"/>
        <v>No</v>
      </c>
      <c r="N1642" t="str">
        <f t="shared" si="128"/>
        <v>No</v>
      </c>
    </row>
    <row r="1643" spans="1:14" x14ac:dyDescent="0.3">
      <c r="A1643" s="4" t="s">
        <v>3303</v>
      </c>
      <c r="B1643" s="4" t="s">
        <v>3304</v>
      </c>
      <c r="C1643" s="4" t="s">
        <v>21</v>
      </c>
      <c r="D1643" s="5">
        <v>45908</v>
      </c>
      <c r="E1643" s="5">
        <v>45917</v>
      </c>
      <c r="F1643" s="5">
        <v>45913</v>
      </c>
      <c r="G1643" s="4" t="s">
        <v>15</v>
      </c>
      <c r="H1643" s="4">
        <v>18</v>
      </c>
      <c r="I1643" s="2">
        <v>18</v>
      </c>
      <c r="J1643">
        <f t="shared" si="125"/>
        <v>5</v>
      </c>
      <c r="K1643">
        <f t="shared" si="126"/>
        <v>-4</v>
      </c>
      <c r="L1643" t="str">
        <f t="shared" si="127"/>
        <v>Yes</v>
      </c>
      <c r="M1643" t="str">
        <f t="shared" si="129"/>
        <v>Yes</v>
      </c>
      <c r="N1643" t="str">
        <f t="shared" si="128"/>
        <v>Yes</v>
      </c>
    </row>
    <row r="1644" spans="1:14" x14ac:dyDescent="0.3">
      <c r="A1644" s="2" t="s">
        <v>3305</v>
      </c>
      <c r="B1644" s="2" t="s">
        <v>3306</v>
      </c>
      <c r="C1644" s="2" t="s">
        <v>34</v>
      </c>
      <c r="D1644" s="3">
        <v>45909</v>
      </c>
      <c r="E1644" s="3">
        <v>45916</v>
      </c>
      <c r="F1644" s="3">
        <v>45917</v>
      </c>
      <c r="G1644" s="2" t="s">
        <v>18</v>
      </c>
      <c r="H1644" s="2">
        <v>10</v>
      </c>
      <c r="I1644" s="2">
        <v>10</v>
      </c>
      <c r="J1644">
        <f t="shared" si="125"/>
        <v>8</v>
      </c>
      <c r="K1644">
        <f t="shared" si="126"/>
        <v>1</v>
      </c>
      <c r="L1644" t="str">
        <f t="shared" si="127"/>
        <v>No</v>
      </c>
      <c r="M1644" t="str">
        <f t="shared" si="129"/>
        <v>Yes</v>
      </c>
      <c r="N1644" t="str">
        <f t="shared" si="128"/>
        <v>No</v>
      </c>
    </row>
    <row r="1645" spans="1:14" x14ac:dyDescent="0.3">
      <c r="A1645" s="4" t="s">
        <v>3307</v>
      </c>
      <c r="B1645" s="4" t="s">
        <v>3308</v>
      </c>
      <c r="C1645" s="4" t="s">
        <v>37</v>
      </c>
      <c r="D1645" s="5">
        <v>45908</v>
      </c>
      <c r="E1645" s="5">
        <v>45911</v>
      </c>
      <c r="F1645" s="5">
        <v>45922</v>
      </c>
      <c r="G1645" s="4" t="s">
        <v>22</v>
      </c>
      <c r="H1645" s="4">
        <v>63</v>
      </c>
      <c r="I1645" s="2">
        <v>63</v>
      </c>
      <c r="J1645">
        <f t="shared" si="125"/>
        <v>14</v>
      </c>
      <c r="K1645">
        <f t="shared" si="126"/>
        <v>11</v>
      </c>
      <c r="L1645" t="str">
        <f t="shared" si="127"/>
        <v>No</v>
      </c>
      <c r="M1645" t="str">
        <f t="shared" si="129"/>
        <v>Yes</v>
      </c>
      <c r="N1645" t="str">
        <f t="shared" si="128"/>
        <v>No</v>
      </c>
    </row>
    <row r="1646" spans="1:14" x14ac:dyDescent="0.3">
      <c r="A1646" s="2" t="s">
        <v>3309</v>
      </c>
      <c r="B1646" s="2" t="s">
        <v>3310</v>
      </c>
      <c r="C1646" s="2" t="s">
        <v>10</v>
      </c>
      <c r="D1646" s="3">
        <v>45908</v>
      </c>
      <c r="E1646" s="3">
        <v>45918</v>
      </c>
      <c r="F1646" s="3">
        <v>45915</v>
      </c>
      <c r="G1646" s="2" t="s">
        <v>11</v>
      </c>
      <c r="H1646" s="2">
        <v>11</v>
      </c>
      <c r="I1646" s="2">
        <v>11</v>
      </c>
      <c r="J1646">
        <f t="shared" si="125"/>
        <v>7</v>
      </c>
      <c r="K1646">
        <f t="shared" si="126"/>
        <v>-3</v>
      </c>
      <c r="L1646" t="str">
        <f t="shared" si="127"/>
        <v>Yes</v>
      </c>
      <c r="M1646" t="str">
        <f t="shared" si="129"/>
        <v>Yes</v>
      </c>
      <c r="N1646" t="str">
        <f t="shared" si="128"/>
        <v>Yes</v>
      </c>
    </row>
    <row r="1647" spans="1:14" x14ac:dyDescent="0.3">
      <c r="A1647" s="4" t="s">
        <v>3311</v>
      </c>
      <c r="B1647" s="4" t="s">
        <v>3312</v>
      </c>
      <c r="C1647" s="4" t="s">
        <v>59</v>
      </c>
      <c r="D1647" s="5">
        <v>45908</v>
      </c>
      <c r="E1647" s="5">
        <v>45913</v>
      </c>
      <c r="F1647" s="5">
        <v>45914</v>
      </c>
      <c r="G1647" s="4" t="s">
        <v>40</v>
      </c>
      <c r="H1647" s="4">
        <v>19</v>
      </c>
      <c r="I1647" s="2">
        <v>26</v>
      </c>
      <c r="J1647">
        <f t="shared" si="125"/>
        <v>6</v>
      </c>
      <c r="K1647">
        <f t="shared" si="126"/>
        <v>1</v>
      </c>
      <c r="L1647" t="str">
        <f t="shared" si="127"/>
        <v>No</v>
      </c>
      <c r="M1647" t="str">
        <f t="shared" si="129"/>
        <v>No</v>
      </c>
      <c r="N1647" t="str">
        <f t="shared" si="128"/>
        <v>No</v>
      </c>
    </row>
    <row r="1648" spans="1:14" x14ac:dyDescent="0.3">
      <c r="A1648" s="2" t="s">
        <v>3313</v>
      </c>
      <c r="B1648" s="2" t="s">
        <v>3314</v>
      </c>
      <c r="C1648" s="2" t="s">
        <v>21</v>
      </c>
      <c r="D1648" s="3">
        <v>45909</v>
      </c>
      <c r="E1648" s="3">
        <v>45912</v>
      </c>
      <c r="F1648" s="3">
        <v>45915</v>
      </c>
      <c r="G1648" s="2" t="s">
        <v>40</v>
      </c>
      <c r="H1648" s="2">
        <v>55</v>
      </c>
      <c r="I1648" s="2">
        <v>55</v>
      </c>
      <c r="J1648">
        <f t="shared" si="125"/>
        <v>6</v>
      </c>
      <c r="K1648">
        <f t="shared" si="126"/>
        <v>3</v>
      </c>
      <c r="L1648" t="str">
        <f t="shared" si="127"/>
        <v>No</v>
      </c>
      <c r="M1648" t="str">
        <f t="shared" si="129"/>
        <v>Yes</v>
      </c>
      <c r="N1648" t="str">
        <f t="shared" si="128"/>
        <v>No</v>
      </c>
    </row>
    <row r="1649" spans="1:14" x14ac:dyDescent="0.3">
      <c r="A1649" s="4" t="s">
        <v>3315</v>
      </c>
      <c r="B1649" s="4" t="s">
        <v>3316</v>
      </c>
      <c r="C1649" s="4" t="s">
        <v>21</v>
      </c>
      <c r="D1649" s="5">
        <v>45908</v>
      </c>
      <c r="E1649" s="5">
        <v>45916</v>
      </c>
      <c r="F1649" s="5">
        <v>45914</v>
      </c>
      <c r="G1649" s="4" t="s">
        <v>18</v>
      </c>
      <c r="H1649" s="4">
        <v>46</v>
      </c>
      <c r="I1649" s="2">
        <v>46</v>
      </c>
      <c r="J1649">
        <f t="shared" si="125"/>
        <v>6</v>
      </c>
      <c r="K1649">
        <f t="shared" si="126"/>
        <v>-2</v>
      </c>
      <c r="L1649" t="str">
        <f t="shared" si="127"/>
        <v>Yes</v>
      </c>
      <c r="M1649" t="str">
        <f t="shared" si="129"/>
        <v>Yes</v>
      </c>
      <c r="N1649" t="str">
        <f t="shared" si="128"/>
        <v>Yes</v>
      </c>
    </row>
    <row r="1650" spans="1:14" x14ac:dyDescent="0.3">
      <c r="A1650" s="2" t="s">
        <v>3317</v>
      </c>
      <c r="B1650" s="2" t="s">
        <v>3318</v>
      </c>
      <c r="C1650" s="2" t="s">
        <v>27</v>
      </c>
      <c r="D1650" s="3">
        <v>45909</v>
      </c>
      <c r="E1650" s="3">
        <v>45914</v>
      </c>
      <c r="F1650" s="3">
        <v>45922</v>
      </c>
      <c r="G1650" s="2" t="s">
        <v>15</v>
      </c>
      <c r="H1650" s="2">
        <v>23</v>
      </c>
      <c r="I1650" s="2">
        <v>23</v>
      </c>
      <c r="J1650">
        <f t="shared" si="125"/>
        <v>13</v>
      </c>
      <c r="K1650">
        <f t="shared" si="126"/>
        <v>8</v>
      </c>
      <c r="L1650" t="str">
        <f t="shared" si="127"/>
        <v>No</v>
      </c>
      <c r="M1650" t="str">
        <f t="shared" si="129"/>
        <v>Yes</v>
      </c>
      <c r="N1650" t="str">
        <f t="shared" si="128"/>
        <v>No</v>
      </c>
    </row>
    <row r="1651" spans="1:14" x14ac:dyDescent="0.3">
      <c r="A1651" s="4" t="s">
        <v>3319</v>
      </c>
      <c r="B1651" s="4" t="s">
        <v>3320</v>
      </c>
      <c r="C1651" s="4" t="s">
        <v>37</v>
      </c>
      <c r="D1651" s="5">
        <v>45910</v>
      </c>
      <c r="E1651" s="5">
        <v>45914</v>
      </c>
      <c r="F1651" s="5">
        <v>45922</v>
      </c>
      <c r="G1651" s="4" t="s">
        <v>11</v>
      </c>
      <c r="H1651" s="4">
        <v>22</v>
      </c>
      <c r="I1651" s="2">
        <v>22</v>
      </c>
      <c r="J1651">
        <f t="shared" si="125"/>
        <v>12</v>
      </c>
      <c r="K1651">
        <f t="shared" si="126"/>
        <v>8</v>
      </c>
      <c r="L1651" t="str">
        <f t="shared" si="127"/>
        <v>No</v>
      </c>
      <c r="M1651" t="str">
        <f t="shared" si="129"/>
        <v>Yes</v>
      </c>
      <c r="N1651" t="str">
        <f t="shared" si="128"/>
        <v>No</v>
      </c>
    </row>
    <row r="1652" spans="1:14" x14ac:dyDescent="0.3">
      <c r="A1652" s="2" t="s">
        <v>3321</v>
      </c>
      <c r="B1652" s="2" t="s">
        <v>3322</v>
      </c>
      <c r="C1652" s="2" t="s">
        <v>37</v>
      </c>
      <c r="D1652" s="3">
        <v>45909</v>
      </c>
      <c r="E1652" s="3">
        <v>45913</v>
      </c>
      <c r="F1652" s="3">
        <v>45922</v>
      </c>
      <c r="G1652" s="2" t="s">
        <v>11</v>
      </c>
      <c r="H1652" s="2">
        <v>32</v>
      </c>
      <c r="I1652" s="2">
        <v>32</v>
      </c>
      <c r="J1652">
        <f t="shared" si="125"/>
        <v>13</v>
      </c>
      <c r="K1652">
        <f t="shared" si="126"/>
        <v>9</v>
      </c>
      <c r="L1652" t="str">
        <f t="shared" si="127"/>
        <v>No</v>
      </c>
      <c r="M1652" t="str">
        <f t="shared" si="129"/>
        <v>Yes</v>
      </c>
      <c r="N1652" t="str">
        <f t="shared" si="128"/>
        <v>No</v>
      </c>
    </row>
    <row r="1653" spans="1:14" x14ac:dyDescent="0.3">
      <c r="A1653" s="4" t="s">
        <v>3323</v>
      </c>
      <c r="B1653" s="4" t="s">
        <v>3324</v>
      </c>
      <c r="C1653" s="4" t="s">
        <v>72</v>
      </c>
      <c r="D1653" s="5">
        <v>45909</v>
      </c>
      <c r="E1653" s="5">
        <v>45918</v>
      </c>
      <c r="F1653" s="5">
        <v>45924</v>
      </c>
      <c r="G1653" s="4" t="s">
        <v>11</v>
      </c>
      <c r="H1653" s="4">
        <v>31</v>
      </c>
      <c r="I1653" s="2">
        <v>31</v>
      </c>
      <c r="J1653">
        <f t="shared" si="125"/>
        <v>15</v>
      </c>
      <c r="K1653">
        <f t="shared" si="126"/>
        <v>6</v>
      </c>
      <c r="L1653" t="str">
        <f t="shared" si="127"/>
        <v>No</v>
      </c>
      <c r="M1653" t="str">
        <f t="shared" si="129"/>
        <v>Yes</v>
      </c>
      <c r="N1653" t="str">
        <f t="shared" si="128"/>
        <v>No</v>
      </c>
    </row>
    <row r="1654" spans="1:14" x14ac:dyDescent="0.3">
      <c r="A1654" s="2" t="s">
        <v>3325</v>
      </c>
      <c r="B1654" s="2" t="s">
        <v>3326</v>
      </c>
      <c r="C1654" s="2" t="s">
        <v>10</v>
      </c>
      <c r="D1654" s="3">
        <v>45911</v>
      </c>
      <c r="E1654" s="3">
        <v>45919</v>
      </c>
      <c r="F1654" s="3">
        <v>45916</v>
      </c>
      <c r="G1654" s="2" t="s">
        <v>15</v>
      </c>
      <c r="H1654" s="2">
        <v>8</v>
      </c>
      <c r="I1654" s="2">
        <v>9</v>
      </c>
      <c r="J1654">
        <f t="shared" si="125"/>
        <v>5</v>
      </c>
      <c r="K1654">
        <f t="shared" si="126"/>
        <v>-3</v>
      </c>
      <c r="L1654" t="str">
        <f t="shared" si="127"/>
        <v>Yes</v>
      </c>
      <c r="M1654" t="str">
        <f t="shared" si="129"/>
        <v>No</v>
      </c>
      <c r="N1654" t="str">
        <f t="shared" si="128"/>
        <v>No</v>
      </c>
    </row>
    <row r="1655" spans="1:14" x14ac:dyDescent="0.3">
      <c r="A1655" s="4" t="s">
        <v>3327</v>
      </c>
      <c r="B1655" s="4" t="s">
        <v>3328</v>
      </c>
      <c r="C1655" s="4" t="s">
        <v>14</v>
      </c>
      <c r="D1655" s="5">
        <v>45911</v>
      </c>
      <c r="E1655" s="5">
        <v>45914</v>
      </c>
      <c r="F1655" s="5">
        <v>45925</v>
      </c>
      <c r="G1655" s="4" t="s">
        <v>11</v>
      </c>
      <c r="H1655" s="4">
        <v>1</v>
      </c>
      <c r="I1655" s="2">
        <v>4</v>
      </c>
      <c r="J1655">
        <f t="shared" si="125"/>
        <v>14</v>
      </c>
      <c r="K1655">
        <f t="shared" si="126"/>
        <v>11</v>
      </c>
      <c r="L1655" t="str">
        <f t="shared" si="127"/>
        <v>No</v>
      </c>
      <c r="M1655" t="str">
        <f t="shared" si="129"/>
        <v>No</v>
      </c>
      <c r="N1655" t="str">
        <f t="shared" si="128"/>
        <v>No</v>
      </c>
    </row>
    <row r="1656" spans="1:14" x14ac:dyDescent="0.3">
      <c r="A1656" s="2" t="s">
        <v>3329</v>
      </c>
      <c r="B1656" s="2" t="s">
        <v>3330</v>
      </c>
      <c r="C1656" s="2" t="s">
        <v>21</v>
      </c>
      <c r="D1656" s="3">
        <v>45911</v>
      </c>
      <c r="E1656" s="3">
        <v>45913</v>
      </c>
      <c r="F1656" s="3">
        <v>45919</v>
      </c>
      <c r="G1656" s="2" t="s">
        <v>15</v>
      </c>
      <c r="H1656" s="2">
        <v>34</v>
      </c>
      <c r="I1656" s="2">
        <v>34</v>
      </c>
      <c r="J1656">
        <f t="shared" si="125"/>
        <v>8</v>
      </c>
      <c r="K1656">
        <f t="shared" si="126"/>
        <v>6</v>
      </c>
      <c r="L1656" t="str">
        <f t="shared" si="127"/>
        <v>No</v>
      </c>
      <c r="M1656" t="str">
        <f t="shared" si="129"/>
        <v>Yes</v>
      </c>
      <c r="N1656" t="str">
        <f t="shared" si="128"/>
        <v>No</v>
      </c>
    </row>
    <row r="1657" spans="1:14" x14ac:dyDescent="0.3">
      <c r="A1657" s="4" t="s">
        <v>3331</v>
      </c>
      <c r="B1657" s="4" t="s">
        <v>3332</v>
      </c>
      <c r="C1657" s="4" t="s">
        <v>21</v>
      </c>
      <c r="D1657" s="5">
        <v>45911</v>
      </c>
      <c r="E1657" s="5">
        <v>45919</v>
      </c>
      <c r="F1657" s="5">
        <v>45917</v>
      </c>
      <c r="G1657" s="4" t="s">
        <v>15</v>
      </c>
      <c r="H1657" s="4">
        <v>42</v>
      </c>
      <c r="I1657" s="2">
        <v>42</v>
      </c>
      <c r="J1657">
        <f t="shared" si="125"/>
        <v>6</v>
      </c>
      <c r="K1657">
        <f t="shared" si="126"/>
        <v>-2</v>
      </c>
      <c r="L1657" t="str">
        <f t="shared" si="127"/>
        <v>Yes</v>
      </c>
      <c r="M1657" t="str">
        <f t="shared" si="129"/>
        <v>Yes</v>
      </c>
      <c r="N1657" t="str">
        <f t="shared" si="128"/>
        <v>Yes</v>
      </c>
    </row>
    <row r="1658" spans="1:14" x14ac:dyDescent="0.3">
      <c r="A1658" s="2" t="s">
        <v>3333</v>
      </c>
      <c r="B1658" s="2" t="s">
        <v>3334</v>
      </c>
      <c r="C1658" s="2" t="s">
        <v>27</v>
      </c>
      <c r="D1658" s="3">
        <v>45910</v>
      </c>
      <c r="E1658" s="3">
        <v>45916</v>
      </c>
      <c r="F1658" s="3">
        <v>45924</v>
      </c>
      <c r="G1658" s="2" t="s">
        <v>15</v>
      </c>
      <c r="H1658" s="2">
        <v>29</v>
      </c>
      <c r="I1658" s="2">
        <v>29</v>
      </c>
      <c r="J1658">
        <f t="shared" si="125"/>
        <v>14</v>
      </c>
      <c r="K1658">
        <f t="shared" si="126"/>
        <v>8</v>
      </c>
      <c r="L1658" t="str">
        <f t="shared" si="127"/>
        <v>No</v>
      </c>
      <c r="M1658" t="str">
        <f t="shared" si="129"/>
        <v>Yes</v>
      </c>
      <c r="N1658" t="str">
        <f t="shared" si="128"/>
        <v>No</v>
      </c>
    </row>
    <row r="1659" spans="1:14" x14ac:dyDescent="0.3">
      <c r="A1659" s="4" t="s">
        <v>3335</v>
      </c>
      <c r="B1659" s="4" t="s">
        <v>3336</v>
      </c>
      <c r="C1659" s="4" t="s">
        <v>27</v>
      </c>
      <c r="D1659" s="5">
        <v>45909</v>
      </c>
      <c r="E1659" s="5">
        <v>45914</v>
      </c>
      <c r="F1659" s="5">
        <v>45926</v>
      </c>
      <c r="G1659" s="4" t="s">
        <v>40</v>
      </c>
      <c r="H1659" s="4">
        <v>4</v>
      </c>
      <c r="I1659" s="2">
        <v>11</v>
      </c>
      <c r="J1659">
        <f t="shared" si="125"/>
        <v>17</v>
      </c>
      <c r="K1659">
        <f t="shared" si="126"/>
        <v>12</v>
      </c>
      <c r="L1659" t="str">
        <f t="shared" si="127"/>
        <v>No</v>
      </c>
      <c r="M1659" t="str">
        <f t="shared" si="129"/>
        <v>No</v>
      </c>
      <c r="N1659" t="str">
        <f t="shared" si="128"/>
        <v>No</v>
      </c>
    </row>
    <row r="1660" spans="1:14" x14ac:dyDescent="0.3">
      <c r="A1660" s="2" t="s">
        <v>3337</v>
      </c>
      <c r="B1660" s="2" t="s">
        <v>3338</v>
      </c>
      <c r="C1660" s="2" t="s">
        <v>34</v>
      </c>
      <c r="D1660" s="3">
        <v>45912</v>
      </c>
      <c r="E1660" s="3">
        <v>45917</v>
      </c>
      <c r="F1660" s="3">
        <v>45923</v>
      </c>
      <c r="G1660" s="2" t="s">
        <v>15</v>
      </c>
      <c r="H1660" s="2">
        <v>17</v>
      </c>
      <c r="I1660" s="2">
        <v>17</v>
      </c>
      <c r="J1660">
        <f t="shared" si="125"/>
        <v>11</v>
      </c>
      <c r="K1660">
        <f t="shared" si="126"/>
        <v>6</v>
      </c>
      <c r="L1660" t="str">
        <f t="shared" si="127"/>
        <v>No</v>
      </c>
      <c r="M1660" t="str">
        <f t="shared" si="129"/>
        <v>Yes</v>
      </c>
      <c r="N1660" t="str">
        <f t="shared" si="128"/>
        <v>No</v>
      </c>
    </row>
    <row r="1661" spans="1:14" x14ac:dyDescent="0.3">
      <c r="A1661" s="4" t="s">
        <v>3339</v>
      </c>
      <c r="B1661" s="4" t="s">
        <v>3340</v>
      </c>
      <c r="C1661" s="4" t="s">
        <v>14</v>
      </c>
      <c r="D1661" s="5">
        <v>45911</v>
      </c>
      <c r="E1661" s="5">
        <v>45919</v>
      </c>
      <c r="F1661" s="5">
        <v>45928</v>
      </c>
      <c r="G1661" s="4" t="s">
        <v>11</v>
      </c>
      <c r="H1661" s="4">
        <v>30</v>
      </c>
      <c r="I1661" s="2">
        <v>38</v>
      </c>
      <c r="J1661">
        <f t="shared" si="125"/>
        <v>17</v>
      </c>
      <c r="K1661">
        <f t="shared" si="126"/>
        <v>9</v>
      </c>
      <c r="L1661" t="str">
        <f t="shared" si="127"/>
        <v>No</v>
      </c>
      <c r="M1661" t="str">
        <f t="shared" si="129"/>
        <v>No</v>
      </c>
      <c r="N1661" t="str">
        <f t="shared" si="128"/>
        <v>No</v>
      </c>
    </row>
    <row r="1662" spans="1:14" x14ac:dyDescent="0.3">
      <c r="A1662" s="2" t="s">
        <v>3341</v>
      </c>
      <c r="B1662" s="2" t="s">
        <v>3342</v>
      </c>
      <c r="C1662" s="2" t="s">
        <v>14</v>
      </c>
      <c r="D1662" s="3">
        <v>45912</v>
      </c>
      <c r="E1662" s="3">
        <v>45918</v>
      </c>
      <c r="F1662" s="3">
        <v>45927</v>
      </c>
      <c r="G1662" s="2" t="s">
        <v>40</v>
      </c>
      <c r="H1662" s="2">
        <v>20</v>
      </c>
      <c r="I1662" s="2">
        <v>20</v>
      </c>
      <c r="J1662">
        <f t="shared" si="125"/>
        <v>15</v>
      </c>
      <c r="K1662">
        <f t="shared" si="126"/>
        <v>9</v>
      </c>
      <c r="L1662" t="str">
        <f t="shared" si="127"/>
        <v>No</v>
      </c>
      <c r="M1662" t="str">
        <f t="shared" si="129"/>
        <v>Yes</v>
      </c>
      <c r="N1662" t="str">
        <f t="shared" si="128"/>
        <v>No</v>
      </c>
    </row>
    <row r="1663" spans="1:14" x14ac:dyDescent="0.3">
      <c r="A1663" s="4" t="s">
        <v>3343</v>
      </c>
      <c r="B1663" s="4" t="s">
        <v>3344</v>
      </c>
      <c r="C1663" s="4" t="s">
        <v>21</v>
      </c>
      <c r="D1663" s="5">
        <v>45912</v>
      </c>
      <c r="E1663" s="5">
        <v>45914</v>
      </c>
      <c r="F1663" s="5">
        <v>45918</v>
      </c>
      <c r="G1663" s="4" t="s">
        <v>18</v>
      </c>
      <c r="H1663" s="4">
        <v>31</v>
      </c>
      <c r="I1663" s="2">
        <v>31</v>
      </c>
      <c r="J1663">
        <f t="shared" si="125"/>
        <v>6</v>
      </c>
      <c r="K1663">
        <f t="shared" si="126"/>
        <v>4</v>
      </c>
      <c r="L1663" t="str">
        <f t="shared" si="127"/>
        <v>No</v>
      </c>
      <c r="M1663" t="str">
        <f t="shared" si="129"/>
        <v>Yes</v>
      </c>
      <c r="N1663" t="str">
        <f t="shared" si="128"/>
        <v>No</v>
      </c>
    </row>
    <row r="1664" spans="1:14" x14ac:dyDescent="0.3">
      <c r="A1664" s="2" t="s">
        <v>3345</v>
      </c>
      <c r="B1664" s="2" t="s">
        <v>3346</v>
      </c>
      <c r="C1664" s="2" t="s">
        <v>21</v>
      </c>
      <c r="D1664" s="3">
        <v>45912</v>
      </c>
      <c r="E1664" s="3">
        <v>45914</v>
      </c>
      <c r="F1664" s="3">
        <v>45919</v>
      </c>
      <c r="G1664" s="2" t="s">
        <v>11</v>
      </c>
      <c r="H1664" s="2">
        <v>51</v>
      </c>
      <c r="I1664" s="2">
        <v>51</v>
      </c>
      <c r="J1664">
        <f t="shared" si="125"/>
        <v>7</v>
      </c>
      <c r="K1664">
        <f t="shared" si="126"/>
        <v>5</v>
      </c>
      <c r="L1664" t="str">
        <f t="shared" si="127"/>
        <v>No</v>
      </c>
      <c r="M1664" t="str">
        <f t="shared" si="129"/>
        <v>Yes</v>
      </c>
      <c r="N1664" t="str">
        <f t="shared" si="128"/>
        <v>No</v>
      </c>
    </row>
    <row r="1665" spans="1:14" x14ac:dyDescent="0.3">
      <c r="A1665" s="4" t="s">
        <v>3347</v>
      </c>
      <c r="B1665" s="4" t="s">
        <v>3348</v>
      </c>
      <c r="C1665" s="4" t="s">
        <v>27</v>
      </c>
      <c r="D1665" s="5">
        <v>45911</v>
      </c>
      <c r="E1665" s="5">
        <v>45913</v>
      </c>
      <c r="F1665" s="5">
        <v>45925</v>
      </c>
      <c r="G1665" s="4" t="s">
        <v>18</v>
      </c>
      <c r="H1665" s="4">
        <v>30</v>
      </c>
      <c r="I1665" s="2">
        <v>30</v>
      </c>
      <c r="J1665">
        <f t="shared" si="125"/>
        <v>14</v>
      </c>
      <c r="K1665">
        <f t="shared" si="126"/>
        <v>12</v>
      </c>
      <c r="L1665" t="str">
        <f t="shared" si="127"/>
        <v>No</v>
      </c>
      <c r="M1665" t="str">
        <f t="shared" si="129"/>
        <v>Yes</v>
      </c>
      <c r="N1665" t="str">
        <f t="shared" si="128"/>
        <v>No</v>
      </c>
    </row>
    <row r="1666" spans="1:14" x14ac:dyDescent="0.3">
      <c r="A1666" s="2" t="s">
        <v>3349</v>
      </c>
      <c r="B1666" s="2" t="s">
        <v>3350</v>
      </c>
      <c r="C1666" s="2" t="s">
        <v>27</v>
      </c>
      <c r="D1666" s="3">
        <v>45910</v>
      </c>
      <c r="E1666" s="3">
        <v>45916</v>
      </c>
      <c r="F1666" s="3">
        <v>45924</v>
      </c>
      <c r="G1666" s="2" t="s">
        <v>11</v>
      </c>
      <c r="H1666" s="2">
        <v>7</v>
      </c>
      <c r="I1666" s="2">
        <v>7</v>
      </c>
      <c r="J1666">
        <f t="shared" si="125"/>
        <v>14</v>
      </c>
      <c r="K1666">
        <f t="shared" si="126"/>
        <v>8</v>
      </c>
      <c r="L1666" t="str">
        <f t="shared" si="127"/>
        <v>No</v>
      </c>
      <c r="M1666" t="str">
        <f t="shared" si="129"/>
        <v>Yes</v>
      </c>
      <c r="N1666" t="str">
        <f t="shared" si="128"/>
        <v>No</v>
      </c>
    </row>
    <row r="1667" spans="1:14" x14ac:dyDescent="0.3">
      <c r="A1667" s="4" t="s">
        <v>3351</v>
      </c>
      <c r="B1667" s="4" t="s">
        <v>3352</v>
      </c>
      <c r="C1667" s="4" t="s">
        <v>34</v>
      </c>
      <c r="D1667" s="5">
        <v>45911</v>
      </c>
      <c r="E1667" s="5">
        <v>45917</v>
      </c>
      <c r="F1667" s="5">
        <v>45922</v>
      </c>
      <c r="G1667" s="4" t="s">
        <v>40</v>
      </c>
      <c r="H1667" s="4">
        <v>44</v>
      </c>
      <c r="I1667" s="2">
        <v>44</v>
      </c>
      <c r="J1667">
        <f t="shared" ref="J1667:J1730" si="130">F1667-D1667</f>
        <v>11</v>
      </c>
      <c r="K1667">
        <f t="shared" ref="K1667:K1730" si="131">F1667-E1667</f>
        <v>5</v>
      </c>
      <c r="L1667" t="str">
        <f t="shared" ref="L1667:L1730" si="132">IF(K1667&lt;=0,"Yes","No")</f>
        <v>No</v>
      </c>
      <c r="M1667" t="str">
        <f t="shared" si="129"/>
        <v>Yes</v>
      </c>
      <c r="N1667" t="str">
        <f t="shared" ref="N1667:N1730" si="133">IF(AND(L1667="Yes",M1667="Yes"),"Yes","No")</f>
        <v>No</v>
      </c>
    </row>
    <row r="1668" spans="1:14" x14ac:dyDescent="0.3">
      <c r="A1668" s="2" t="s">
        <v>3353</v>
      </c>
      <c r="B1668" s="2" t="s">
        <v>3354</v>
      </c>
      <c r="C1668" s="2" t="s">
        <v>10</v>
      </c>
      <c r="D1668" s="3">
        <v>45912</v>
      </c>
      <c r="E1668" s="3">
        <v>45920</v>
      </c>
      <c r="F1668" s="3">
        <v>45921</v>
      </c>
      <c r="G1668" s="2" t="s">
        <v>11</v>
      </c>
      <c r="H1668" s="2">
        <v>28</v>
      </c>
      <c r="I1668" s="2">
        <v>28</v>
      </c>
      <c r="J1668">
        <f t="shared" si="130"/>
        <v>9</v>
      </c>
      <c r="K1668">
        <f t="shared" si="131"/>
        <v>1</v>
      </c>
      <c r="L1668" t="str">
        <f t="shared" si="132"/>
        <v>No</v>
      </c>
      <c r="M1668" t="str">
        <f t="shared" ref="M1668:M1731" si="134">IF(H1668=I1668,"Yes","No")</f>
        <v>Yes</v>
      </c>
      <c r="N1668" t="str">
        <f t="shared" si="133"/>
        <v>No</v>
      </c>
    </row>
    <row r="1669" spans="1:14" x14ac:dyDescent="0.3">
      <c r="A1669" s="4" t="s">
        <v>3355</v>
      </c>
      <c r="B1669" s="4" t="s">
        <v>3356</v>
      </c>
      <c r="C1669" s="4" t="s">
        <v>59</v>
      </c>
      <c r="D1669" s="5">
        <v>45911</v>
      </c>
      <c r="E1669" s="5">
        <v>45915</v>
      </c>
      <c r="F1669" s="5">
        <v>45915</v>
      </c>
      <c r="G1669" s="4" t="s">
        <v>18</v>
      </c>
      <c r="H1669" s="4">
        <v>6</v>
      </c>
      <c r="I1669" s="2">
        <v>6</v>
      </c>
      <c r="J1669">
        <f t="shared" si="130"/>
        <v>4</v>
      </c>
      <c r="K1669">
        <f t="shared" si="131"/>
        <v>0</v>
      </c>
      <c r="L1669" t="str">
        <f t="shared" si="132"/>
        <v>Yes</v>
      </c>
      <c r="M1669" t="str">
        <f t="shared" si="134"/>
        <v>Yes</v>
      </c>
      <c r="N1669" t="str">
        <f t="shared" si="133"/>
        <v>Yes</v>
      </c>
    </row>
    <row r="1670" spans="1:14" x14ac:dyDescent="0.3">
      <c r="A1670" s="2" t="s">
        <v>3357</v>
      </c>
      <c r="B1670" s="2" t="s">
        <v>3358</v>
      </c>
      <c r="C1670" s="2" t="s">
        <v>14</v>
      </c>
      <c r="D1670" s="3">
        <v>45912</v>
      </c>
      <c r="E1670" s="3">
        <v>45917</v>
      </c>
      <c r="F1670" s="3">
        <v>45926</v>
      </c>
      <c r="G1670" s="2" t="s">
        <v>18</v>
      </c>
      <c r="H1670" s="2">
        <v>20</v>
      </c>
      <c r="I1670" s="2">
        <v>23</v>
      </c>
      <c r="J1670">
        <f t="shared" si="130"/>
        <v>14</v>
      </c>
      <c r="K1670">
        <f t="shared" si="131"/>
        <v>9</v>
      </c>
      <c r="L1670" t="str">
        <f t="shared" si="132"/>
        <v>No</v>
      </c>
      <c r="M1670" t="str">
        <f t="shared" si="134"/>
        <v>No</v>
      </c>
      <c r="N1670" t="str">
        <f t="shared" si="133"/>
        <v>No</v>
      </c>
    </row>
    <row r="1671" spans="1:14" x14ac:dyDescent="0.3">
      <c r="A1671" s="4" t="s">
        <v>3359</v>
      </c>
      <c r="B1671" s="4" t="s">
        <v>3360</v>
      </c>
      <c r="C1671" s="4" t="s">
        <v>21</v>
      </c>
      <c r="D1671" s="5">
        <v>45913</v>
      </c>
      <c r="E1671" s="5">
        <v>45914</v>
      </c>
      <c r="F1671" s="5">
        <v>45923</v>
      </c>
      <c r="G1671" s="4" t="s">
        <v>11</v>
      </c>
      <c r="H1671" s="4">
        <v>63</v>
      </c>
      <c r="I1671" s="2">
        <v>63</v>
      </c>
      <c r="J1671">
        <f t="shared" si="130"/>
        <v>10</v>
      </c>
      <c r="K1671">
        <f t="shared" si="131"/>
        <v>9</v>
      </c>
      <c r="L1671" t="str">
        <f t="shared" si="132"/>
        <v>No</v>
      </c>
      <c r="M1671" t="str">
        <f t="shared" si="134"/>
        <v>Yes</v>
      </c>
      <c r="N1671" t="str">
        <f t="shared" si="133"/>
        <v>No</v>
      </c>
    </row>
    <row r="1672" spans="1:14" x14ac:dyDescent="0.3">
      <c r="A1672" s="2" t="s">
        <v>3361</v>
      </c>
      <c r="B1672" s="2" t="s">
        <v>3362</v>
      </c>
      <c r="C1672" s="2" t="s">
        <v>21</v>
      </c>
      <c r="D1672" s="3">
        <v>45913</v>
      </c>
      <c r="E1672" s="3">
        <v>45914</v>
      </c>
      <c r="F1672" s="3">
        <v>45919</v>
      </c>
      <c r="G1672" s="2" t="s">
        <v>22</v>
      </c>
      <c r="H1672" s="2">
        <v>30</v>
      </c>
      <c r="I1672" s="2">
        <v>30</v>
      </c>
      <c r="J1672">
        <f t="shared" si="130"/>
        <v>6</v>
      </c>
      <c r="K1672">
        <f t="shared" si="131"/>
        <v>5</v>
      </c>
      <c r="L1672" t="str">
        <f t="shared" si="132"/>
        <v>No</v>
      </c>
      <c r="M1672" t="str">
        <f t="shared" si="134"/>
        <v>Yes</v>
      </c>
      <c r="N1672" t="str">
        <f t="shared" si="133"/>
        <v>No</v>
      </c>
    </row>
    <row r="1673" spans="1:14" x14ac:dyDescent="0.3">
      <c r="A1673" s="4" t="s">
        <v>3363</v>
      </c>
      <c r="B1673" s="4" t="s">
        <v>3364</v>
      </c>
      <c r="C1673" s="4" t="s">
        <v>37</v>
      </c>
      <c r="D1673" s="5">
        <v>45914</v>
      </c>
      <c r="E1673" s="5">
        <v>45921</v>
      </c>
      <c r="F1673" s="5">
        <v>45926</v>
      </c>
      <c r="G1673" s="4" t="s">
        <v>15</v>
      </c>
      <c r="H1673" s="4">
        <v>38</v>
      </c>
      <c r="I1673" s="2">
        <v>38</v>
      </c>
      <c r="J1673">
        <f t="shared" si="130"/>
        <v>12</v>
      </c>
      <c r="K1673">
        <f t="shared" si="131"/>
        <v>5</v>
      </c>
      <c r="L1673" t="str">
        <f t="shared" si="132"/>
        <v>No</v>
      </c>
      <c r="M1673" t="str">
        <f t="shared" si="134"/>
        <v>Yes</v>
      </c>
      <c r="N1673" t="str">
        <f t="shared" si="133"/>
        <v>No</v>
      </c>
    </row>
    <row r="1674" spans="1:14" x14ac:dyDescent="0.3">
      <c r="A1674" s="2" t="s">
        <v>3365</v>
      </c>
      <c r="B1674" s="2" t="s">
        <v>3366</v>
      </c>
      <c r="C1674" s="2" t="s">
        <v>34</v>
      </c>
      <c r="D1674" s="3">
        <v>45914</v>
      </c>
      <c r="E1674" s="3">
        <v>45920</v>
      </c>
      <c r="F1674" s="3">
        <v>45923</v>
      </c>
      <c r="G1674" s="2" t="s">
        <v>40</v>
      </c>
      <c r="H1674" s="2">
        <v>43</v>
      </c>
      <c r="I1674" s="2">
        <v>43</v>
      </c>
      <c r="J1674">
        <f t="shared" si="130"/>
        <v>9</v>
      </c>
      <c r="K1674">
        <f t="shared" si="131"/>
        <v>3</v>
      </c>
      <c r="L1674" t="str">
        <f t="shared" si="132"/>
        <v>No</v>
      </c>
      <c r="M1674" t="str">
        <f t="shared" si="134"/>
        <v>Yes</v>
      </c>
      <c r="N1674" t="str">
        <f t="shared" si="133"/>
        <v>No</v>
      </c>
    </row>
    <row r="1675" spans="1:14" x14ac:dyDescent="0.3">
      <c r="A1675" s="4" t="s">
        <v>3367</v>
      </c>
      <c r="B1675" s="4" t="s">
        <v>3368</v>
      </c>
      <c r="C1675" s="4" t="s">
        <v>59</v>
      </c>
      <c r="D1675" s="5">
        <v>45912</v>
      </c>
      <c r="E1675" s="5">
        <v>45918</v>
      </c>
      <c r="F1675" s="5">
        <v>45920</v>
      </c>
      <c r="G1675" s="4" t="s">
        <v>18</v>
      </c>
      <c r="H1675" s="4">
        <v>12</v>
      </c>
      <c r="I1675" s="2">
        <v>12</v>
      </c>
      <c r="J1675">
        <f t="shared" si="130"/>
        <v>8</v>
      </c>
      <c r="K1675">
        <f t="shared" si="131"/>
        <v>2</v>
      </c>
      <c r="L1675" t="str">
        <f t="shared" si="132"/>
        <v>No</v>
      </c>
      <c r="M1675" t="str">
        <f t="shared" si="134"/>
        <v>Yes</v>
      </c>
      <c r="N1675" t="str">
        <f t="shared" si="133"/>
        <v>No</v>
      </c>
    </row>
    <row r="1676" spans="1:14" x14ac:dyDescent="0.3">
      <c r="A1676" s="2" t="s">
        <v>3369</v>
      </c>
      <c r="B1676" s="2" t="s">
        <v>3370</v>
      </c>
      <c r="C1676" s="2" t="s">
        <v>14</v>
      </c>
      <c r="D1676" s="3">
        <v>45913</v>
      </c>
      <c r="E1676" s="3">
        <v>45920</v>
      </c>
      <c r="F1676" s="3">
        <v>45928</v>
      </c>
      <c r="G1676" s="2" t="s">
        <v>11</v>
      </c>
      <c r="H1676" s="2">
        <v>31</v>
      </c>
      <c r="I1676" s="2">
        <v>34</v>
      </c>
      <c r="J1676">
        <f t="shared" si="130"/>
        <v>15</v>
      </c>
      <c r="K1676">
        <f t="shared" si="131"/>
        <v>8</v>
      </c>
      <c r="L1676" t="str">
        <f t="shared" si="132"/>
        <v>No</v>
      </c>
      <c r="M1676" t="str">
        <f t="shared" si="134"/>
        <v>No</v>
      </c>
      <c r="N1676" t="str">
        <f t="shared" si="133"/>
        <v>No</v>
      </c>
    </row>
    <row r="1677" spans="1:14" x14ac:dyDescent="0.3">
      <c r="A1677" s="4" t="s">
        <v>3371</v>
      </c>
      <c r="B1677" s="4" t="s">
        <v>3372</v>
      </c>
      <c r="C1677" s="4" t="s">
        <v>14</v>
      </c>
      <c r="D1677" s="5">
        <v>45914</v>
      </c>
      <c r="E1677" s="5">
        <v>45918</v>
      </c>
      <c r="F1677" s="5">
        <v>45929</v>
      </c>
      <c r="G1677" s="4" t="s">
        <v>15</v>
      </c>
      <c r="H1677" s="4">
        <v>18</v>
      </c>
      <c r="I1677" s="2">
        <v>18</v>
      </c>
      <c r="J1677">
        <f t="shared" si="130"/>
        <v>15</v>
      </c>
      <c r="K1677">
        <f t="shared" si="131"/>
        <v>11</v>
      </c>
      <c r="L1677" t="str">
        <f t="shared" si="132"/>
        <v>No</v>
      </c>
      <c r="M1677" t="str">
        <f t="shared" si="134"/>
        <v>Yes</v>
      </c>
      <c r="N1677" t="str">
        <f t="shared" si="133"/>
        <v>No</v>
      </c>
    </row>
    <row r="1678" spans="1:14" x14ac:dyDescent="0.3">
      <c r="A1678" s="2" t="s">
        <v>3373</v>
      </c>
      <c r="B1678" s="2" t="s">
        <v>3374</v>
      </c>
      <c r="C1678" s="2" t="s">
        <v>21</v>
      </c>
      <c r="D1678" s="3">
        <v>45914</v>
      </c>
      <c r="E1678" s="3">
        <v>45917</v>
      </c>
      <c r="F1678" s="3">
        <v>45924</v>
      </c>
      <c r="G1678" s="2" t="s">
        <v>40</v>
      </c>
      <c r="H1678" s="2">
        <v>31</v>
      </c>
      <c r="I1678" s="2">
        <v>31</v>
      </c>
      <c r="J1678">
        <f t="shared" si="130"/>
        <v>10</v>
      </c>
      <c r="K1678">
        <f t="shared" si="131"/>
        <v>7</v>
      </c>
      <c r="L1678" t="str">
        <f t="shared" si="132"/>
        <v>No</v>
      </c>
      <c r="M1678" t="str">
        <f t="shared" si="134"/>
        <v>Yes</v>
      </c>
      <c r="N1678" t="str">
        <f t="shared" si="133"/>
        <v>No</v>
      </c>
    </row>
    <row r="1679" spans="1:14" x14ac:dyDescent="0.3">
      <c r="A1679" s="4" t="s">
        <v>3375</v>
      </c>
      <c r="B1679" s="4" t="s">
        <v>3376</v>
      </c>
      <c r="C1679" s="4" t="s">
        <v>27</v>
      </c>
      <c r="D1679" s="5">
        <v>45912</v>
      </c>
      <c r="E1679" s="5">
        <v>45922</v>
      </c>
      <c r="F1679" s="5">
        <v>45925</v>
      </c>
      <c r="G1679" s="4" t="s">
        <v>18</v>
      </c>
      <c r="H1679" s="4">
        <v>6</v>
      </c>
      <c r="I1679" s="2">
        <v>6</v>
      </c>
      <c r="J1679">
        <f t="shared" si="130"/>
        <v>13</v>
      </c>
      <c r="K1679">
        <f t="shared" si="131"/>
        <v>3</v>
      </c>
      <c r="L1679" t="str">
        <f t="shared" si="132"/>
        <v>No</v>
      </c>
      <c r="M1679" t="str">
        <f t="shared" si="134"/>
        <v>Yes</v>
      </c>
      <c r="N1679" t="str">
        <f t="shared" si="133"/>
        <v>No</v>
      </c>
    </row>
    <row r="1680" spans="1:14" x14ac:dyDescent="0.3">
      <c r="A1680" s="2" t="s">
        <v>3377</v>
      </c>
      <c r="B1680" s="2" t="s">
        <v>3378</v>
      </c>
      <c r="C1680" s="2" t="s">
        <v>27</v>
      </c>
      <c r="D1680" s="3">
        <v>45912</v>
      </c>
      <c r="E1680" s="3">
        <v>45916</v>
      </c>
      <c r="F1680" s="3">
        <v>45925</v>
      </c>
      <c r="G1680" s="2" t="s">
        <v>11</v>
      </c>
      <c r="H1680" s="2">
        <v>4</v>
      </c>
      <c r="I1680" s="2">
        <v>4</v>
      </c>
      <c r="J1680">
        <f t="shared" si="130"/>
        <v>13</v>
      </c>
      <c r="K1680">
        <f t="shared" si="131"/>
        <v>9</v>
      </c>
      <c r="L1680" t="str">
        <f t="shared" si="132"/>
        <v>No</v>
      </c>
      <c r="M1680" t="str">
        <f t="shared" si="134"/>
        <v>Yes</v>
      </c>
      <c r="N1680" t="str">
        <f t="shared" si="133"/>
        <v>No</v>
      </c>
    </row>
    <row r="1681" spans="1:14" x14ac:dyDescent="0.3">
      <c r="A1681" s="4" t="s">
        <v>3379</v>
      </c>
      <c r="B1681" s="4" t="s">
        <v>3380</v>
      </c>
      <c r="C1681" s="4" t="s">
        <v>37</v>
      </c>
      <c r="D1681" s="5">
        <v>45914</v>
      </c>
      <c r="E1681" s="5">
        <v>45916</v>
      </c>
      <c r="F1681" s="5">
        <v>45928</v>
      </c>
      <c r="G1681" s="4" t="s">
        <v>40</v>
      </c>
      <c r="H1681" s="4">
        <v>22</v>
      </c>
      <c r="I1681" s="2">
        <v>24</v>
      </c>
      <c r="J1681">
        <f t="shared" si="130"/>
        <v>14</v>
      </c>
      <c r="K1681">
        <f t="shared" si="131"/>
        <v>12</v>
      </c>
      <c r="L1681" t="str">
        <f t="shared" si="132"/>
        <v>No</v>
      </c>
      <c r="M1681" t="str">
        <f t="shared" si="134"/>
        <v>No</v>
      </c>
      <c r="N1681" t="str">
        <f t="shared" si="133"/>
        <v>No</v>
      </c>
    </row>
    <row r="1682" spans="1:14" x14ac:dyDescent="0.3">
      <c r="A1682" s="2" t="s">
        <v>3381</v>
      </c>
      <c r="B1682" s="2" t="s">
        <v>3382</v>
      </c>
      <c r="C1682" s="2" t="s">
        <v>34</v>
      </c>
      <c r="D1682" s="3">
        <v>45915</v>
      </c>
      <c r="E1682" s="3">
        <v>45922</v>
      </c>
      <c r="F1682" s="3">
        <v>45924</v>
      </c>
      <c r="G1682" s="2" t="s">
        <v>11</v>
      </c>
      <c r="H1682" s="2">
        <v>37</v>
      </c>
      <c r="I1682" s="2">
        <v>37</v>
      </c>
      <c r="J1682">
        <f t="shared" si="130"/>
        <v>9</v>
      </c>
      <c r="K1682">
        <f t="shared" si="131"/>
        <v>2</v>
      </c>
      <c r="L1682" t="str">
        <f t="shared" si="132"/>
        <v>No</v>
      </c>
      <c r="M1682" t="str">
        <f t="shared" si="134"/>
        <v>Yes</v>
      </c>
      <c r="N1682" t="str">
        <f t="shared" si="133"/>
        <v>No</v>
      </c>
    </row>
    <row r="1683" spans="1:14" x14ac:dyDescent="0.3">
      <c r="A1683" s="4" t="s">
        <v>3383</v>
      </c>
      <c r="B1683" s="4" t="s">
        <v>3384</v>
      </c>
      <c r="C1683" s="4" t="s">
        <v>72</v>
      </c>
      <c r="D1683" s="5">
        <v>45915</v>
      </c>
      <c r="E1683" s="5">
        <v>45921</v>
      </c>
      <c r="F1683" s="5">
        <v>45930</v>
      </c>
      <c r="G1683" s="4" t="s">
        <v>11</v>
      </c>
      <c r="H1683" s="4">
        <v>36</v>
      </c>
      <c r="I1683" s="2">
        <v>36</v>
      </c>
      <c r="J1683">
        <f t="shared" si="130"/>
        <v>15</v>
      </c>
      <c r="K1683">
        <f t="shared" si="131"/>
        <v>9</v>
      </c>
      <c r="L1683" t="str">
        <f t="shared" si="132"/>
        <v>No</v>
      </c>
      <c r="M1683" t="str">
        <f t="shared" si="134"/>
        <v>Yes</v>
      </c>
      <c r="N1683" t="str">
        <f t="shared" si="133"/>
        <v>No</v>
      </c>
    </row>
    <row r="1684" spans="1:14" x14ac:dyDescent="0.3">
      <c r="A1684" s="2" t="s">
        <v>3385</v>
      </c>
      <c r="B1684" s="2" t="s">
        <v>3386</v>
      </c>
      <c r="C1684" s="2" t="s">
        <v>21</v>
      </c>
      <c r="D1684" s="3">
        <v>45913</v>
      </c>
      <c r="E1684" s="3">
        <v>45922</v>
      </c>
      <c r="F1684" s="3">
        <v>45923</v>
      </c>
      <c r="G1684" s="2" t="s">
        <v>18</v>
      </c>
      <c r="H1684" s="2">
        <v>45</v>
      </c>
      <c r="I1684" s="2">
        <v>45</v>
      </c>
      <c r="J1684">
        <f t="shared" si="130"/>
        <v>10</v>
      </c>
      <c r="K1684">
        <f t="shared" si="131"/>
        <v>1</v>
      </c>
      <c r="L1684" t="str">
        <f t="shared" si="132"/>
        <v>No</v>
      </c>
      <c r="M1684" t="str">
        <f t="shared" si="134"/>
        <v>Yes</v>
      </c>
      <c r="N1684" t="str">
        <f t="shared" si="133"/>
        <v>No</v>
      </c>
    </row>
    <row r="1685" spans="1:14" x14ac:dyDescent="0.3">
      <c r="A1685" s="4" t="s">
        <v>3387</v>
      </c>
      <c r="B1685" s="4" t="s">
        <v>3388</v>
      </c>
      <c r="C1685" s="4" t="s">
        <v>34</v>
      </c>
      <c r="D1685" s="5">
        <v>45916</v>
      </c>
      <c r="E1685" s="5">
        <v>45924</v>
      </c>
      <c r="F1685" s="5">
        <v>45923</v>
      </c>
      <c r="G1685" s="4" t="s">
        <v>18</v>
      </c>
      <c r="H1685" s="4">
        <v>22</v>
      </c>
      <c r="I1685" s="2">
        <v>22</v>
      </c>
      <c r="J1685">
        <f t="shared" si="130"/>
        <v>7</v>
      </c>
      <c r="K1685">
        <f t="shared" si="131"/>
        <v>-1</v>
      </c>
      <c r="L1685" t="str">
        <f t="shared" si="132"/>
        <v>Yes</v>
      </c>
      <c r="M1685" t="str">
        <f t="shared" si="134"/>
        <v>Yes</v>
      </c>
      <c r="N1685" t="str">
        <f t="shared" si="133"/>
        <v>Yes</v>
      </c>
    </row>
    <row r="1686" spans="1:14" x14ac:dyDescent="0.3">
      <c r="A1686" s="2" t="s">
        <v>3389</v>
      </c>
      <c r="B1686" s="2" t="s">
        <v>3390</v>
      </c>
      <c r="C1686" s="2" t="s">
        <v>34</v>
      </c>
      <c r="D1686" s="3">
        <v>45914</v>
      </c>
      <c r="E1686" s="3">
        <v>45920</v>
      </c>
      <c r="F1686" s="3">
        <v>45923</v>
      </c>
      <c r="G1686" s="2" t="s">
        <v>22</v>
      </c>
      <c r="H1686" s="2">
        <v>10</v>
      </c>
      <c r="I1686" s="2">
        <v>10</v>
      </c>
      <c r="J1686">
        <f t="shared" si="130"/>
        <v>9</v>
      </c>
      <c r="K1686">
        <f t="shared" si="131"/>
        <v>3</v>
      </c>
      <c r="L1686" t="str">
        <f t="shared" si="132"/>
        <v>No</v>
      </c>
      <c r="M1686" t="str">
        <f t="shared" si="134"/>
        <v>Yes</v>
      </c>
      <c r="N1686" t="str">
        <f t="shared" si="133"/>
        <v>No</v>
      </c>
    </row>
    <row r="1687" spans="1:14" x14ac:dyDescent="0.3">
      <c r="A1687" s="4" t="s">
        <v>3391</v>
      </c>
      <c r="B1687" s="4" t="s">
        <v>3392</v>
      </c>
      <c r="C1687" s="4" t="s">
        <v>34</v>
      </c>
      <c r="D1687" s="5">
        <v>45914</v>
      </c>
      <c r="E1687" s="5">
        <v>45921</v>
      </c>
      <c r="F1687" s="5">
        <v>45921</v>
      </c>
      <c r="G1687" s="4" t="s">
        <v>22</v>
      </c>
      <c r="H1687" s="4">
        <v>49</v>
      </c>
      <c r="I1687" s="2">
        <v>49</v>
      </c>
      <c r="J1687">
        <f t="shared" si="130"/>
        <v>7</v>
      </c>
      <c r="K1687">
        <f t="shared" si="131"/>
        <v>0</v>
      </c>
      <c r="L1687" t="str">
        <f t="shared" si="132"/>
        <v>Yes</v>
      </c>
      <c r="M1687" t="str">
        <f t="shared" si="134"/>
        <v>Yes</v>
      </c>
      <c r="N1687" t="str">
        <f t="shared" si="133"/>
        <v>Yes</v>
      </c>
    </row>
    <row r="1688" spans="1:14" x14ac:dyDescent="0.3">
      <c r="A1688" s="2" t="s">
        <v>3393</v>
      </c>
      <c r="B1688" s="2" t="s">
        <v>3394</v>
      </c>
      <c r="C1688" s="2" t="s">
        <v>10</v>
      </c>
      <c r="D1688" s="3">
        <v>45916</v>
      </c>
      <c r="E1688" s="3">
        <v>45921</v>
      </c>
      <c r="F1688" s="3">
        <v>45920</v>
      </c>
      <c r="G1688" s="2" t="s">
        <v>40</v>
      </c>
      <c r="H1688" s="2">
        <v>25</v>
      </c>
      <c r="I1688" s="2">
        <v>25</v>
      </c>
      <c r="J1688">
        <f t="shared" si="130"/>
        <v>4</v>
      </c>
      <c r="K1688">
        <f t="shared" si="131"/>
        <v>-1</v>
      </c>
      <c r="L1688" t="str">
        <f t="shared" si="132"/>
        <v>Yes</v>
      </c>
      <c r="M1688" t="str">
        <f t="shared" si="134"/>
        <v>Yes</v>
      </c>
      <c r="N1688" t="str">
        <f t="shared" si="133"/>
        <v>Yes</v>
      </c>
    </row>
    <row r="1689" spans="1:14" x14ac:dyDescent="0.3">
      <c r="A1689" s="4" t="s">
        <v>3395</v>
      </c>
      <c r="B1689" s="4" t="s">
        <v>3396</v>
      </c>
      <c r="C1689" s="4" t="s">
        <v>21</v>
      </c>
      <c r="D1689" s="5">
        <v>45914</v>
      </c>
      <c r="E1689" s="5">
        <v>45922</v>
      </c>
      <c r="F1689" s="5">
        <v>45920</v>
      </c>
      <c r="G1689" s="4" t="s">
        <v>22</v>
      </c>
      <c r="H1689" s="4">
        <v>36</v>
      </c>
      <c r="I1689" s="2">
        <v>36</v>
      </c>
      <c r="J1689">
        <f t="shared" si="130"/>
        <v>6</v>
      </c>
      <c r="K1689">
        <f t="shared" si="131"/>
        <v>-2</v>
      </c>
      <c r="L1689" t="str">
        <f t="shared" si="132"/>
        <v>Yes</v>
      </c>
      <c r="M1689" t="str">
        <f t="shared" si="134"/>
        <v>Yes</v>
      </c>
      <c r="N1689" t="str">
        <f t="shared" si="133"/>
        <v>Yes</v>
      </c>
    </row>
    <row r="1690" spans="1:14" x14ac:dyDescent="0.3">
      <c r="A1690" s="2" t="s">
        <v>3397</v>
      </c>
      <c r="B1690" s="2" t="s">
        <v>3398</v>
      </c>
      <c r="C1690" s="2" t="s">
        <v>21</v>
      </c>
      <c r="D1690" s="3">
        <v>45915</v>
      </c>
      <c r="E1690" s="3">
        <v>45917</v>
      </c>
      <c r="F1690" s="3">
        <v>45921</v>
      </c>
      <c r="G1690" s="2" t="s">
        <v>11</v>
      </c>
      <c r="H1690" s="2">
        <v>40</v>
      </c>
      <c r="I1690" s="2">
        <v>40</v>
      </c>
      <c r="J1690">
        <f t="shared" si="130"/>
        <v>6</v>
      </c>
      <c r="K1690">
        <f t="shared" si="131"/>
        <v>4</v>
      </c>
      <c r="L1690" t="str">
        <f t="shared" si="132"/>
        <v>No</v>
      </c>
      <c r="M1690" t="str">
        <f t="shared" si="134"/>
        <v>Yes</v>
      </c>
      <c r="N1690" t="str">
        <f t="shared" si="133"/>
        <v>No</v>
      </c>
    </row>
    <row r="1691" spans="1:14" x14ac:dyDescent="0.3">
      <c r="A1691" s="4" t="s">
        <v>3399</v>
      </c>
      <c r="B1691" s="4" t="s">
        <v>3400</v>
      </c>
      <c r="C1691" s="4" t="s">
        <v>27</v>
      </c>
      <c r="D1691" s="5">
        <v>45916</v>
      </c>
      <c r="E1691" s="5">
        <v>45918</v>
      </c>
      <c r="F1691" s="5">
        <v>45930</v>
      </c>
      <c r="G1691" s="4" t="s">
        <v>11</v>
      </c>
      <c r="H1691" s="4">
        <v>6</v>
      </c>
      <c r="I1691" s="2">
        <v>6</v>
      </c>
      <c r="J1691">
        <f t="shared" si="130"/>
        <v>14</v>
      </c>
      <c r="K1691">
        <f t="shared" si="131"/>
        <v>12</v>
      </c>
      <c r="L1691" t="str">
        <f t="shared" si="132"/>
        <v>No</v>
      </c>
      <c r="M1691" t="str">
        <f t="shared" si="134"/>
        <v>Yes</v>
      </c>
      <c r="N1691" t="str">
        <f t="shared" si="133"/>
        <v>No</v>
      </c>
    </row>
    <row r="1692" spans="1:14" x14ac:dyDescent="0.3">
      <c r="A1692" s="2" t="s">
        <v>3401</v>
      </c>
      <c r="B1692" s="2" t="s">
        <v>3402</v>
      </c>
      <c r="C1692" s="2" t="s">
        <v>34</v>
      </c>
      <c r="D1692" s="3">
        <v>45916</v>
      </c>
      <c r="E1692" s="3">
        <v>45922</v>
      </c>
      <c r="F1692" s="3">
        <v>45925</v>
      </c>
      <c r="G1692" s="2" t="s">
        <v>15</v>
      </c>
      <c r="H1692" s="2">
        <v>32</v>
      </c>
      <c r="I1692" s="2">
        <v>32</v>
      </c>
      <c r="J1692">
        <f t="shared" si="130"/>
        <v>9</v>
      </c>
      <c r="K1692">
        <f t="shared" si="131"/>
        <v>3</v>
      </c>
      <c r="L1692" t="str">
        <f t="shared" si="132"/>
        <v>No</v>
      </c>
      <c r="M1692" t="str">
        <f t="shared" si="134"/>
        <v>Yes</v>
      </c>
      <c r="N1692" t="str">
        <f t="shared" si="133"/>
        <v>No</v>
      </c>
    </row>
    <row r="1693" spans="1:14" x14ac:dyDescent="0.3">
      <c r="A1693" s="4" t="s">
        <v>3403</v>
      </c>
      <c r="B1693" s="4" t="s">
        <v>3404</v>
      </c>
      <c r="C1693" s="4" t="s">
        <v>34</v>
      </c>
      <c r="D1693" s="5">
        <v>45916</v>
      </c>
      <c r="E1693" s="5">
        <v>45920</v>
      </c>
      <c r="F1693" s="5">
        <v>45927</v>
      </c>
      <c r="G1693" s="4" t="s">
        <v>15</v>
      </c>
      <c r="H1693" s="4">
        <v>27</v>
      </c>
      <c r="I1693" s="2">
        <v>27</v>
      </c>
      <c r="J1693">
        <f t="shared" si="130"/>
        <v>11</v>
      </c>
      <c r="K1693">
        <f t="shared" si="131"/>
        <v>7</v>
      </c>
      <c r="L1693" t="str">
        <f t="shared" si="132"/>
        <v>No</v>
      </c>
      <c r="M1693" t="str">
        <f t="shared" si="134"/>
        <v>Yes</v>
      </c>
      <c r="N1693" t="str">
        <f t="shared" si="133"/>
        <v>No</v>
      </c>
    </row>
    <row r="1694" spans="1:14" x14ac:dyDescent="0.3">
      <c r="A1694" s="2" t="s">
        <v>3405</v>
      </c>
      <c r="B1694" s="2" t="s">
        <v>3406</v>
      </c>
      <c r="C1694" s="2" t="s">
        <v>34</v>
      </c>
      <c r="D1694" s="3">
        <v>45915</v>
      </c>
      <c r="E1694" s="3">
        <v>45925</v>
      </c>
      <c r="F1694" s="3">
        <v>45922</v>
      </c>
      <c r="G1694" s="2" t="s">
        <v>15</v>
      </c>
      <c r="H1694" s="2">
        <v>31</v>
      </c>
      <c r="I1694" s="2">
        <v>31</v>
      </c>
      <c r="J1694">
        <f t="shared" si="130"/>
        <v>7</v>
      </c>
      <c r="K1694">
        <f t="shared" si="131"/>
        <v>-3</v>
      </c>
      <c r="L1694" t="str">
        <f t="shared" si="132"/>
        <v>Yes</v>
      </c>
      <c r="M1694" t="str">
        <f t="shared" si="134"/>
        <v>Yes</v>
      </c>
      <c r="N1694" t="str">
        <f t="shared" si="133"/>
        <v>Yes</v>
      </c>
    </row>
    <row r="1695" spans="1:14" x14ac:dyDescent="0.3">
      <c r="A1695" s="4" t="s">
        <v>3407</v>
      </c>
      <c r="B1695" s="4" t="s">
        <v>3408</v>
      </c>
      <c r="C1695" s="4" t="s">
        <v>72</v>
      </c>
      <c r="D1695" s="5">
        <v>45915</v>
      </c>
      <c r="E1695" s="5">
        <v>45921</v>
      </c>
      <c r="F1695" s="5">
        <v>45928</v>
      </c>
      <c r="G1695" s="4" t="s">
        <v>11</v>
      </c>
      <c r="H1695" s="4">
        <v>3</v>
      </c>
      <c r="I1695" s="2">
        <v>11</v>
      </c>
      <c r="J1695">
        <f t="shared" si="130"/>
        <v>13</v>
      </c>
      <c r="K1695">
        <f t="shared" si="131"/>
        <v>7</v>
      </c>
      <c r="L1695" t="str">
        <f t="shared" si="132"/>
        <v>No</v>
      </c>
      <c r="M1695" t="str">
        <f t="shared" si="134"/>
        <v>No</v>
      </c>
      <c r="N1695" t="str">
        <f t="shared" si="133"/>
        <v>No</v>
      </c>
    </row>
    <row r="1696" spans="1:14" x14ac:dyDescent="0.3">
      <c r="A1696" s="2" t="s">
        <v>3409</v>
      </c>
      <c r="B1696" s="2" t="s">
        <v>3410</v>
      </c>
      <c r="C1696" s="2" t="s">
        <v>72</v>
      </c>
      <c r="D1696" s="3">
        <v>45917</v>
      </c>
      <c r="E1696" s="3">
        <v>45918</v>
      </c>
      <c r="F1696" s="3">
        <v>45935</v>
      </c>
      <c r="G1696" s="2" t="s">
        <v>11</v>
      </c>
      <c r="H1696" s="2">
        <v>18</v>
      </c>
      <c r="I1696" s="2">
        <v>19</v>
      </c>
      <c r="J1696">
        <f t="shared" si="130"/>
        <v>18</v>
      </c>
      <c r="K1696">
        <f t="shared" si="131"/>
        <v>17</v>
      </c>
      <c r="L1696" t="str">
        <f t="shared" si="132"/>
        <v>No</v>
      </c>
      <c r="M1696" t="str">
        <f t="shared" si="134"/>
        <v>No</v>
      </c>
      <c r="N1696" t="str">
        <f t="shared" si="133"/>
        <v>No</v>
      </c>
    </row>
    <row r="1697" spans="1:14" x14ac:dyDescent="0.3">
      <c r="A1697" s="4" t="s">
        <v>3411</v>
      </c>
      <c r="B1697" s="4" t="s">
        <v>3412</v>
      </c>
      <c r="C1697" s="4" t="s">
        <v>59</v>
      </c>
      <c r="D1697" s="5">
        <v>45916</v>
      </c>
      <c r="E1697" s="5">
        <v>45919</v>
      </c>
      <c r="F1697" s="5">
        <v>45920</v>
      </c>
      <c r="G1697" s="4" t="s">
        <v>11</v>
      </c>
      <c r="H1697" s="4">
        <v>6</v>
      </c>
      <c r="I1697" s="2">
        <v>6</v>
      </c>
      <c r="J1697">
        <f t="shared" si="130"/>
        <v>4</v>
      </c>
      <c r="K1697">
        <f t="shared" si="131"/>
        <v>1</v>
      </c>
      <c r="L1697" t="str">
        <f t="shared" si="132"/>
        <v>No</v>
      </c>
      <c r="M1697" t="str">
        <f t="shared" si="134"/>
        <v>Yes</v>
      </c>
      <c r="N1697" t="str">
        <f t="shared" si="133"/>
        <v>No</v>
      </c>
    </row>
    <row r="1698" spans="1:14" x14ac:dyDescent="0.3">
      <c r="A1698" s="2" t="s">
        <v>3413</v>
      </c>
      <c r="B1698" s="2" t="s">
        <v>3414</v>
      </c>
      <c r="C1698" s="2" t="s">
        <v>59</v>
      </c>
      <c r="D1698" s="3">
        <v>45915</v>
      </c>
      <c r="E1698" s="3">
        <v>45923</v>
      </c>
      <c r="F1698" s="3">
        <v>45919</v>
      </c>
      <c r="G1698" s="2" t="s">
        <v>11</v>
      </c>
      <c r="H1698" s="2">
        <v>48</v>
      </c>
      <c r="I1698" s="2">
        <v>48</v>
      </c>
      <c r="J1698">
        <f t="shared" si="130"/>
        <v>4</v>
      </c>
      <c r="K1698">
        <f t="shared" si="131"/>
        <v>-4</v>
      </c>
      <c r="L1698" t="str">
        <f t="shared" si="132"/>
        <v>Yes</v>
      </c>
      <c r="M1698" t="str">
        <f t="shared" si="134"/>
        <v>Yes</v>
      </c>
      <c r="N1698" t="str">
        <f t="shared" si="133"/>
        <v>Yes</v>
      </c>
    </row>
    <row r="1699" spans="1:14" x14ac:dyDescent="0.3">
      <c r="A1699" s="4" t="s">
        <v>3415</v>
      </c>
      <c r="B1699" s="4" t="s">
        <v>3416</v>
      </c>
      <c r="C1699" s="4" t="s">
        <v>14</v>
      </c>
      <c r="D1699" s="5">
        <v>45915</v>
      </c>
      <c r="E1699" s="5">
        <v>45924</v>
      </c>
      <c r="F1699" s="5">
        <v>45934</v>
      </c>
      <c r="G1699" s="4" t="s">
        <v>18</v>
      </c>
      <c r="H1699" s="4">
        <v>21</v>
      </c>
      <c r="I1699" s="2">
        <v>21</v>
      </c>
      <c r="J1699">
        <f t="shared" si="130"/>
        <v>19</v>
      </c>
      <c r="K1699">
        <f t="shared" si="131"/>
        <v>10</v>
      </c>
      <c r="L1699" t="str">
        <f t="shared" si="132"/>
        <v>No</v>
      </c>
      <c r="M1699" t="str">
        <f t="shared" si="134"/>
        <v>Yes</v>
      </c>
      <c r="N1699" t="str">
        <f t="shared" si="133"/>
        <v>No</v>
      </c>
    </row>
    <row r="1700" spans="1:14" x14ac:dyDescent="0.3">
      <c r="A1700" s="2" t="s">
        <v>3417</v>
      </c>
      <c r="B1700" s="2" t="s">
        <v>3418</v>
      </c>
      <c r="C1700" s="2" t="s">
        <v>21</v>
      </c>
      <c r="D1700" s="3">
        <v>45916</v>
      </c>
      <c r="E1700" s="3">
        <v>45924</v>
      </c>
      <c r="F1700" s="3">
        <v>45921</v>
      </c>
      <c r="G1700" s="2" t="s">
        <v>40</v>
      </c>
      <c r="H1700" s="2">
        <v>24</v>
      </c>
      <c r="I1700" s="2">
        <v>28</v>
      </c>
      <c r="J1700">
        <f t="shared" si="130"/>
        <v>5</v>
      </c>
      <c r="K1700">
        <f t="shared" si="131"/>
        <v>-3</v>
      </c>
      <c r="L1700" t="str">
        <f t="shared" si="132"/>
        <v>Yes</v>
      </c>
      <c r="M1700" t="str">
        <f t="shared" si="134"/>
        <v>No</v>
      </c>
      <c r="N1700" t="str">
        <f t="shared" si="133"/>
        <v>No</v>
      </c>
    </row>
    <row r="1701" spans="1:14" x14ac:dyDescent="0.3">
      <c r="A1701" s="4" t="s">
        <v>3419</v>
      </c>
      <c r="B1701" s="4" t="s">
        <v>3420</v>
      </c>
      <c r="C1701" s="4" t="s">
        <v>27</v>
      </c>
      <c r="D1701" s="5">
        <v>45917</v>
      </c>
      <c r="E1701" s="5">
        <v>45918</v>
      </c>
      <c r="F1701" s="5">
        <v>45930</v>
      </c>
      <c r="G1701" s="4" t="s">
        <v>11</v>
      </c>
      <c r="H1701" s="4">
        <v>1</v>
      </c>
      <c r="I1701" s="2">
        <v>5</v>
      </c>
      <c r="J1701">
        <f t="shared" si="130"/>
        <v>13</v>
      </c>
      <c r="K1701">
        <f t="shared" si="131"/>
        <v>12</v>
      </c>
      <c r="L1701" t="str">
        <f t="shared" si="132"/>
        <v>No</v>
      </c>
      <c r="M1701" t="str">
        <f t="shared" si="134"/>
        <v>No</v>
      </c>
      <c r="N1701" t="str">
        <f t="shared" si="133"/>
        <v>No</v>
      </c>
    </row>
    <row r="1702" spans="1:14" x14ac:dyDescent="0.3">
      <c r="A1702" s="2" t="s">
        <v>3421</v>
      </c>
      <c r="B1702" s="2" t="s">
        <v>3422</v>
      </c>
      <c r="C1702" s="2" t="s">
        <v>34</v>
      </c>
      <c r="D1702" s="3">
        <v>45916</v>
      </c>
      <c r="E1702" s="3">
        <v>45924</v>
      </c>
      <c r="F1702" s="3">
        <v>45925</v>
      </c>
      <c r="G1702" s="2" t="s">
        <v>40</v>
      </c>
      <c r="H1702" s="2">
        <v>16</v>
      </c>
      <c r="I1702" s="2">
        <v>17</v>
      </c>
      <c r="J1702">
        <f t="shared" si="130"/>
        <v>9</v>
      </c>
      <c r="K1702">
        <f t="shared" si="131"/>
        <v>1</v>
      </c>
      <c r="L1702" t="str">
        <f t="shared" si="132"/>
        <v>No</v>
      </c>
      <c r="M1702" t="str">
        <f t="shared" si="134"/>
        <v>No</v>
      </c>
      <c r="N1702" t="str">
        <f t="shared" si="133"/>
        <v>No</v>
      </c>
    </row>
    <row r="1703" spans="1:14" x14ac:dyDescent="0.3">
      <c r="A1703" s="4" t="s">
        <v>3423</v>
      </c>
      <c r="B1703" s="4" t="s">
        <v>3424</v>
      </c>
      <c r="C1703" s="4" t="s">
        <v>34</v>
      </c>
      <c r="D1703" s="5">
        <v>45916</v>
      </c>
      <c r="E1703" s="5">
        <v>45921</v>
      </c>
      <c r="F1703" s="5">
        <v>45922</v>
      </c>
      <c r="G1703" s="4" t="s">
        <v>11</v>
      </c>
      <c r="H1703" s="4">
        <v>21</v>
      </c>
      <c r="I1703" s="2">
        <v>21</v>
      </c>
      <c r="J1703">
        <f t="shared" si="130"/>
        <v>6</v>
      </c>
      <c r="K1703">
        <f t="shared" si="131"/>
        <v>1</v>
      </c>
      <c r="L1703" t="str">
        <f t="shared" si="132"/>
        <v>No</v>
      </c>
      <c r="M1703" t="str">
        <f t="shared" si="134"/>
        <v>Yes</v>
      </c>
      <c r="N1703" t="str">
        <f t="shared" si="133"/>
        <v>No</v>
      </c>
    </row>
    <row r="1704" spans="1:14" x14ac:dyDescent="0.3">
      <c r="A1704" s="2" t="s">
        <v>3425</v>
      </c>
      <c r="B1704" s="2" t="s">
        <v>3426</v>
      </c>
      <c r="C1704" s="2" t="s">
        <v>21</v>
      </c>
      <c r="D1704" s="3">
        <v>45916</v>
      </c>
      <c r="E1704" s="3">
        <v>45926</v>
      </c>
      <c r="F1704" s="3">
        <v>45922</v>
      </c>
      <c r="G1704" s="2" t="s">
        <v>15</v>
      </c>
      <c r="H1704" s="2">
        <v>38</v>
      </c>
      <c r="I1704" s="2">
        <v>38</v>
      </c>
      <c r="J1704">
        <f t="shared" si="130"/>
        <v>6</v>
      </c>
      <c r="K1704">
        <f t="shared" si="131"/>
        <v>-4</v>
      </c>
      <c r="L1704" t="str">
        <f t="shared" si="132"/>
        <v>Yes</v>
      </c>
      <c r="M1704" t="str">
        <f t="shared" si="134"/>
        <v>Yes</v>
      </c>
      <c r="N1704" t="str">
        <f t="shared" si="133"/>
        <v>Yes</v>
      </c>
    </row>
    <row r="1705" spans="1:14" x14ac:dyDescent="0.3">
      <c r="A1705" s="4" t="s">
        <v>3427</v>
      </c>
      <c r="B1705" s="4" t="s">
        <v>3428</v>
      </c>
      <c r="C1705" s="4" t="s">
        <v>27</v>
      </c>
      <c r="D1705" s="5">
        <v>45916</v>
      </c>
      <c r="E1705" s="5">
        <v>45922</v>
      </c>
      <c r="F1705" s="5">
        <v>45928</v>
      </c>
      <c r="G1705" s="4" t="s">
        <v>11</v>
      </c>
      <c r="H1705" s="4">
        <v>15</v>
      </c>
      <c r="I1705" s="2">
        <v>15</v>
      </c>
      <c r="J1705">
        <f t="shared" si="130"/>
        <v>12</v>
      </c>
      <c r="K1705">
        <f t="shared" si="131"/>
        <v>6</v>
      </c>
      <c r="L1705" t="str">
        <f t="shared" si="132"/>
        <v>No</v>
      </c>
      <c r="M1705" t="str">
        <f t="shared" si="134"/>
        <v>Yes</v>
      </c>
      <c r="N1705" t="str">
        <f t="shared" si="133"/>
        <v>No</v>
      </c>
    </row>
    <row r="1706" spans="1:14" x14ac:dyDescent="0.3">
      <c r="A1706" s="2" t="s">
        <v>3429</v>
      </c>
      <c r="B1706" s="2" t="s">
        <v>3430</v>
      </c>
      <c r="C1706" s="2" t="s">
        <v>27</v>
      </c>
      <c r="D1706" s="3">
        <v>45918</v>
      </c>
      <c r="E1706" s="3">
        <v>45922</v>
      </c>
      <c r="F1706" s="3">
        <v>45932</v>
      </c>
      <c r="G1706" s="2" t="s">
        <v>40</v>
      </c>
      <c r="H1706" s="2">
        <v>11</v>
      </c>
      <c r="I1706" s="2">
        <v>11</v>
      </c>
      <c r="J1706">
        <f t="shared" si="130"/>
        <v>14</v>
      </c>
      <c r="K1706">
        <f t="shared" si="131"/>
        <v>10</v>
      </c>
      <c r="L1706" t="str">
        <f t="shared" si="132"/>
        <v>No</v>
      </c>
      <c r="M1706" t="str">
        <f t="shared" si="134"/>
        <v>Yes</v>
      </c>
      <c r="N1706" t="str">
        <f t="shared" si="133"/>
        <v>No</v>
      </c>
    </row>
    <row r="1707" spans="1:14" x14ac:dyDescent="0.3">
      <c r="A1707" s="4" t="s">
        <v>3431</v>
      </c>
      <c r="B1707" s="4" t="s">
        <v>3432</v>
      </c>
      <c r="C1707" s="4" t="s">
        <v>37</v>
      </c>
      <c r="D1707" s="5">
        <v>45919</v>
      </c>
      <c r="E1707" s="5">
        <v>45923</v>
      </c>
      <c r="F1707" s="5">
        <v>45936</v>
      </c>
      <c r="G1707" s="4" t="s">
        <v>22</v>
      </c>
      <c r="H1707" s="4">
        <v>1</v>
      </c>
      <c r="I1707" s="2">
        <v>1</v>
      </c>
      <c r="J1707">
        <f t="shared" si="130"/>
        <v>17</v>
      </c>
      <c r="K1707">
        <f t="shared" si="131"/>
        <v>13</v>
      </c>
      <c r="L1707" t="str">
        <f t="shared" si="132"/>
        <v>No</v>
      </c>
      <c r="M1707" t="str">
        <f t="shared" si="134"/>
        <v>Yes</v>
      </c>
      <c r="N1707" t="str">
        <f t="shared" si="133"/>
        <v>No</v>
      </c>
    </row>
    <row r="1708" spans="1:14" x14ac:dyDescent="0.3">
      <c r="A1708" s="2" t="s">
        <v>3433</v>
      </c>
      <c r="B1708" s="2" t="s">
        <v>3434</v>
      </c>
      <c r="C1708" s="2" t="s">
        <v>37</v>
      </c>
      <c r="D1708" s="3">
        <v>45918</v>
      </c>
      <c r="E1708" s="3">
        <v>45925</v>
      </c>
      <c r="F1708" s="3">
        <v>45933</v>
      </c>
      <c r="G1708" s="2" t="s">
        <v>18</v>
      </c>
      <c r="H1708" s="2">
        <v>26</v>
      </c>
      <c r="I1708" s="2">
        <v>26</v>
      </c>
      <c r="J1708">
        <f t="shared" si="130"/>
        <v>15</v>
      </c>
      <c r="K1708">
        <f t="shared" si="131"/>
        <v>8</v>
      </c>
      <c r="L1708" t="str">
        <f t="shared" si="132"/>
        <v>No</v>
      </c>
      <c r="M1708" t="str">
        <f t="shared" si="134"/>
        <v>Yes</v>
      </c>
      <c r="N1708" t="str">
        <f t="shared" si="133"/>
        <v>No</v>
      </c>
    </row>
    <row r="1709" spans="1:14" x14ac:dyDescent="0.3">
      <c r="A1709" s="4" t="s">
        <v>3435</v>
      </c>
      <c r="B1709" s="4" t="s">
        <v>3436</v>
      </c>
      <c r="C1709" s="4" t="s">
        <v>72</v>
      </c>
      <c r="D1709" s="5">
        <v>45919</v>
      </c>
      <c r="E1709" s="5">
        <v>45926</v>
      </c>
      <c r="F1709" s="5">
        <v>45932</v>
      </c>
      <c r="G1709" s="4" t="s">
        <v>15</v>
      </c>
      <c r="H1709" s="4">
        <v>36</v>
      </c>
      <c r="I1709" s="2">
        <v>36</v>
      </c>
      <c r="J1709">
        <f t="shared" si="130"/>
        <v>13</v>
      </c>
      <c r="K1709">
        <f t="shared" si="131"/>
        <v>6</v>
      </c>
      <c r="L1709" t="str">
        <f t="shared" si="132"/>
        <v>No</v>
      </c>
      <c r="M1709" t="str">
        <f t="shared" si="134"/>
        <v>Yes</v>
      </c>
      <c r="N1709" t="str">
        <f t="shared" si="133"/>
        <v>No</v>
      </c>
    </row>
    <row r="1710" spans="1:14" x14ac:dyDescent="0.3">
      <c r="A1710" s="2" t="s">
        <v>3437</v>
      </c>
      <c r="B1710" s="2" t="s">
        <v>3438</v>
      </c>
      <c r="C1710" s="2" t="s">
        <v>14</v>
      </c>
      <c r="D1710" s="3">
        <v>45919</v>
      </c>
      <c r="E1710" s="3">
        <v>45922</v>
      </c>
      <c r="F1710" s="3">
        <v>45934</v>
      </c>
      <c r="G1710" s="2" t="s">
        <v>11</v>
      </c>
      <c r="H1710" s="2">
        <v>14</v>
      </c>
      <c r="I1710" s="2">
        <v>19</v>
      </c>
      <c r="J1710">
        <f t="shared" si="130"/>
        <v>15</v>
      </c>
      <c r="K1710">
        <f t="shared" si="131"/>
        <v>12</v>
      </c>
      <c r="L1710" t="str">
        <f t="shared" si="132"/>
        <v>No</v>
      </c>
      <c r="M1710" t="str">
        <f t="shared" si="134"/>
        <v>No</v>
      </c>
      <c r="N1710" t="str">
        <f t="shared" si="133"/>
        <v>No</v>
      </c>
    </row>
    <row r="1711" spans="1:14" x14ac:dyDescent="0.3">
      <c r="A1711" s="4" t="s">
        <v>3439</v>
      </c>
      <c r="B1711" s="4" t="s">
        <v>3440</v>
      </c>
      <c r="C1711" s="4" t="s">
        <v>59</v>
      </c>
      <c r="D1711" s="5">
        <v>45919</v>
      </c>
      <c r="E1711" s="5">
        <v>45921</v>
      </c>
      <c r="F1711" s="5">
        <v>45923</v>
      </c>
      <c r="G1711" s="4" t="s">
        <v>15</v>
      </c>
      <c r="H1711" s="4">
        <v>8</v>
      </c>
      <c r="I1711" s="2">
        <v>14</v>
      </c>
      <c r="J1711">
        <f t="shared" si="130"/>
        <v>4</v>
      </c>
      <c r="K1711">
        <f t="shared" si="131"/>
        <v>2</v>
      </c>
      <c r="L1711" t="str">
        <f t="shared" si="132"/>
        <v>No</v>
      </c>
      <c r="M1711" t="str">
        <f t="shared" si="134"/>
        <v>No</v>
      </c>
      <c r="N1711" t="str">
        <f t="shared" si="133"/>
        <v>No</v>
      </c>
    </row>
    <row r="1712" spans="1:14" x14ac:dyDescent="0.3">
      <c r="A1712" s="2" t="s">
        <v>3441</v>
      </c>
      <c r="B1712" s="2" t="s">
        <v>3442</v>
      </c>
      <c r="C1712" s="2" t="s">
        <v>21</v>
      </c>
      <c r="D1712" s="3">
        <v>45919</v>
      </c>
      <c r="E1712" s="3">
        <v>45923</v>
      </c>
      <c r="F1712" s="3">
        <v>45924</v>
      </c>
      <c r="G1712" s="2" t="s">
        <v>22</v>
      </c>
      <c r="H1712" s="2">
        <v>55</v>
      </c>
      <c r="I1712" s="2">
        <v>55</v>
      </c>
      <c r="J1712">
        <f t="shared" si="130"/>
        <v>5</v>
      </c>
      <c r="K1712">
        <f t="shared" si="131"/>
        <v>1</v>
      </c>
      <c r="L1712" t="str">
        <f t="shared" si="132"/>
        <v>No</v>
      </c>
      <c r="M1712" t="str">
        <f t="shared" si="134"/>
        <v>Yes</v>
      </c>
      <c r="N1712" t="str">
        <f t="shared" si="133"/>
        <v>No</v>
      </c>
    </row>
    <row r="1713" spans="1:14" x14ac:dyDescent="0.3">
      <c r="A1713" s="4" t="s">
        <v>3443</v>
      </c>
      <c r="B1713" s="4" t="s">
        <v>3444</v>
      </c>
      <c r="C1713" s="4" t="s">
        <v>21</v>
      </c>
      <c r="D1713" s="5">
        <v>45917</v>
      </c>
      <c r="E1713" s="5">
        <v>45921</v>
      </c>
      <c r="F1713" s="5">
        <v>45923</v>
      </c>
      <c r="G1713" s="4" t="s">
        <v>15</v>
      </c>
      <c r="H1713" s="4">
        <v>36</v>
      </c>
      <c r="I1713" s="2">
        <v>36</v>
      </c>
      <c r="J1713">
        <f t="shared" si="130"/>
        <v>6</v>
      </c>
      <c r="K1713">
        <f t="shared" si="131"/>
        <v>2</v>
      </c>
      <c r="L1713" t="str">
        <f t="shared" si="132"/>
        <v>No</v>
      </c>
      <c r="M1713" t="str">
        <f t="shared" si="134"/>
        <v>Yes</v>
      </c>
      <c r="N1713" t="str">
        <f t="shared" si="133"/>
        <v>No</v>
      </c>
    </row>
    <row r="1714" spans="1:14" x14ac:dyDescent="0.3">
      <c r="A1714" s="2" t="s">
        <v>3445</v>
      </c>
      <c r="B1714" s="2" t="s">
        <v>3446</v>
      </c>
      <c r="C1714" s="2" t="s">
        <v>27</v>
      </c>
      <c r="D1714" s="3">
        <v>45918</v>
      </c>
      <c r="E1714" s="3">
        <v>45920</v>
      </c>
      <c r="F1714" s="3">
        <v>45932</v>
      </c>
      <c r="G1714" s="2" t="s">
        <v>22</v>
      </c>
      <c r="H1714" s="2">
        <v>12</v>
      </c>
      <c r="I1714" s="2">
        <v>12</v>
      </c>
      <c r="J1714">
        <f t="shared" si="130"/>
        <v>14</v>
      </c>
      <c r="K1714">
        <f t="shared" si="131"/>
        <v>12</v>
      </c>
      <c r="L1714" t="str">
        <f t="shared" si="132"/>
        <v>No</v>
      </c>
      <c r="M1714" t="str">
        <f t="shared" si="134"/>
        <v>Yes</v>
      </c>
      <c r="N1714" t="str">
        <f t="shared" si="133"/>
        <v>No</v>
      </c>
    </row>
    <row r="1715" spans="1:14" x14ac:dyDescent="0.3">
      <c r="A1715" s="4" t="s">
        <v>3447</v>
      </c>
      <c r="B1715" s="4" t="s">
        <v>3448</v>
      </c>
      <c r="C1715" s="4" t="s">
        <v>34</v>
      </c>
      <c r="D1715" s="5">
        <v>45919</v>
      </c>
      <c r="E1715" s="5">
        <v>45927</v>
      </c>
      <c r="F1715" s="5">
        <v>45928</v>
      </c>
      <c r="G1715" s="4" t="s">
        <v>40</v>
      </c>
      <c r="H1715" s="4">
        <v>9</v>
      </c>
      <c r="I1715" s="2">
        <v>9</v>
      </c>
      <c r="J1715">
        <f t="shared" si="130"/>
        <v>9</v>
      </c>
      <c r="K1715">
        <f t="shared" si="131"/>
        <v>1</v>
      </c>
      <c r="L1715" t="str">
        <f t="shared" si="132"/>
        <v>No</v>
      </c>
      <c r="M1715" t="str">
        <f t="shared" si="134"/>
        <v>Yes</v>
      </c>
      <c r="N1715" t="str">
        <f t="shared" si="133"/>
        <v>No</v>
      </c>
    </row>
    <row r="1716" spans="1:14" x14ac:dyDescent="0.3">
      <c r="A1716" s="2" t="s">
        <v>3449</v>
      </c>
      <c r="B1716" s="2" t="s">
        <v>3450</v>
      </c>
      <c r="C1716" s="2" t="s">
        <v>34</v>
      </c>
      <c r="D1716" s="3">
        <v>45920</v>
      </c>
      <c r="E1716" s="3">
        <v>45925</v>
      </c>
      <c r="F1716" s="3">
        <v>45926</v>
      </c>
      <c r="G1716" s="2" t="s">
        <v>18</v>
      </c>
      <c r="H1716" s="2">
        <v>32</v>
      </c>
      <c r="I1716" s="2">
        <v>32</v>
      </c>
      <c r="J1716">
        <f t="shared" si="130"/>
        <v>6</v>
      </c>
      <c r="K1716">
        <f t="shared" si="131"/>
        <v>1</v>
      </c>
      <c r="L1716" t="str">
        <f t="shared" si="132"/>
        <v>No</v>
      </c>
      <c r="M1716" t="str">
        <f t="shared" si="134"/>
        <v>Yes</v>
      </c>
      <c r="N1716" t="str">
        <f t="shared" si="133"/>
        <v>No</v>
      </c>
    </row>
    <row r="1717" spans="1:14" x14ac:dyDescent="0.3">
      <c r="A1717" s="4" t="s">
        <v>3451</v>
      </c>
      <c r="B1717" s="4" t="s">
        <v>3452</v>
      </c>
      <c r="C1717" s="4" t="s">
        <v>59</v>
      </c>
      <c r="D1717" s="5">
        <v>45918</v>
      </c>
      <c r="E1717" s="5">
        <v>45926</v>
      </c>
      <c r="F1717" s="5">
        <v>45924</v>
      </c>
      <c r="G1717" s="4" t="s">
        <v>22</v>
      </c>
      <c r="H1717" s="4">
        <v>14</v>
      </c>
      <c r="I1717" s="2">
        <v>14</v>
      </c>
      <c r="J1717">
        <f t="shared" si="130"/>
        <v>6</v>
      </c>
      <c r="K1717">
        <f t="shared" si="131"/>
        <v>-2</v>
      </c>
      <c r="L1717" t="str">
        <f t="shared" si="132"/>
        <v>Yes</v>
      </c>
      <c r="M1717" t="str">
        <f t="shared" si="134"/>
        <v>Yes</v>
      </c>
      <c r="N1717" t="str">
        <f t="shared" si="133"/>
        <v>Yes</v>
      </c>
    </row>
    <row r="1718" spans="1:14" x14ac:dyDescent="0.3">
      <c r="A1718" s="2" t="s">
        <v>3453</v>
      </c>
      <c r="B1718" s="2" t="s">
        <v>3454</v>
      </c>
      <c r="C1718" s="2" t="s">
        <v>21</v>
      </c>
      <c r="D1718" s="3">
        <v>45920</v>
      </c>
      <c r="E1718" s="3">
        <v>45923</v>
      </c>
      <c r="F1718" s="3">
        <v>45927</v>
      </c>
      <c r="G1718" s="2" t="s">
        <v>40</v>
      </c>
      <c r="H1718" s="2">
        <v>27</v>
      </c>
      <c r="I1718" s="2">
        <v>27</v>
      </c>
      <c r="J1718">
        <f t="shared" si="130"/>
        <v>7</v>
      </c>
      <c r="K1718">
        <f t="shared" si="131"/>
        <v>4</v>
      </c>
      <c r="L1718" t="str">
        <f t="shared" si="132"/>
        <v>No</v>
      </c>
      <c r="M1718" t="str">
        <f t="shared" si="134"/>
        <v>Yes</v>
      </c>
      <c r="N1718" t="str">
        <f t="shared" si="133"/>
        <v>No</v>
      </c>
    </row>
    <row r="1719" spans="1:14" x14ac:dyDescent="0.3">
      <c r="A1719" s="4" t="s">
        <v>3455</v>
      </c>
      <c r="B1719" s="4" t="s">
        <v>3456</v>
      </c>
      <c r="C1719" s="4" t="s">
        <v>27</v>
      </c>
      <c r="D1719" s="5">
        <v>45918</v>
      </c>
      <c r="E1719" s="5">
        <v>45921</v>
      </c>
      <c r="F1719" s="5">
        <v>45930</v>
      </c>
      <c r="G1719" s="4" t="s">
        <v>18</v>
      </c>
      <c r="H1719" s="4">
        <v>12</v>
      </c>
      <c r="I1719" s="2">
        <v>12</v>
      </c>
      <c r="J1719">
        <f t="shared" si="130"/>
        <v>12</v>
      </c>
      <c r="K1719">
        <f t="shared" si="131"/>
        <v>9</v>
      </c>
      <c r="L1719" t="str">
        <f t="shared" si="132"/>
        <v>No</v>
      </c>
      <c r="M1719" t="str">
        <f t="shared" si="134"/>
        <v>Yes</v>
      </c>
      <c r="N1719" t="str">
        <f t="shared" si="133"/>
        <v>No</v>
      </c>
    </row>
    <row r="1720" spans="1:14" x14ac:dyDescent="0.3">
      <c r="A1720" s="2" t="s">
        <v>3457</v>
      </c>
      <c r="B1720" s="2" t="s">
        <v>3458</v>
      </c>
      <c r="C1720" s="2" t="s">
        <v>37</v>
      </c>
      <c r="D1720" s="3">
        <v>45920</v>
      </c>
      <c r="E1720" s="3">
        <v>45926</v>
      </c>
      <c r="F1720" s="3">
        <v>45934</v>
      </c>
      <c r="G1720" s="2" t="s">
        <v>22</v>
      </c>
      <c r="H1720" s="2">
        <v>41</v>
      </c>
      <c r="I1720" s="2">
        <v>41</v>
      </c>
      <c r="J1720">
        <f t="shared" si="130"/>
        <v>14</v>
      </c>
      <c r="K1720">
        <f t="shared" si="131"/>
        <v>8</v>
      </c>
      <c r="L1720" t="str">
        <f t="shared" si="132"/>
        <v>No</v>
      </c>
      <c r="M1720" t="str">
        <f t="shared" si="134"/>
        <v>Yes</v>
      </c>
      <c r="N1720" t="str">
        <f t="shared" si="133"/>
        <v>No</v>
      </c>
    </row>
    <row r="1721" spans="1:14" x14ac:dyDescent="0.3">
      <c r="A1721" s="4" t="s">
        <v>3459</v>
      </c>
      <c r="B1721" s="4" t="s">
        <v>3460</v>
      </c>
      <c r="C1721" s="4" t="s">
        <v>34</v>
      </c>
      <c r="D1721" s="5">
        <v>45919</v>
      </c>
      <c r="E1721" s="5">
        <v>45929</v>
      </c>
      <c r="F1721" s="5">
        <v>45930</v>
      </c>
      <c r="G1721" s="4" t="s">
        <v>22</v>
      </c>
      <c r="H1721" s="4">
        <v>26</v>
      </c>
      <c r="I1721" s="2">
        <v>26</v>
      </c>
      <c r="J1721">
        <f t="shared" si="130"/>
        <v>11</v>
      </c>
      <c r="K1721">
        <f t="shared" si="131"/>
        <v>1</v>
      </c>
      <c r="L1721" t="str">
        <f t="shared" si="132"/>
        <v>No</v>
      </c>
      <c r="M1721" t="str">
        <f t="shared" si="134"/>
        <v>Yes</v>
      </c>
      <c r="N1721" t="str">
        <f t="shared" si="133"/>
        <v>No</v>
      </c>
    </row>
    <row r="1722" spans="1:14" x14ac:dyDescent="0.3">
      <c r="A1722" s="2" t="s">
        <v>3461</v>
      </c>
      <c r="B1722" s="2" t="s">
        <v>3462</v>
      </c>
      <c r="C1722" s="2" t="s">
        <v>59</v>
      </c>
      <c r="D1722" s="3">
        <v>45919</v>
      </c>
      <c r="E1722" s="3">
        <v>45924</v>
      </c>
      <c r="F1722" s="3">
        <v>45924</v>
      </c>
      <c r="G1722" s="2" t="s">
        <v>15</v>
      </c>
      <c r="H1722" s="2">
        <v>12</v>
      </c>
      <c r="I1722" s="2">
        <v>12</v>
      </c>
      <c r="J1722">
        <f t="shared" si="130"/>
        <v>5</v>
      </c>
      <c r="K1722">
        <f t="shared" si="131"/>
        <v>0</v>
      </c>
      <c r="L1722" t="str">
        <f t="shared" si="132"/>
        <v>Yes</v>
      </c>
      <c r="M1722" t="str">
        <f t="shared" si="134"/>
        <v>Yes</v>
      </c>
      <c r="N1722" t="str">
        <f t="shared" si="133"/>
        <v>Yes</v>
      </c>
    </row>
    <row r="1723" spans="1:14" x14ac:dyDescent="0.3">
      <c r="A1723" s="4" t="s">
        <v>3463</v>
      </c>
      <c r="B1723" s="4" t="s">
        <v>3464</v>
      </c>
      <c r="C1723" s="4" t="s">
        <v>21</v>
      </c>
      <c r="D1723" s="5">
        <v>45920</v>
      </c>
      <c r="E1723" s="5">
        <v>45926</v>
      </c>
      <c r="F1723" s="5">
        <v>45927</v>
      </c>
      <c r="G1723" s="4" t="s">
        <v>11</v>
      </c>
      <c r="H1723" s="4">
        <v>49</v>
      </c>
      <c r="I1723" s="2">
        <v>49</v>
      </c>
      <c r="J1723">
        <f t="shared" si="130"/>
        <v>7</v>
      </c>
      <c r="K1723">
        <f t="shared" si="131"/>
        <v>1</v>
      </c>
      <c r="L1723" t="str">
        <f t="shared" si="132"/>
        <v>No</v>
      </c>
      <c r="M1723" t="str">
        <f t="shared" si="134"/>
        <v>Yes</v>
      </c>
      <c r="N1723" t="str">
        <f t="shared" si="133"/>
        <v>No</v>
      </c>
    </row>
    <row r="1724" spans="1:14" x14ac:dyDescent="0.3">
      <c r="A1724" s="2" t="s">
        <v>3465</v>
      </c>
      <c r="B1724" s="2" t="s">
        <v>3466</v>
      </c>
      <c r="C1724" s="2" t="s">
        <v>21</v>
      </c>
      <c r="D1724" s="3">
        <v>45919</v>
      </c>
      <c r="E1724" s="3">
        <v>45926</v>
      </c>
      <c r="F1724" s="3">
        <v>45927</v>
      </c>
      <c r="G1724" s="2" t="s">
        <v>18</v>
      </c>
      <c r="H1724" s="2">
        <v>25</v>
      </c>
      <c r="I1724" s="2">
        <v>25</v>
      </c>
      <c r="J1724">
        <f t="shared" si="130"/>
        <v>8</v>
      </c>
      <c r="K1724">
        <f t="shared" si="131"/>
        <v>1</v>
      </c>
      <c r="L1724" t="str">
        <f t="shared" si="132"/>
        <v>No</v>
      </c>
      <c r="M1724" t="str">
        <f t="shared" si="134"/>
        <v>Yes</v>
      </c>
      <c r="N1724" t="str">
        <f t="shared" si="133"/>
        <v>No</v>
      </c>
    </row>
    <row r="1725" spans="1:14" x14ac:dyDescent="0.3">
      <c r="A1725" s="4" t="s">
        <v>3467</v>
      </c>
      <c r="B1725" s="4" t="s">
        <v>3468</v>
      </c>
      <c r="C1725" s="4" t="s">
        <v>27</v>
      </c>
      <c r="D1725" s="5">
        <v>45921</v>
      </c>
      <c r="E1725" s="5">
        <v>45924</v>
      </c>
      <c r="F1725" s="5">
        <v>45934</v>
      </c>
      <c r="G1725" s="4" t="s">
        <v>18</v>
      </c>
      <c r="H1725" s="4">
        <v>30</v>
      </c>
      <c r="I1725" s="2">
        <v>30</v>
      </c>
      <c r="J1725">
        <f t="shared" si="130"/>
        <v>13</v>
      </c>
      <c r="K1725">
        <f t="shared" si="131"/>
        <v>10</v>
      </c>
      <c r="L1725" t="str">
        <f t="shared" si="132"/>
        <v>No</v>
      </c>
      <c r="M1725" t="str">
        <f t="shared" si="134"/>
        <v>Yes</v>
      </c>
      <c r="N1725" t="str">
        <f t="shared" si="133"/>
        <v>No</v>
      </c>
    </row>
    <row r="1726" spans="1:14" x14ac:dyDescent="0.3">
      <c r="A1726" s="2" t="s">
        <v>3469</v>
      </c>
      <c r="B1726" s="2" t="s">
        <v>3470</v>
      </c>
      <c r="C1726" s="2" t="s">
        <v>37</v>
      </c>
      <c r="D1726" s="3">
        <v>45920</v>
      </c>
      <c r="E1726" s="3">
        <v>45925</v>
      </c>
      <c r="F1726" s="3">
        <v>45932</v>
      </c>
      <c r="G1726" s="2" t="s">
        <v>40</v>
      </c>
      <c r="H1726" s="2">
        <v>42</v>
      </c>
      <c r="I1726" s="2">
        <v>42</v>
      </c>
      <c r="J1726">
        <f t="shared" si="130"/>
        <v>12</v>
      </c>
      <c r="K1726">
        <f t="shared" si="131"/>
        <v>7</v>
      </c>
      <c r="L1726" t="str">
        <f t="shared" si="132"/>
        <v>No</v>
      </c>
      <c r="M1726" t="str">
        <f t="shared" si="134"/>
        <v>Yes</v>
      </c>
      <c r="N1726" t="str">
        <f t="shared" si="133"/>
        <v>No</v>
      </c>
    </row>
    <row r="1727" spans="1:14" x14ac:dyDescent="0.3">
      <c r="A1727" s="4" t="s">
        <v>3471</v>
      </c>
      <c r="B1727" s="4" t="s">
        <v>3472</v>
      </c>
      <c r="C1727" s="4" t="s">
        <v>14</v>
      </c>
      <c r="D1727" s="5">
        <v>45922</v>
      </c>
      <c r="E1727" s="5">
        <v>45923</v>
      </c>
      <c r="F1727" s="5">
        <v>45938</v>
      </c>
      <c r="G1727" s="4" t="s">
        <v>18</v>
      </c>
      <c r="H1727" s="4">
        <v>22</v>
      </c>
      <c r="I1727" s="2">
        <v>22</v>
      </c>
      <c r="J1727">
        <f t="shared" si="130"/>
        <v>16</v>
      </c>
      <c r="K1727">
        <f t="shared" si="131"/>
        <v>15</v>
      </c>
      <c r="L1727" t="str">
        <f t="shared" si="132"/>
        <v>No</v>
      </c>
      <c r="M1727" t="str">
        <f t="shared" si="134"/>
        <v>Yes</v>
      </c>
      <c r="N1727" t="str">
        <f t="shared" si="133"/>
        <v>No</v>
      </c>
    </row>
    <row r="1728" spans="1:14" x14ac:dyDescent="0.3">
      <c r="A1728" s="2" t="s">
        <v>3473</v>
      </c>
      <c r="B1728" s="2" t="s">
        <v>3474</v>
      </c>
      <c r="C1728" s="2" t="s">
        <v>14</v>
      </c>
      <c r="D1728" s="3">
        <v>45920</v>
      </c>
      <c r="E1728" s="3">
        <v>45930</v>
      </c>
      <c r="F1728" s="3">
        <v>45936</v>
      </c>
      <c r="G1728" s="2" t="s">
        <v>40</v>
      </c>
      <c r="H1728" s="2">
        <v>54</v>
      </c>
      <c r="I1728" s="2">
        <v>54</v>
      </c>
      <c r="J1728">
        <f t="shared" si="130"/>
        <v>16</v>
      </c>
      <c r="K1728">
        <f t="shared" si="131"/>
        <v>6</v>
      </c>
      <c r="L1728" t="str">
        <f t="shared" si="132"/>
        <v>No</v>
      </c>
      <c r="M1728" t="str">
        <f t="shared" si="134"/>
        <v>Yes</v>
      </c>
      <c r="N1728" t="str">
        <f t="shared" si="133"/>
        <v>No</v>
      </c>
    </row>
    <row r="1729" spans="1:14" x14ac:dyDescent="0.3">
      <c r="A1729" s="4" t="s">
        <v>3475</v>
      </c>
      <c r="B1729" s="4" t="s">
        <v>3476</v>
      </c>
      <c r="C1729" s="4" t="s">
        <v>21</v>
      </c>
      <c r="D1729" s="5">
        <v>45920</v>
      </c>
      <c r="E1729" s="5">
        <v>45924</v>
      </c>
      <c r="F1729" s="5">
        <v>45926</v>
      </c>
      <c r="G1729" s="4" t="s">
        <v>18</v>
      </c>
      <c r="H1729" s="4">
        <v>27</v>
      </c>
      <c r="I1729" s="2">
        <v>33</v>
      </c>
      <c r="J1729">
        <f t="shared" si="130"/>
        <v>6</v>
      </c>
      <c r="K1729">
        <f t="shared" si="131"/>
        <v>2</v>
      </c>
      <c r="L1729" t="str">
        <f t="shared" si="132"/>
        <v>No</v>
      </c>
      <c r="M1729" t="str">
        <f t="shared" si="134"/>
        <v>No</v>
      </c>
      <c r="N1729" t="str">
        <f t="shared" si="133"/>
        <v>No</v>
      </c>
    </row>
    <row r="1730" spans="1:14" x14ac:dyDescent="0.3">
      <c r="A1730" s="2" t="s">
        <v>3477</v>
      </c>
      <c r="B1730" s="2" t="s">
        <v>3478</v>
      </c>
      <c r="C1730" s="2" t="s">
        <v>21</v>
      </c>
      <c r="D1730" s="3">
        <v>45922</v>
      </c>
      <c r="E1730" s="3">
        <v>45925</v>
      </c>
      <c r="F1730" s="3">
        <v>45929</v>
      </c>
      <c r="G1730" s="2" t="s">
        <v>40</v>
      </c>
      <c r="H1730" s="2">
        <v>29</v>
      </c>
      <c r="I1730" s="2">
        <v>29</v>
      </c>
      <c r="J1730">
        <f t="shared" si="130"/>
        <v>7</v>
      </c>
      <c r="K1730">
        <f t="shared" si="131"/>
        <v>4</v>
      </c>
      <c r="L1730" t="str">
        <f t="shared" si="132"/>
        <v>No</v>
      </c>
      <c r="M1730" t="str">
        <f t="shared" si="134"/>
        <v>Yes</v>
      </c>
      <c r="N1730" t="str">
        <f t="shared" si="133"/>
        <v>No</v>
      </c>
    </row>
    <row r="1731" spans="1:14" x14ac:dyDescent="0.3">
      <c r="A1731" s="4" t="s">
        <v>3479</v>
      </c>
      <c r="B1731" s="4" t="s">
        <v>3480</v>
      </c>
      <c r="C1731" s="4" t="s">
        <v>27</v>
      </c>
      <c r="D1731" s="5">
        <v>45921</v>
      </c>
      <c r="E1731" s="5">
        <v>45924</v>
      </c>
      <c r="F1731" s="5">
        <v>45938</v>
      </c>
      <c r="G1731" s="4" t="s">
        <v>18</v>
      </c>
      <c r="H1731" s="4">
        <v>10</v>
      </c>
      <c r="I1731" s="2">
        <v>10</v>
      </c>
      <c r="J1731">
        <f t="shared" ref="J1731:J1794" si="135">F1731-D1731</f>
        <v>17</v>
      </c>
      <c r="K1731">
        <f t="shared" ref="K1731:K1794" si="136">F1731-E1731</f>
        <v>14</v>
      </c>
      <c r="L1731" t="str">
        <f t="shared" ref="L1731:L1794" si="137">IF(K1731&lt;=0,"Yes","No")</f>
        <v>No</v>
      </c>
      <c r="M1731" t="str">
        <f t="shared" si="134"/>
        <v>Yes</v>
      </c>
      <c r="N1731" t="str">
        <f t="shared" ref="N1731:N1794" si="138">IF(AND(L1731="Yes",M1731="Yes"),"Yes","No")</f>
        <v>No</v>
      </c>
    </row>
    <row r="1732" spans="1:14" x14ac:dyDescent="0.3">
      <c r="A1732" s="2" t="s">
        <v>3481</v>
      </c>
      <c r="B1732" s="2" t="s">
        <v>3482</v>
      </c>
      <c r="C1732" s="2" t="s">
        <v>37</v>
      </c>
      <c r="D1732" s="3">
        <v>45921</v>
      </c>
      <c r="E1732" s="3">
        <v>45925</v>
      </c>
      <c r="F1732" s="3">
        <v>45938</v>
      </c>
      <c r="G1732" s="2" t="s">
        <v>40</v>
      </c>
      <c r="H1732" s="2">
        <v>12</v>
      </c>
      <c r="I1732" s="2">
        <v>12</v>
      </c>
      <c r="J1732">
        <f t="shared" si="135"/>
        <v>17</v>
      </c>
      <c r="K1732">
        <f t="shared" si="136"/>
        <v>13</v>
      </c>
      <c r="L1732" t="str">
        <f t="shared" si="137"/>
        <v>No</v>
      </c>
      <c r="M1732" t="str">
        <f t="shared" ref="M1732:M1795" si="139">IF(H1732=I1732,"Yes","No")</f>
        <v>Yes</v>
      </c>
      <c r="N1732" t="str">
        <f t="shared" si="138"/>
        <v>No</v>
      </c>
    </row>
    <row r="1733" spans="1:14" x14ac:dyDescent="0.3">
      <c r="A1733" s="4" t="s">
        <v>3483</v>
      </c>
      <c r="B1733" s="4" t="s">
        <v>3484</v>
      </c>
      <c r="C1733" s="4" t="s">
        <v>10</v>
      </c>
      <c r="D1733" s="5">
        <v>45922</v>
      </c>
      <c r="E1733" s="5">
        <v>45925</v>
      </c>
      <c r="F1733" s="5">
        <v>45927</v>
      </c>
      <c r="G1733" s="4" t="s">
        <v>18</v>
      </c>
      <c r="H1733" s="4">
        <v>9</v>
      </c>
      <c r="I1733" s="2">
        <v>9</v>
      </c>
      <c r="J1733">
        <f t="shared" si="135"/>
        <v>5</v>
      </c>
      <c r="K1733">
        <f t="shared" si="136"/>
        <v>2</v>
      </c>
      <c r="L1733" t="str">
        <f t="shared" si="137"/>
        <v>No</v>
      </c>
      <c r="M1733" t="str">
        <f t="shared" si="139"/>
        <v>Yes</v>
      </c>
      <c r="N1733" t="str">
        <f t="shared" si="138"/>
        <v>No</v>
      </c>
    </row>
    <row r="1734" spans="1:14" x14ac:dyDescent="0.3">
      <c r="A1734" s="2" t="s">
        <v>3485</v>
      </c>
      <c r="B1734" s="2" t="s">
        <v>3486</v>
      </c>
      <c r="C1734" s="2" t="s">
        <v>10</v>
      </c>
      <c r="D1734" s="3">
        <v>45923</v>
      </c>
      <c r="E1734" s="3">
        <v>45924</v>
      </c>
      <c r="F1734" s="3">
        <v>45930</v>
      </c>
      <c r="G1734" s="2" t="s">
        <v>22</v>
      </c>
      <c r="H1734" s="2">
        <v>10</v>
      </c>
      <c r="I1734" s="2">
        <v>10</v>
      </c>
      <c r="J1734">
        <f t="shared" si="135"/>
        <v>7</v>
      </c>
      <c r="K1734">
        <f t="shared" si="136"/>
        <v>6</v>
      </c>
      <c r="L1734" t="str">
        <f t="shared" si="137"/>
        <v>No</v>
      </c>
      <c r="M1734" t="str">
        <f t="shared" si="139"/>
        <v>Yes</v>
      </c>
      <c r="N1734" t="str">
        <f t="shared" si="138"/>
        <v>No</v>
      </c>
    </row>
    <row r="1735" spans="1:14" x14ac:dyDescent="0.3">
      <c r="A1735" s="4" t="s">
        <v>3487</v>
      </c>
      <c r="B1735" s="4" t="s">
        <v>3488</v>
      </c>
      <c r="C1735" s="4" t="s">
        <v>72</v>
      </c>
      <c r="D1735" s="5">
        <v>45921</v>
      </c>
      <c r="E1735" s="5">
        <v>45930</v>
      </c>
      <c r="F1735" s="5">
        <v>45939</v>
      </c>
      <c r="G1735" s="4" t="s">
        <v>22</v>
      </c>
      <c r="H1735" s="4">
        <v>10</v>
      </c>
      <c r="I1735" s="2">
        <v>10</v>
      </c>
      <c r="J1735">
        <f t="shared" si="135"/>
        <v>18</v>
      </c>
      <c r="K1735">
        <f t="shared" si="136"/>
        <v>9</v>
      </c>
      <c r="L1735" t="str">
        <f t="shared" si="137"/>
        <v>No</v>
      </c>
      <c r="M1735" t="str">
        <f t="shared" si="139"/>
        <v>Yes</v>
      </c>
      <c r="N1735" t="str">
        <f t="shared" si="138"/>
        <v>No</v>
      </c>
    </row>
    <row r="1736" spans="1:14" x14ac:dyDescent="0.3">
      <c r="A1736" s="2" t="s">
        <v>3489</v>
      </c>
      <c r="B1736" s="2" t="s">
        <v>3490</v>
      </c>
      <c r="C1736" s="2" t="s">
        <v>14</v>
      </c>
      <c r="D1736" s="3">
        <v>45923</v>
      </c>
      <c r="E1736" s="3">
        <v>45931</v>
      </c>
      <c r="F1736" s="3">
        <v>45939</v>
      </c>
      <c r="G1736" s="2" t="s">
        <v>15</v>
      </c>
      <c r="H1736" s="2">
        <v>16</v>
      </c>
      <c r="I1736" s="2">
        <v>19</v>
      </c>
      <c r="J1736">
        <f t="shared" si="135"/>
        <v>16</v>
      </c>
      <c r="K1736">
        <f t="shared" si="136"/>
        <v>8</v>
      </c>
      <c r="L1736" t="str">
        <f t="shared" si="137"/>
        <v>No</v>
      </c>
      <c r="M1736" t="str">
        <f t="shared" si="139"/>
        <v>No</v>
      </c>
      <c r="N1736" t="str">
        <f t="shared" si="138"/>
        <v>No</v>
      </c>
    </row>
    <row r="1737" spans="1:14" x14ac:dyDescent="0.3">
      <c r="A1737" s="4" t="s">
        <v>3491</v>
      </c>
      <c r="B1737" s="4" t="s">
        <v>3492</v>
      </c>
      <c r="C1737" s="4" t="s">
        <v>14</v>
      </c>
      <c r="D1737" s="5">
        <v>45922</v>
      </c>
      <c r="E1737" s="5">
        <v>45925</v>
      </c>
      <c r="F1737" s="5">
        <v>45938</v>
      </c>
      <c r="G1737" s="4" t="s">
        <v>18</v>
      </c>
      <c r="H1737" s="4">
        <v>61</v>
      </c>
      <c r="I1737" s="2">
        <v>61</v>
      </c>
      <c r="J1737">
        <f t="shared" si="135"/>
        <v>16</v>
      </c>
      <c r="K1737">
        <f t="shared" si="136"/>
        <v>13</v>
      </c>
      <c r="L1737" t="str">
        <f t="shared" si="137"/>
        <v>No</v>
      </c>
      <c r="M1737" t="str">
        <f t="shared" si="139"/>
        <v>Yes</v>
      </c>
      <c r="N1737" t="str">
        <f t="shared" si="138"/>
        <v>No</v>
      </c>
    </row>
    <row r="1738" spans="1:14" x14ac:dyDescent="0.3">
      <c r="A1738" s="2" t="s">
        <v>3493</v>
      </c>
      <c r="B1738" s="2" t="s">
        <v>3494</v>
      </c>
      <c r="C1738" s="2" t="s">
        <v>59</v>
      </c>
      <c r="D1738" s="3">
        <v>45922</v>
      </c>
      <c r="E1738" s="3">
        <v>45927</v>
      </c>
      <c r="F1738" s="3">
        <v>45926</v>
      </c>
      <c r="G1738" s="2" t="s">
        <v>15</v>
      </c>
      <c r="H1738" s="2">
        <v>27</v>
      </c>
      <c r="I1738" s="2">
        <v>27</v>
      </c>
      <c r="J1738">
        <f t="shared" si="135"/>
        <v>4</v>
      </c>
      <c r="K1738">
        <f t="shared" si="136"/>
        <v>-1</v>
      </c>
      <c r="L1738" t="str">
        <f t="shared" si="137"/>
        <v>Yes</v>
      </c>
      <c r="M1738" t="str">
        <f t="shared" si="139"/>
        <v>Yes</v>
      </c>
      <c r="N1738" t="str">
        <f t="shared" si="138"/>
        <v>Yes</v>
      </c>
    </row>
    <row r="1739" spans="1:14" x14ac:dyDescent="0.3">
      <c r="A1739" s="4" t="s">
        <v>3495</v>
      </c>
      <c r="B1739" s="4" t="s">
        <v>3496</v>
      </c>
      <c r="C1739" s="4" t="s">
        <v>21</v>
      </c>
      <c r="D1739" s="5">
        <v>45921</v>
      </c>
      <c r="E1739" s="5">
        <v>45928</v>
      </c>
      <c r="F1739" s="5">
        <v>45929</v>
      </c>
      <c r="G1739" s="4" t="s">
        <v>15</v>
      </c>
      <c r="H1739" s="4">
        <v>45</v>
      </c>
      <c r="I1739" s="2">
        <v>45</v>
      </c>
      <c r="J1739">
        <f t="shared" si="135"/>
        <v>8</v>
      </c>
      <c r="K1739">
        <f t="shared" si="136"/>
        <v>1</v>
      </c>
      <c r="L1739" t="str">
        <f t="shared" si="137"/>
        <v>No</v>
      </c>
      <c r="M1739" t="str">
        <f t="shared" si="139"/>
        <v>Yes</v>
      </c>
      <c r="N1739" t="str">
        <f t="shared" si="138"/>
        <v>No</v>
      </c>
    </row>
    <row r="1740" spans="1:14" x14ac:dyDescent="0.3">
      <c r="A1740" s="2" t="s">
        <v>3497</v>
      </c>
      <c r="B1740" s="2" t="s">
        <v>3498</v>
      </c>
      <c r="C1740" s="2" t="s">
        <v>21</v>
      </c>
      <c r="D1740" s="3">
        <v>45921</v>
      </c>
      <c r="E1740" s="3">
        <v>45926</v>
      </c>
      <c r="F1740" s="3">
        <v>45927</v>
      </c>
      <c r="G1740" s="2" t="s">
        <v>18</v>
      </c>
      <c r="H1740" s="2">
        <v>19</v>
      </c>
      <c r="I1740" s="2">
        <v>19</v>
      </c>
      <c r="J1740">
        <f t="shared" si="135"/>
        <v>6</v>
      </c>
      <c r="K1740">
        <f t="shared" si="136"/>
        <v>1</v>
      </c>
      <c r="L1740" t="str">
        <f t="shared" si="137"/>
        <v>No</v>
      </c>
      <c r="M1740" t="str">
        <f t="shared" si="139"/>
        <v>Yes</v>
      </c>
      <c r="N1740" t="str">
        <f t="shared" si="138"/>
        <v>No</v>
      </c>
    </row>
    <row r="1741" spans="1:14" x14ac:dyDescent="0.3">
      <c r="A1741" s="4" t="s">
        <v>3499</v>
      </c>
      <c r="B1741" s="4" t="s">
        <v>3500</v>
      </c>
      <c r="C1741" s="4" t="s">
        <v>10</v>
      </c>
      <c r="D1741" s="5">
        <v>45922</v>
      </c>
      <c r="E1741" s="5">
        <v>45928</v>
      </c>
      <c r="F1741" s="5">
        <v>45929</v>
      </c>
      <c r="G1741" s="4" t="s">
        <v>15</v>
      </c>
      <c r="H1741" s="4">
        <v>18</v>
      </c>
      <c r="I1741" s="2">
        <v>18</v>
      </c>
      <c r="J1741">
        <f t="shared" si="135"/>
        <v>7</v>
      </c>
      <c r="K1741">
        <f t="shared" si="136"/>
        <v>1</v>
      </c>
      <c r="L1741" t="str">
        <f t="shared" si="137"/>
        <v>No</v>
      </c>
      <c r="M1741" t="str">
        <f t="shared" si="139"/>
        <v>Yes</v>
      </c>
      <c r="N1741" t="str">
        <f t="shared" si="138"/>
        <v>No</v>
      </c>
    </row>
    <row r="1742" spans="1:14" x14ac:dyDescent="0.3">
      <c r="A1742" s="2" t="s">
        <v>3501</v>
      </c>
      <c r="B1742" s="2" t="s">
        <v>3502</v>
      </c>
      <c r="C1742" s="2" t="s">
        <v>72</v>
      </c>
      <c r="D1742" s="3">
        <v>45923</v>
      </c>
      <c r="E1742" s="3">
        <v>45931</v>
      </c>
      <c r="F1742" s="3">
        <v>45941</v>
      </c>
      <c r="G1742" s="2" t="s">
        <v>18</v>
      </c>
      <c r="H1742" s="2">
        <v>20</v>
      </c>
      <c r="I1742" s="2">
        <v>20</v>
      </c>
      <c r="J1742">
        <f t="shared" si="135"/>
        <v>18</v>
      </c>
      <c r="K1742">
        <f t="shared" si="136"/>
        <v>10</v>
      </c>
      <c r="L1742" t="str">
        <f t="shared" si="137"/>
        <v>No</v>
      </c>
      <c r="M1742" t="str">
        <f t="shared" si="139"/>
        <v>Yes</v>
      </c>
      <c r="N1742" t="str">
        <f t="shared" si="138"/>
        <v>No</v>
      </c>
    </row>
    <row r="1743" spans="1:14" x14ac:dyDescent="0.3">
      <c r="A1743" s="4" t="s">
        <v>3503</v>
      </c>
      <c r="B1743" s="4" t="s">
        <v>3504</v>
      </c>
      <c r="C1743" s="4" t="s">
        <v>14</v>
      </c>
      <c r="D1743" s="5">
        <v>45922</v>
      </c>
      <c r="E1743" s="5">
        <v>45926</v>
      </c>
      <c r="F1743" s="5">
        <v>45939</v>
      </c>
      <c r="G1743" s="4" t="s">
        <v>11</v>
      </c>
      <c r="H1743" s="4">
        <v>15</v>
      </c>
      <c r="I1743" s="2">
        <v>15</v>
      </c>
      <c r="J1743">
        <f t="shared" si="135"/>
        <v>17</v>
      </c>
      <c r="K1743">
        <f t="shared" si="136"/>
        <v>13</v>
      </c>
      <c r="L1743" t="str">
        <f t="shared" si="137"/>
        <v>No</v>
      </c>
      <c r="M1743" t="str">
        <f t="shared" si="139"/>
        <v>Yes</v>
      </c>
      <c r="N1743" t="str">
        <f t="shared" si="138"/>
        <v>No</v>
      </c>
    </row>
    <row r="1744" spans="1:14" x14ac:dyDescent="0.3">
      <c r="A1744" s="2" t="s">
        <v>3505</v>
      </c>
      <c r="B1744" s="2" t="s">
        <v>3506</v>
      </c>
      <c r="C1744" s="2" t="s">
        <v>27</v>
      </c>
      <c r="D1744" s="3">
        <v>45923</v>
      </c>
      <c r="E1744" s="3">
        <v>45928</v>
      </c>
      <c r="F1744" s="3">
        <v>45937</v>
      </c>
      <c r="G1744" s="2" t="s">
        <v>11</v>
      </c>
      <c r="H1744" s="2">
        <v>26</v>
      </c>
      <c r="I1744" s="2">
        <v>26</v>
      </c>
      <c r="J1744">
        <f t="shared" si="135"/>
        <v>14</v>
      </c>
      <c r="K1744">
        <f t="shared" si="136"/>
        <v>9</v>
      </c>
      <c r="L1744" t="str">
        <f t="shared" si="137"/>
        <v>No</v>
      </c>
      <c r="M1744" t="str">
        <f t="shared" si="139"/>
        <v>Yes</v>
      </c>
      <c r="N1744" t="str">
        <f t="shared" si="138"/>
        <v>No</v>
      </c>
    </row>
    <row r="1745" spans="1:14" x14ac:dyDescent="0.3">
      <c r="A1745" s="4" t="s">
        <v>3507</v>
      </c>
      <c r="B1745" s="4" t="s">
        <v>3508</v>
      </c>
      <c r="C1745" s="4" t="s">
        <v>27</v>
      </c>
      <c r="D1745" s="5">
        <v>45924</v>
      </c>
      <c r="E1745" s="5">
        <v>45930</v>
      </c>
      <c r="F1745" s="5">
        <v>45941</v>
      </c>
      <c r="G1745" s="4" t="s">
        <v>15</v>
      </c>
      <c r="H1745" s="4">
        <v>11</v>
      </c>
      <c r="I1745" s="2">
        <v>11</v>
      </c>
      <c r="J1745">
        <f t="shared" si="135"/>
        <v>17</v>
      </c>
      <c r="K1745">
        <f t="shared" si="136"/>
        <v>11</v>
      </c>
      <c r="L1745" t="str">
        <f t="shared" si="137"/>
        <v>No</v>
      </c>
      <c r="M1745" t="str">
        <f t="shared" si="139"/>
        <v>Yes</v>
      </c>
      <c r="N1745" t="str">
        <f t="shared" si="138"/>
        <v>No</v>
      </c>
    </row>
    <row r="1746" spans="1:14" x14ac:dyDescent="0.3">
      <c r="A1746" s="2" t="s">
        <v>3509</v>
      </c>
      <c r="B1746" s="2" t="s">
        <v>3510</v>
      </c>
      <c r="C1746" s="2" t="s">
        <v>34</v>
      </c>
      <c r="D1746" s="3">
        <v>45924</v>
      </c>
      <c r="E1746" s="3">
        <v>45933</v>
      </c>
      <c r="F1746" s="3">
        <v>45931</v>
      </c>
      <c r="G1746" s="2" t="s">
        <v>22</v>
      </c>
      <c r="H1746" s="2">
        <v>17</v>
      </c>
      <c r="I1746" s="2">
        <v>17</v>
      </c>
      <c r="J1746">
        <f t="shared" si="135"/>
        <v>7</v>
      </c>
      <c r="K1746">
        <f t="shared" si="136"/>
        <v>-2</v>
      </c>
      <c r="L1746" t="str">
        <f t="shared" si="137"/>
        <v>Yes</v>
      </c>
      <c r="M1746" t="str">
        <f t="shared" si="139"/>
        <v>Yes</v>
      </c>
      <c r="N1746" t="str">
        <f t="shared" si="138"/>
        <v>Yes</v>
      </c>
    </row>
    <row r="1747" spans="1:14" x14ac:dyDescent="0.3">
      <c r="A1747" s="4" t="s">
        <v>3511</v>
      </c>
      <c r="B1747" s="4" t="s">
        <v>3512</v>
      </c>
      <c r="C1747" s="4" t="s">
        <v>37</v>
      </c>
      <c r="D1747" s="5">
        <v>45924</v>
      </c>
      <c r="E1747" s="5">
        <v>45926</v>
      </c>
      <c r="F1747" s="5">
        <v>45939</v>
      </c>
      <c r="G1747" s="4" t="s">
        <v>18</v>
      </c>
      <c r="H1747" s="4">
        <v>39</v>
      </c>
      <c r="I1747" s="2">
        <v>39</v>
      </c>
      <c r="J1747">
        <f t="shared" si="135"/>
        <v>15</v>
      </c>
      <c r="K1747">
        <f t="shared" si="136"/>
        <v>13</v>
      </c>
      <c r="L1747" t="str">
        <f t="shared" si="137"/>
        <v>No</v>
      </c>
      <c r="M1747" t="str">
        <f t="shared" si="139"/>
        <v>Yes</v>
      </c>
      <c r="N1747" t="str">
        <f t="shared" si="138"/>
        <v>No</v>
      </c>
    </row>
    <row r="1748" spans="1:14" x14ac:dyDescent="0.3">
      <c r="A1748" s="2" t="s">
        <v>3513</v>
      </c>
      <c r="B1748" s="2" t="s">
        <v>3514</v>
      </c>
      <c r="C1748" s="2" t="s">
        <v>10</v>
      </c>
      <c r="D1748" s="3">
        <v>45924</v>
      </c>
      <c r="E1748" s="3">
        <v>45929</v>
      </c>
      <c r="F1748" s="3">
        <v>45930</v>
      </c>
      <c r="G1748" s="2" t="s">
        <v>18</v>
      </c>
      <c r="H1748" s="2">
        <v>3</v>
      </c>
      <c r="I1748" s="2">
        <v>11</v>
      </c>
      <c r="J1748">
        <f t="shared" si="135"/>
        <v>6</v>
      </c>
      <c r="K1748">
        <f t="shared" si="136"/>
        <v>1</v>
      </c>
      <c r="L1748" t="str">
        <f t="shared" si="137"/>
        <v>No</v>
      </c>
      <c r="M1748" t="str">
        <f t="shared" si="139"/>
        <v>No</v>
      </c>
      <c r="N1748" t="str">
        <f t="shared" si="138"/>
        <v>No</v>
      </c>
    </row>
    <row r="1749" spans="1:14" x14ac:dyDescent="0.3">
      <c r="A1749" s="4" t="s">
        <v>3515</v>
      </c>
      <c r="B1749" s="4" t="s">
        <v>3516</v>
      </c>
      <c r="C1749" s="4" t="s">
        <v>59</v>
      </c>
      <c r="D1749" s="5">
        <v>45925</v>
      </c>
      <c r="E1749" s="5">
        <v>45926</v>
      </c>
      <c r="F1749" s="5">
        <v>45930</v>
      </c>
      <c r="G1749" s="4" t="s">
        <v>18</v>
      </c>
      <c r="H1749" s="4">
        <v>12</v>
      </c>
      <c r="I1749" s="2">
        <v>12</v>
      </c>
      <c r="J1749">
        <f t="shared" si="135"/>
        <v>5</v>
      </c>
      <c r="K1749">
        <f t="shared" si="136"/>
        <v>4</v>
      </c>
      <c r="L1749" t="str">
        <f t="shared" si="137"/>
        <v>No</v>
      </c>
      <c r="M1749" t="str">
        <f t="shared" si="139"/>
        <v>Yes</v>
      </c>
      <c r="N1749" t="str">
        <f t="shared" si="138"/>
        <v>No</v>
      </c>
    </row>
    <row r="1750" spans="1:14" x14ac:dyDescent="0.3">
      <c r="A1750" s="2" t="s">
        <v>3517</v>
      </c>
      <c r="B1750" s="2" t="s">
        <v>3518</v>
      </c>
      <c r="C1750" s="2" t="s">
        <v>14</v>
      </c>
      <c r="D1750" s="3">
        <v>45923</v>
      </c>
      <c r="E1750" s="3">
        <v>45927</v>
      </c>
      <c r="F1750" s="3">
        <v>45938</v>
      </c>
      <c r="G1750" s="2" t="s">
        <v>40</v>
      </c>
      <c r="H1750" s="2">
        <v>15</v>
      </c>
      <c r="I1750" s="2">
        <v>15</v>
      </c>
      <c r="J1750">
        <f t="shared" si="135"/>
        <v>15</v>
      </c>
      <c r="K1750">
        <f t="shared" si="136"/>
        <v>11</v>
      </c>
      <c r="L1750" t="str">
        <f t="shared" si="137"/>
        <v>No</v>
      </c>
      <c r="M1750" t="str">
        <f t="shared" si="139"/>
        <v>Yes</v>
      </c>
      <c r="N1750" t="str">
        <f t="shared" si="138"/>
        <v>No</v>
      </c>
    </row>
    <row r="1751" spans="1:14" x14ac:dyDescent="0.3">
      <c r="A1751" s="4" t="s">
        <v>3519</v>
      </c>
      <c r="B1751" s="4" t="s">
        <v>3520</v>
      </c>
      <c r="C1751" s="4" t="s">
        <v>21</v>
      </c>
      <c r="D1751" s="5">
        <v>45925</v>
      </c>
      <c r="E1751" s="5">
        <v>45929</v>
      </c>
      <c r="F1751" s="5">
        <v>45932</v>
      </c>
      <c r="G1751" s="4" t="s">
        <v>40</v>
      </c>
      <c r="H1751" s="4">
        <v>10</v>
      </c>
      <c r="I1751" s="2">
        <v>10</v>
      </c>
      <c r="J1751">
        <f t="shared" si="135"/>
        <v>7</v>
      </c>
      <c r="K1751">
        <f t="shared" si="136"/>
        <v>3</v>
      </c>
      <c r="L1751" t="str">
        <f t="shared" si="137"/>
        <v>No</v>
      </c>
      <c r="M1751" t="str">
        <f t="shared" si="139"/>
        <v>Yes</v>
      </c>
      <c r="N1751" t="str">
        <f t="shared" si="138"/>
        <v>No</v>
      </c>
    </row>
    <row r="1752" spans="1:14" x14ac:dyDescent="0.3">
      <c r="A1752" s="2" t="s">
        <v>3521</v>
      </c>
      <c r="B1752" s="2" t="s">
        <v>3522</v>
      </c>
      <c r="C1752" s="2" t="s">
        <v>27</v>
      </c>
      <c r="D1752" s="3">
        <v>45923</v>
      </c>
      <c r="E1752" s="3">
        <v>45931</v>
      </c>
      <c r="F1752" s="3">
        <v>45935</v>
      </c>
      <c r="G1752" s="2" t="s">
        <v>15</v>
      </c>
      <c r="H1752" s="2">
        <v>32</v>
      </c>
      <c r="I1752" s="2">
        <v>32</v>
      </c>
      <c r="J1752">
        <f t="shared" si="135"/>
        <v>12</v>
      </c>
      <c r="K1752">
        <f t="shared" si="136"/>
        <v>4</v>
      </c>
      <c r="L1752" t="str">
        <f t="shared" si="137"/>
        <v>No</v>
      </c>
      <c r="M1752" t="str">
        <f t="shared" si="139"/>
        <v>Yes</v>
      </c>
      <c r="N1752" t="str">
        <f t="shared" si="138"/>
        <v>No</v>
      </c>
    </row>
    <row r="1753" spans="1:14" x14ac:dyDescent="0.3">
      <c r="A1753" s="4" t="s">
        <v>3523</v>
      </c>
      <c r="B1753" s="4" t="s">
        <v>3524</v>
      </c>
      <c r="C1753" s="4" t="s">
        <v>27</v>
      </c>
      <c r="D1753" s="5">
        <v>45923</v>
      </c>
      <c r="E1753" s="5">
        <v>45926</v>
      </c>
      <c r="F1753" s="5">
        <v>45936</v>
      </c>
      <c r="G1753" s="4" t="s">
        <v>22</v>
      </c>
      <c r="H1753" s="4">
        <v>2</v>
      </c>
      <c r="I1753" s="2">
        <v>2</v>
      </c>
      <c r="J1753">
        <f t="shared" si="135"/>
        <v>13</v>
      </c>
      <c r="K1753">
        <f t="shared" si="136"/>
        <v>10</v>
      </c>
      <c r="L1753" t="str">
        <f t="shared" si="137"/>
        <v>No</v>
      </c>
      <c r="M1753" t="str">
        <f t="shared" si="139"/>
        <v>Yes</v>
      </c>
      <c r="N1753" t="str">
        <f t="shared" si="138"/>
        <v>No</v>
      </c>
    </row>
    <row r="1754" spans="1:14" x14ac:dyDescent="0.3">
      <c r="A1754" s="2" t="s">
        <v>3525</v>
      </c>
      <c r="B1754" s="2" t="s">
        <v>3526</v>
      </c>
      <c r="C1754" s="2" t="s">
        <v>10</v>
      </c>
      <c r="D1754" s="3">
        <v>45924</v>
      </c>
      <c r="E1754" s="3">
        <v>45930</v>
      </c>
      <c r="F1754" s="3">
        <v>45931</v>
      </c>
      <c r="G1754" s="2" t="s">
        <v>18</v>
      </c>
      <c r="H1754" s="2">
        <v>27</v>
      </c>
      <c r="I1754" s="2">
        <v>27</v>
      </c>
      <c r="J1754">
        <f t="shared" si="135"/>
        <v>7</v>
      </c>
      <c r="K1754">
        <f t="shared" si="136"/>
        <v>1</v>
      </c>
      <c r="L1754" t="str">
        <f t="shared" si="137"/>
        <v>No</v>
      </c>
      <c r="M1754" t="str">
        <f t="shared" si="139"/>
        <v>Yes</v>
      </c>
      <c r="N1754" t="str">
        <f t="shared" si="138"/>
        <v>No</v>
      </c>
    </row>
    <row r="1755" spans="1:14" x14ac:dyDescent="0.3">
      <c r="A1755" s="4" t="s">
        <v>3527</v>
      </c>
      <c r="B1755" s="4" t="s">
        <v>3528</v>
      </c>
      <c r="C1755" s="4" t="s">
        <v>59</v>
      </c>
      <c r="D1755" s="5">
        <v>45926</v>
      </c>
      <c r="E1755" s="5">
        <v>45933</v>
      </c>
      <c r="F1755" s="5">
        <v>45934</v>
      </c>
      <c r="G1755" s="4" t="s">
        <v>22</v>
      </c>
      <c r="H1755" s="4">
        <v>43</v>
      </c>
      <c r="I1755" s="2">
        <v>43</v>
      </c>
      <c r="J1755">
        <f t="shared" si="135"/>
        <v>8</v>
      </c>
      <c r="K1755">
        <f t="shared" si="136"/>
        <v>1</v>
      </c>
      <c r="L1755" t="str">
        <f t="shared" si="137"/>
        <v>No</v>
      </c>
      <c r="M1755" t="str">
        <f t="shared" si="139"/>
        <v>Yes</v>
      </c>
      <c r="N1755" t="str">
        <f t="shared" si="138"/>
        <v>No</v>
      </c>
    </row>
    <row r="1756" spans="1:14" x14ac:dyDescent="0.3">
      <c r="A1756" s="2" t="s">
        <v>3529</v>
      </c>
      <c r="B1756" s="2" t="s">
        <v>3530</v>
      </c>
      <c r="C1756" s="2" t="s">
        <v>21</v>
      </c>
      <c r="D1756" s="3">
        <v>45924</v>
      </c>
      <c r="E1756" s="3">
        <v>45933</v>
      </c>
      <c r="F1756" s="3">
        <v>45931</v>
      </c>
      <c r="G1756" s="2" t="s">
        <v>18</v>
      </c>
      <c r="H1756" s="2">
        <v>17</v>
      </c>
      <c r="I1756" s="2">
        <v>17</v>
      </c>
      <c r="J1756">
        <f t="shared" si="135"/>
        <v>7</v>
      </c>
      <c r="K1756">
        <f t="shared" si="136"/>
        <v>-2</v>
      </c>
      <c r="L1756" t="str">
        <f t="shared" si="137"/>
        <v>Yes</v>
      </c>
      <c r="M1756" t="str">
        <f t="shared" si="139"/>
        <v>Yes</v>
      </c>
      <c r="N1756" t="str">
        <f t="shared" si="138"/>
        <v>Yes</v>
      </c>
    </row>
    <row r="1757" spans="1:14" x14ac:dyDescent="0.3">
      <c r="A1757" s="4" t="s">
        <v>3531</v>
      </c>
      <c r="B1757" s="4" t="s">
        <v>3532</v>
      </c>
      <c r="C1757" s="4" t="s">
        <v>27</v>
      </c>
      <c r="D1757" s="5">
        <v>45926</v>
      </c>
      <c r="E1757" s="5">
        <v>45933</v>
      </c>
      <c r="F1757" s="5">
        <v>45943</v>
      </c>
      <c r="G1757" s="4" t="s">
        <v>18</v>
      </c>
      <c r="H1757" s="4">
        <v>6</v>
      </c>
      <c r="I1757" s="2">
        <v>6</v>
      </c>
      <c r="J1757">
        <f t="shared" si="135"/>
        <v>17</v>
      </c>
      <c r="K1757">
        <f t="shared" si="136"/>
        <v>10</v>
      </c>
      <c r="L1757" t="str">
        <f t="shared" si="137"/>
        <v>No</v>
      </c>
      <c r="M1757" t="str">
        <f t="shared" si="139"/>
        <v>Yes</v>
      </c>
      <c r="N1757" t="str">
        <f t="shared" si="138"/>
        <v>No</v>
      </c>
    </row>
    <row r="1758" spans="1:14" x14ac:dyDescent="0.3">
      <c r="A1758" s="2" t="s">
        <v>3533</v>
      </c>
      <c r="B1758" s="2" t="s">
        <v>3534</v>
      </c>
      <c r="C1758" s="2" t="s">
        <v>37</v>
      </c>
      <c r="D1758" s="3">
        <v>45925</v>
      </c>
      <c r="E1758" s="3">
        <v>45935</v>
      </c>
      <c r="F1758" s="3">
        <v>45940</v>
      </c>
      <c r="G1758" s="2" t="s">
        <v>22</v>
      </c>
      <c r="H1758" s="2">
        <v>33</v>
      </c>
      <c r="I1758" s="2">
        <v>33</v>
      </c>
      <c r="J1758">
        <f t="shared" si="135"/>
        <v>15</v>
      </c>
      <c r="K1758">
        <f t="shared" si="136"/>
        <v>5</v>
      </c>
      <c r="L1758" t="str">
        <f t="shared" si="137"/>
        <v>No</v>
      </c>
      <c r="M1758" t="str">
        <f t="shared" si="139"/>
        <v>Yes</v>
      </c>
      <c r="N1758" t="str">
        <f t="shared" si="138"/>
        <v>No</v>
      </c>
    </row>
    <row r="1759" spans="1:14" x14ac:dyDescent="0.3">
      <c r="A1759" s="4" t="s">
        <v>3535</v>
      </c>
      <c r="B1759" s="4" t="s">
        <v>3536</v>
      </c>
      <c r="C1759" s="4" t="s">
        <v>34</v>
      </c>
      <c r="D1759" s="5">
        <v>45926</v>
      </c>
      <c r="E1759" s="5">
        <v>45935</v>
      </c>
      <c r="F1759" s="5">
        <v>45935</v>
      </c>
      <c r="G1759" s="4" t="s">
        <v>18</v>
      </c>
      <c r="H1759" s="4">
        <v>12</v>
      </c>
      <c r="I1759" s="2">
        <v>12</v>
      </c>
      <c r="J1759">
        <f t="shared" si="135"/>
        <v>9</v>
      </c>
      <c r="K1759">
        <f t="shared" si="136"/>
        <v>0</v>
      </c>
      <c r="L1759" t="str">
        <f t="shared" si="137"/>
        <v>Yes</v>
      </c>
      <c r="M1759" t="str">
        <f t="shared" si="139"/>
        <v>Yes</v>
      </c>
      <c r="N1759" t="str">
        <f t="shared" si="138"/>
        <v>Yes</v>
      </c>
    </row>
    <row r="1760" spans="1:14" x14ac:dyDescent="0.3">
      <c r="A1760" s="2" t="s">
        <v>3537</v>
      </c>
      <c r="B1760" s="2" t="s">
        <v>3538</v>
      </c>
      <c r="C1760" s="2" t="s">
        <v>37</v>
      </c>
      <c r="D1760" s="3">
        <v>45925</v>
      </c>
      <c r="E1760" s="3">
        <v>45932</v>
      </c>
      <c r="F1760" s="3">
        <v>45937</v>
      </c>
      <c r="G1760" s="2" t="s">
        <v>40</v>
      </c>
      <c r="H1760" s="2">
        <v>37</v>
      </c>
      <c r="I1760" s="2">
        <v>37</v>
      </c>
      <c r="J1760">
        <f t="shared" si="135"/>
        <v>12</v>
      </c>
      <c r="K1760">
        <f t="shared" si="136"/>
        <v>5</v>
      </c>
      <c r="L1760" t="str">
        <f t="shared" si="137"/>
        <v>No</v>
      </c>
      <c r="M1760" t="str">
        <f t="shared" si="139"/>
        <v>Yes</v>
      </c>
      <c r="N1760" t="str">
        <f t="shared" si="138"/>
        <v>No</v>
      </c>
    </row>
    <row r="1761" spans="1:14" x14ac:dyDescent="0.3">
      <c r="A1761" s="4" t="s">
        <v>3539</v>
      </c>
      <c r="B1761" s="4" t="s">
        <v>3540</v>
      </c>
      <c r="C1761" s="4" t="s">
        <v>10</v>
      </c>
      <c r="D1761" s="5">
        <v>45926</v>
      </c>
      <c r="E1761" s="5">
        <v>45928</v>
      </c>
      <c r="F1761" s="5">
        <v>45935</v>
      </c>
      <c r="G1761" s="4" t="s">
        <v>15</v>
      </c>
      <c r="H1761" s="4">
        <v>15</v>
      </c>
      <c r="I1761" s="2">
        <v>18</v>
      </c>
      <c r="J1761">
        <f t="shared" si="135"/>
        <v>9</v>
      </c>
      <c r="K1761">
        <f t="shared" si="136"/>
        <v>7</v>
      </c>
      <c r="L1761" t="str">
        <f t="shared" si="137"/>
        <v>No</v>
      </c>
      <c r="M1761" t="str">
        <f t="shared" si="139"/>
        <v>No</v>
      </c>
      <c r="N1761" t="str">
        <f t="shared" si="138"/>
        <v>No</v>
      </c>
    </row>
    <row r="1762" spans="1:14" x14ac:dyDescent="0.3">
      <c r="A1762" s="2" t="s">
        <v>3541</v>
      </c>
      <c r="B1762" s="2" t="s">
        <v>3542</v>
      </c>
      <c r="C1762" s="2" t="s">
        <v>21</v>
      </c>
      <c r="D1762" s="3">
        <v>45925</v>
      </c>
      <c r="E1762" s="3">
        <v>45935</v>
      </c>
      <c r="F1762" s="3">
        <v>45931</v>
      </c>
      <c r="G1762" s="2" t="s">
        <v>18</v>
      </c>
      <c r="H1762" s="2">
        <v>27</v>
      </c>
      <c r="I1762" s="2">
        <v>27</v>
      </c>
      <c r="J1762">
        <f t="shared" si="135"/>
        <v>6</v>
      </c>
      <c r="K1762">
        <f t="shared" si="136"/>
        <v>-4</v>
      </c>
      <c r="L1762" t="str">
        <f t="shared" si="137"/>
        <v>Yes</v>
      </c>
      <c r="M1762" t="str">
        <f t="shared" si="139"/>
        <v>Yes</v>
      </c>
      <c r="N1762" t="str">
        <f t="shared" si="138"/>
        <v>Yes</v>
      </c>
    </row>
    <row r="1763" spans="1:14" x14ac:dyDescent="0.3">
      <c r="A1763" s="4" t="s">
        <v>3543</v>
      </c>
      <c r="B1763" s="4" t="s">
        <v>3544</v>
      </c>
      <c r="C1763" s="4" t="s">
        <v>27</v>
      </c>
      <c r="D1763" s="5">
        <v>45927</v>
      </c>
      <c r="E1763" s="5">
        <v>45929</v>
      </c>
      <c r="F1763" s="5">
        <v>45940</v>
      </c>
      <c r="G1763" s="4" t="s">
        <v>15</v>
      </c>
      <c r="H1763" s="4">
        <v>4</v>
      </c>
      <c r="I1763" s="2">
        <v>4</v>
      </c>
      <c r="J1763">
        <f t="shared" si="135"/>
        <v>13</v>
      </c>
      <c r="K1763">
        <f t="shared" si="136"/>
        <v>11</v>
      </c>
      <c r="L1763" t="str">
        <f t="shared" si="137"/>
        <v>No</v>
      </c>
      <c r="M1763" t="str">
        <f t="shared" si="139"/>
        <v>Yes</v>
      </c>
      <c r="N1763" t="str">
        <f t="shared" si="138"/>
        <v>No</v>
      </c>
    </row>
    <row r="1764" spans="1:14" x14ac:dyDescent="0.3">
      <c r="A1764" s="2" t="s">
        <v>3545</v>
      </c>
      <c r="B1764" s="2" t="s">
        <v>3546</v>
      </c>
      <c r="C1764" s="2" t="s">
        <v>27</v>
      </c>
      <c r="D1764" s="3">
        <v>45925</v>
      </c>
      <c r="E1764" s="3">
        <v>45929</v>
      </c>
      <c r="F1764" s="3">
        <v>45940</v>
      </c>
      <c r="G1764" s="2" t="s">
        <v>15</v>
      </c>
      <c r="H1764" s="2">
        <v>12</v>
      </c>
      <c r="I1764" s="2">
        <v>12</v>
      </c>
      <c r="J1764">
        <f t="shared" si="135"/>
        <v>15</v>
      </c>
      <c r="K1764">
        <f t="shared" si="136"/>
        <v>11</v>
      </c>
      <c r="L1764" t="str">
        <f t="shared" si="137"/>
        <v>No</v>
      </c>
      <c r="M1764" t="str">
        <f t="shared" si="139"/>
        <v>Yes</v>
      </c>
      <c r="N1764" t="str">
        <f t="shared" si="138"/>
        <v>No</v>
      </c>
    </row>
    <row r="1765" spans="1:14" x14ac:dyDescent="0.3">
      <c r="A1765" s="4" t="s">
        <v>3547</v>
      </c>
      <c r="B1765" s="4" t="s">
        <v>3548</v>
      </c>
      <c r="C1765" s="4" t="s">
        <v>72</v>
      </c>
      <c r="D1765" s="5">
        <v>45927</v>
      </c>
      <c r="E1765" s="5">
        <v>45936</v>
      </c>
      <c r="F1765" s="5">
        <v>45941</v>
      </c>
      <c r="G1765" s="4" t="s">
        <v>15</v>
      </c>
      <c r="H1765" s="4">
        <v>22</v>
      </c>
      <c r="I1765" s="2">
        <v>22</v>
      </c>
      <c r="J1765">
        <f t="shared" si="135"/>
        <v>14</v>
      </c>
      <c r="K1765">
        <f t="shared" si="136"/>
        <v>5</v>
      </c>
      <c r="L1765" t="str">
        <f t="shared" si="137"/>
        <v>No</v>
      </c>
      <c r="M1765" t="str">
        <f t="shared" si="139"/>
        <v>Yes</v>
      </c>
      <c r="N1765" t="str">
        <f t="shared" si="138"/>
        <v>No</v>
      </c>
    </row>
    <row r="1766" spans="1:14" x14ac:dyDescent="0.3">
      <c r="A1766" s="2" t="s">
        <v>3549</v>
      </c>
      <c r="B1766" s="2" t="s">
        <v>3550</v>
      </c>
      <c r="C1766" s="2" t="s">
        <v>10</v>
      </c>
      <c r="D1766" s="3">
        <v>45926</v>
      </c>
      <c r="E1766" s="3">
        <v>45934</v>
      </c>
      <c r="F1766" s="3">
        <v>45931</v>
      </c>
      <c r="G1766" s="2" t="s">
        <v>15</v>
      </c>
      <c r="H1766" s="2">
        <v>12</v>
      </c>
      <c r="I1766" s="2">
        <v>12</v>
      </c>
      <c r="J1766">
        <f t="shared" si="135"/>
        <v>5</v>
      </c>
      <c r="K1766">
        <f t="shared" si="136"/>
        <v>-3</v>
      </c>
      <c r="L1766" t="str">
        <f t="shared" si="137"/>
        <v>Yes</v>
      </c>
      <c r="M1766" t="str">
        <f t="shared" si="139"/>
        <v>Yes</v>
      </c>
      <c r="N1766" t="str">
        <f t="shared" si="138"/>
        <v>Yes</v>
      </c>
    </row>
    <row r="1767" spans="1:14" x14ac:dyDescent="0.3">
      <c r="A1767" s="4" t="s">
        <v>3551</v>
      </c>
      <c r="B1767" s="4" t="s">
        <v>3552</v>
      </c>
      <c r="C1767" s="4" t="s">
        <v>59</v>
      </c>
      <c r="D1767" s="5">
        <v>45927</v>
      </c>
      <c r="E1767" s="5">
        <v>45932</v>
      </c>
      <c r="F1767" s="5">
        <v>45931</v>
      </c>
      <c r="G1767" s="4" t="s">
        <v>22</v>
      </c>
      <c r="H1767" s="4">
        <v>47</v>
      </c>
      <c r="I1767" s="2">
        <v>47</v>
      </c>
      <c r="J1767">
        <f t="shared" si="135"/>
        <v>4</v>
      </c>
      <c r="K1767">
        <f t="shared" si="136"/>
        <v>-1</v>
      </c>
      <c r="L1767" t="str">
        <f t="shared" si="137"/>
        <v>Yes</v>
      </c>
      <c r="M1767" t="str">
        <f t="shared" si="139"/>
        <v>Yes</v>
      </c>
      <c r="N1767" t="str">
        <f t="shared" si="138"/>
        <v>Yes</v>
      </c>
    </row>
    <row r="1768" spans="1:14" x14ac:dyDescent="0.3">
      <c r="A1768" s="2" t="s">
        <v>3553</v>
      </c>
      <c r="B1768" s="2" t="s">
        <v>3554</v>
      </c>
      <c r="C1768" s="2" t="s">
        <v>21</v>
      </c>
      <c r="D1768" s="3">
        <v>45928</v>
      </c>
      <c r="E1768" s="3">
        <v>45936</v>
      </c>
      <c r="F1768" s="3">
        <v>45934</v>
      </c>
      <c r="G1768" s="2" t="s">
        <v>11</v>
      </c>
      <c r="H1768" s="2">
        <v>25</v>
      </c>
      <c r="I1768" s="2">
        <v>31</v>
      </c>
      <c r="J1768">
        <f t="shared" si="135"/>
        <v>6</v>
      </c>
      <c r="K1768">
        <f t="shared" si="136"/>
        <v>-2</v>
      </c>
      <c r="L1768" t="str">
        <f t="shared" si="137"/>
        <v>Yes</v>
      </c>
      <c r="M1768" t="str">
        <f t="shared" si="139"/>
        <v>No</v>
      </c>
      <c r="N1768" t="str">
        <f t="shared" si="138"/>
        <v>No</v>
      </c>
    </row>
    <row r="1769" spans="1:14" x14ac:dyDescent="0.3">
      <c r="A1769" s="4" t="s">
        <v>3555</v>
      </c>
      <c r="B1769" s="4" t="s">
        <v>3556</v>
      </c>
      <c r="C1769" s="4" t="s">
        <v>21</v>
      </c>
      <c r="D1769" s="5">
        <v>45928</v>
      </c>
      <c r="E1769" s="5">
        <v>45930</v>
      </c>
      <c r="F1769" s="5">
        <v>45938</v>
      </c>
      <c r="G1769" s="4" t="s">
        <v>15</v>
      </c>
      <c r="H1769" s="4">
        <v>19</v>
      </c>
      <c r="I1769" s="2">
        <v>19</v>
      </c>
      <c r="J1769">
        <f t="shared" si="135"/>
        <v>10</v>
      </c>
      <c r="K1769">
        <f t="shared" si="136"/>
        <v>8</v>
      </c>
      <c r="L1769" t="str">
        <f t="shared" si="137"/>
        <v>No</v>
      </c>
      <c r="M1769" t="str">
        <f t="shared" si="139"/>
        <v>Yes</v>
      </c>
      <c r="N1769" t="str">
        <f t="shared" si="138"/>
        <v>No</v>
      </c>
    </row>
    <row r="1770" spans="1:14" x14ac:dyDescent="0.3">
      <c r="A1770" s="2" t="s">
        <v>3557</v>
      </c>
      <c r="B1770" s="2" t="s">
        <v>3558</v>
      </c>
      <c r="C1770" s="2" t="s">
        <v>27</v>
      </c>
      <c r="D1770" s="3">
        <v>45927</v>
      </c>
      <c r="E1770" s="3">
        <v>45936</v>
      </c>
      <c r="F1770" s="3">
        <v>45940</v>
      </c>
      <c r="G1770" s="2" t="s">
        <v>18</v>
      </c>
      <c r="H1770" s="2">
        <v>6</v>
      </c>
      <c r="I1770" s="2">
        <v>6</v>
      </c>
      <c r="J1770">
        <f t="shared" si="135"/>
        <v>13</v>
      </c>
      <c r="K1770">
        <f t="shared" si="136"/>
        <v>4</v>
      </c>
      <c r="L1770" t="str">
        <f t="shared" si="137"/>
        <v>No</v>
      </c>
      <c r="M1770" t="str">
        <f t="shared" si="139"/>
        <v>Yes</v>
      </c>
      <c r="N1770" t="str">
        <f t="shared" si="138"/>
        <v>No</v>
      </c>
    </row>
    <row r="1771" spans="1:14" x14ac:dyDescent="0.3">
      <c r="A1771" s="4" t="s">
        <v>3559</v>
      </c>
      <c r="B1771" s="4" t="s">
        <v>3560</v>
      </c>
      <c r="C1771" s="4" t="s">
        <v>72</v>
      </c>
      <c r="D1771" s="5">
        <v>45929</v>
      </c>
      <c r="E1771" s="5">
        <v>45936</v>
      </c>
      <c r="F1771" s="5">
        <v>45944</v>
      </c>
      <c r="G1771" s="4" t="s">
        <v>40</v>
      </c>
      <c r="H1771" s="4">
        <v>11</v>
      </c>
      <c r="I1771" s="2">
        <v>11</v>
      </c>
      <c r="J1771">
        <f t="shared" si="135"/>
        <v>15</v>
      </c>
      <c r="K1771">
        <f t="shared" si="136"/>
        <v>8</v>
      </c>
      <c r="L1771" t="str">
        <f t="shared" si="137"/>
        <v>No</v>
      </c>
      <c r="M1771" t="str">
        <f t="shared" si="139"/>
        <v>Yes</v>
      </c>
      <c r="N1771" t="str">
        <f t="shared" si="138"/>
        <v>No</v>
      </c>
    </row>
    <row r="1772" spans="1:14" x14ac:dyDescent="0.3">
      <c r="A1772" s="2" t="s">
        <v>3561</v>
      </c>
      <c r="B1772" s="2" t="s">
        <v>3562</v>
      </c>
      <c r="C1772" s="2" t="s">
        <v>72</v>
      </c>
      <c r="D1772" s="3">
        <v>45929</v>
      </c>
      <c r="E1772" s="3">
        <v>45934</v>
      </c>
      <c r="F1772" s="3">
        <v>45947</v>
      </c>
      <c r="G1772" s="2" t="s">
        <v>22</v>
      </c>
      <c r="H1772" s="2">
        <v>20</v>
      </c>
      <c r="I1772" s="2">
        <v>20</v>
      </c>
      <c r="J1772">
        <f t="shared" si="135"/>
        <v>18</v>
      </c>
      <c r="K1772">
        <f t="shared" si="136"/>
        <v>13</v>
      </c>
      <c r="L1772" t="str">
        <f t="shared" si="137"/>
        <v>No</v>
      </c>
      <c r="M1772" t="str">
        <f t="shared" si="139"/>
        <v>Yes</v>
      </c>
      <c r="N1772" t="str">
        <f t="shared" si="138"/>
        <v>No</v>
      </c>
    </row>
    <row r="1773" spans="1:14" x14ac:dyDescent="0.3">
      <c r="A1773" s="4" t="s">
        <v>3563</v>
      </c>
      <c r="B1773" s="4" t="s">
        <v>3564</v>
      </c>
      <c r="C1773" s="4" t="s">
        <v>14</v>
      </c>
      <c r="D1773" s="5">
        <v>45928</v>
      </c>
      <c r="E1773" s="5">
        <v>45932</v>
      </c>
      <c r="F1773" s="5">
        <v>45944</v>
      </c>
      <c r="G1773" s="4" t="s">
        <v>22</v>
      </c>
      <c r="H1773" s="4">
        <v>15</v>
      </c>
      <c r="I1773" s="2">
        <v>15</v>
      </c>
      <c r="J1773">
        <f t="shared" si="135"/>
        <v>16</v>
      </c>
      <c r="K1773">
        <f t="shared" si="136"/>
        <v>12</v>
      </c>
      <c r="L1773" t="str">
        <f t="shared" si="137"/>
        <v>No</v>
      </c>
      <c r="M1773" t="str">
        <f t="shared" si="139"/>
        <v>Yes</v>
      </c>
      <c r="N1773" t="str">
        <f t="shared" si="138"/>
        <v>No</v>
      </c>
    </row>
    <row r="1774" spans="1:14" x14ac:dyDescent="0.3">
      <c r="A1774" s="2" t="s">
        <v>3565</v>
      </c>
      <c r="B1774" s="2" t="s">
        <v>3566</v>
      </c>
      <c r="C1774" s="2" t="s">
        <v>59</v>
      </c>
      <c r="D1774" s="3">
        <v>45928</v>
      </c>
      <c r="E1774" s="3">
        <v>45934</v>
      </c>
      <c r="F1774" s="3">
        <v>45931</v>
      </c>
      <c r="G1774" s="2" t="s">
        <v>15</v>
      </c>
      <c r="H1774" s="2">
        <v>11</v>
      </c>
      <c r="I1774" s="2">
        <v>11</v>
      </c>
      <c r="J1774">
        <f t="shared" si="135"/>
        <v>3</v>
      </c>
      <c r="K1774">
        <f t="shared" si="136"/>
        <v>-3</v>
      </c>
      <c r="L1774" t="str">
        <f t="shared" si="137"/>
        <v>Yes</v>
      </c>
      <c r="M1774" t="str">
        <f t="shared" si="139"/>
        <v>Yes</v>
      </c>
      <c r="N1774" t="str">
        <f t="shared" si="138"/>
        <v>Yes</v>
      </c>
    </row>
    <row r="1775" spans="1:14" x14ac:dyDescent="0.3">
      <c r="A1775" s="4" t="s">
        <v>3567</v>
      </c>
      <c r="B1775" s="4" t="s">
        <v>3568</v>
      </c>
      <c r="C1775" s="4" t="s">
        <v>21</v>
      </c>
      <c r="D1775" s="5">
        <v>45929</v>
      </c>
      <c r="E1775" s="5">
        <v>45935</v>
      </c>
      <c r="F1775" s="5">
        <v>45937</v>
      </c>
      <c r="G1775" s="4" t="s">
        <v>40</v>
      </c>
      <c r="H1775" s="4">
        <v>21</v>
      </c>
      <c r="I1775" s="2">
        <v>24</v>
      </c>
      <c r="J1775">
        <f t="shared" si="135"/>
        <v>8</v>
      </c>
      <c r="K1775">
        <f t="shared" si="136"/>
        <v>2</v>
      </c>
      <c r="L1775" t="str">
        <f t="shared" si="137"/>
        <v>No</v>
      </c>
      <c r="M1775" t="str">
        <f t="shared" si="139"/>
        <v>No</v>
      </c>
      <c r="N1775" t="str">
        <f t="shared" si="138"/>
        <v>No</v>
      </c>
    </row>
    <row r="1776" spans="1:14" x14ac:dyDescent="0.3">
      <c r="A1776" s="2" t="s">
        <v>3569</v>
      </c>
      <c r="B1776" s="2" t="s">
        <v>3570</v>
      </c>
      <c r="C1776" s="2" t="s">
        <v>21</v>
      </c>
      <c r="D1776" s="3">
        <v>45927</v>
      </c>
      <c r="E1776" s="3">
        <v>45935</v>
      </c>
      <c r="F1776" s="3">
        <v>45933</v>
      </c>
      <c r="G1776" s="2" t="s">
        <v>15</v>
      </c>
      <c r="H1776" s="2">
        <v>35</v>
      </c>
      <c r="I1776" s="2">
        <v>35</v>
      </c>
      <c r="J1776">
        <f t="shared" si="135"/>
        <v>6</v>
      </c>
      <c r="K1776">
        <f t="shared" si="136"/>
        <v>-2</v>
      </c>
      <c r="L1776" t="str">
        <f t="shared" si="137"/>
        <v>Yes</v>
      </c>
      <c r="M1776" t="str">
        <f t="shared" si="139"/>
        <v>Yes</v>
      </c>
      <c r="N1776" t="str">
        <f t="shared" si="138"/>
        <v>Yes</v>
      </c>
    </row>
    <row r="1777" spans="1:14" x14ac:dyDescent="0.3">
      <c r="A1777" s="4" t="s">
        <v>3571</v>
      </c>
      <c r="B1777" s="4" t="s">
        <v>3572</v>
      </c>
      <c r="C1777" s="4" t="s">
        <v>21</v>
      </c>
      <c r="D1777" s="5">
        <v>45928</v>
      </c>
      <c r="E1777" s="5">
        <v>45931</v>
      </c>
      <c r="F1777" s="5">
        <v>45936</v>
      </c>
      <c r="G1777" s="4" t="s">
        <v>18</v>
      </c>
      <c r="H1777" s="4">
        <v>16</v>
      </c>
      <c r="I1777" s="2">
        <v>16</v>
      </c>
      <c r="J1777">
        <f t="shared" si="135"/>
        <v>8</v>
      </c>
      <c r="K1777">
        <f t="shared" si="136"/>
        <v>5</v>
      </c>
      <c r="L1777" t="str">
        <f t="shared" si="137"/>
        <v>No</v>
      </c>
      <c r="M1777" t="str">
        <f t="shared" si="139"/>
        <v>Yes</v>
      </c>
      <c r="N1777" t="str">
        <f t="shared" si="138"/>
        <v>No</v>
      </c>
    </row>
    <row r="1778" spans="1:14" x14ac:dyDescent="0.3">
      <c r="A1778" s="2" t="s">
        <v>3573</v>
      </c>
      <c r="B1778" s="2" t="s">
        <v>3574</v>
      </c>
      <c r="C1778" s="2" t="s">
        <v>27</v>
      </c>
      <c r="D1778" s="3">
        <v>45929</v>
      </c>
      <c r="E1778" s="3">
        <v>45931</v>
      </c>
      <c r="F1778" s="3">
        <v>45941</v>
      </c>
      <c r="G1778" s="2" t="s">
        <v>15</v>
      </c>
      <c r="H1778" s="2">
        <v>8</v>
      </c>
      <c r="I1778" s="2">
        <v>8</v>
      </c>
      <c r="J1778">
        <f t="shared" si="135"/>
        <v>12</v>
      </c>
      <c r="K1778">
        <f t="shared" si="136"/>
        <v>10</v>
      </c>
      <c r="L1778" t="str">
        <f t="shared" si="137"/>
        <v>No</v>
      </c>
      <c r="M1778" t="str">
        <f t="shared" si="139"/>
        <v>Yes</v>
      </c>
      <c r="N1778" t="str">
        <f t="shared" si="138"/>
        <v>No</v>
      </c>
    </row>
    <row r="1779" spans="1:14" x14ac:dyDescent="0.3">
      <c r="A1779" s="4" t="s">
        <v>3575</v>
      </c>
      <c r="B1779" s="4" t="s">
        <v>3576</v>
      </c>
      <c r="C1779" s="4" t="s">
        <v>34</v>
      </c>
      <c r="D1779" s="5">
        <v>45930</v>
      </c>
      <c r="E1779" s="5">
        <v>45934</v>
      </c>
      <c r="F1779" s="5">
        <v>45937</v>
      </c>
      <c r="G1779" s="4" t="s">
        <v>40</v>
      </c>
      <c r="H1779" s="4">
        <v>40</v>
      </c>
      <c r="I1779" s="2">
        <v>40</v>
      </c>
      <c r="J1779">
        <f t="shared" si="135"/>
        <v>7</v>
      </c>
      <c r="K1779">
        <f t="shared" si="136"/>
        <v>3</v>
      </c>
      <c r="L1779" t="str">
        <f t="shared" si="137"/>
        <v>No</v>
      </c>
      <c r="M1779" t="str">
        <f t="shared" si="139"/>
        <v>Yes</v>
      </c>
      <c r="N1779" t="str">
        <f t="shared" si="138"/>
        <v>No</v>
      </c>
    </row>
    <row r="1780" spans="1:14" x14ac:dyDescent="0.3">
      <c r="A1780" s="2" t="s">
        <v>3577</v>
      </c>
      <c r="B1780" s="2" t="s">
        <v>3578</v>
      </c>
      <c r="C1780" s="2" t="s">
        <v>37</v>
      </c>
      <c r="D1780" s="3">
        <v>45930</v>
      </c>
      <c r="E1780" s="3">
        <v>45935</v>
      </c>
      <c r="F1780" s="3">
        <v>45943</v>
      </c>
      <c r="G1780" s="2" t="s">
        <v>11</v>
      </c>
      <c r="H1780" s="2">
        <v>46</v>
      </c>
      <c r="I1780" s="2">
        <v>46</v>
      </c>
      <c r="J1780">
        <f t="shared" si="135"/>
        <v>13</v>
      </c>
      <c r="K1780">
        <f t="shared" si="136"/>
        <v>8</v>
      </c>
      <c r="L1780" t="str">
        <f t="shared" si="137"/>
        <v>No</v>
      </c>
      <c r="M1780" t="str">
        <f t="shared" si="139"/>
        <v>Yes</v>
      </c>
      <c r="N1780" t="str">
        <f t="shared" si="138"/>
        <v>No</v>
      </c>
    </row>
    <row r="1781" spans="1:14" x14ac:dyDescent="0.3">
      <c r="A1781" s="4" t="s">
        <v>3579</v>
      </c>
      <c r="B1781" s="4" t="s">
        <v>3580</v>
      </c>
      <c r="C1781" s="4" t="s">
        <v>14</v>
      </c>
      <c r="D1781" s="5">
        <v>45929</v>
      </c>
      <c r="E1781" s="5">
        <v>45933</v>
      </c>
      <c r="F1781" s="5">
        <v>45945</v>
      </c>
      <c r="G1781" s="4" t="s">
        <v>15</v>
      </c>
      <c r="H1781" s="4">
        <v>5</v>
      </c>
      <c r="I1781" s="2">
        <v>5</v>
      </c>
      <c r="J1781">
        <f t="shared" si="135"/>
        <v>16</v>
      </c>
      <c r="K1781">
        <f t="shared" si="136"/>
        <v>12</v>
      </c>
      <c r="L1781" t="str">
        <f t="shared" si="137"/>
        <v>No</v>
      </c>
      <c r="M1781" t="str">
        <f t="shared" si="139"/>
        <v>Yes</v>
      </c>
      <c r="N1781" t="str">
        <f t="shared" si="138"/>
        <v>No</v>
      </c>
    </row>
    <row r="1782" spans="1:14" x14ac:dyDescent="0.3">
      <c r="A1782" s="2" t="s">
        <v>3581</v>
      </c>
      <c r="B1782" s="2" t="s">
        <v>3582</v>
      </c>
      <c r="C1782" s="2" t="s">
        <v>14</v>
      </c>
      <c r="D1782" s="3">
        <v>45930</v>
      </c>
      <c r="E1782" s="3">
        <v>45937</v>
      </c>
      <c r="F1782" s="3">
        <v>45949</v>
      </c>
      <c r="G1782" s="2" t="s">
        <v>40</v>
      </c>
      <c r="H1782" s="2">
        <v>39</v>
      </c>
      <c r="I1782" s="2">
        <v>39</v>
      </c>
      <c r="J1782">
        <f t="shared" si="135"/>
        <v>19</v>
      </c>
      <c r="K1782">
        <f t="shared" si="136"/>
        <v>12</v>
      </c>
      <c r="L1782" t="str">
        <f t="shared" si="137"/>
        <v>No</v>
      </c>
      <c r="M1782" t="str">
        <f t="shared" si="139"/>
        <v>Yes</v>
      </c>
      <c r="N1782" t="str">
        <f t="shared" si="138"/>
        <v>No</v>
      </c>
    </row>
    <row r="1783" spans="1:14" x14ac:dyDescent="0.3">
      <c r="A1783" s="4" t="s">
        <v>3583</v>
      </c>
      <c r="B1783" s="4" t="s">
        <v>3584</v>
      </c>
      <c r="C1783" s="4" t="s">
        <v>27</v>
      </c>
      <c r="D1783" s="5">
        <v>45930</v>
      </c>
      <c r="E1783" s="5">
        <v>45931</v>
      </c>
      <c r="F1783" s="5">
        <v>45947</v>
      </c>
      <c r="G1783" s="4" t="s">
        <v>11</v>
      </c>
      <c r="H1783" s="4">
        <v>30</v>
      </c>
      <c r="I1783" s="2">
        <v>30</v>
      </c>
      <c r="J1783">
        <f t="shared" si="135"/>
        <v>17</v>
      </c>
      <c r="K1783">
        <f t="shared" si="136"/>
        <v>16</v>
      </c>
      <c r="L1783" t="str">
        <f t="shared" si="137"/>
        <v>No</v>
      </c>
      <c r="M1783" t="str">
        <f t="shared" si="139"/>
        <v>Yes</v>
      </c>
      <c r="N1783" t="str">
        <f t="shared" si="138"/>
        <v>No</v>
      </c>
    </row>
    <row r="1784" spans="1:14" x14ac:dyDescent="0.3">
      <c r="A1784" s="2" t="s">
        <v>3585</v>
      </c>
      <c r="B1784" s="2" t="s">
        <v>3586</v>
      </c>
      <c r="C1784" s="2" t="s">
        <v>27</v>
      </c>
      <c r="D1784" s="3">
        <v>45928</v>
      </c>
      <c r="E1784" s="3">
        <v>45933</v>
      </c>
      <c r="F1784" s="3">
        <v>45941</v>
      </c>
      <c r="G1784" s="2" t="s">
        <v>40</v>
      </c>
      <c r="H1784" s="2">
        <v>6</v>
      </c>
      <c r="I1784" s="2">
        <v>6</v>
      </c>
      <c r="J1784">
        <f t="shared" si="135"/>
        <v>13</v>
      </c>
      <c r="K1784">
        <f t="shared" si="136"/>
        <v>8</v>
      </c>
      <c r="L1784" t="str">
        <f t="shared" si="137"/>
        <v>No</v>
      </c>
      <c r="M1784" t="str">
        <f t="shared" si="139"/>
        <v>Yes</v>
      </c>
      <c r="N1784" t="str">
        <f t="shared" si="138"/>
        <v>No</v>
      </c>
    </row>
    <row r="1785" spans="1:14" x14ac:dyDescent="0.3">
      <c r="A1785" s="4" t="s">
        <v>3587</v>
      </c>
      <c r="B1785" s="4" t="s">
        <v>3588</v>
      </c>
      <c r="C1785" s="4" t="s">
        <v>27</v>
      </c>
      <c r="D1785" s="5">
        <v>45929</v>
      </c>
      <c r="E1785" s="5">
        <v>45931</v>
      </c>
      <c r="F1785" s="5">
        <v>45942</v>
      </c>
      <c r="G1785" s="4" t="s">
        <v>18</v>
      </c>
      <c r="H1785" s="4">
        <v>7</v>
      </c>
      <c r="I1785" s="2">
        <v>7</v>
      </c>
      <c r="J1785">
        <f t="shared" si="135"/>
        <v>13</v>
      </c>
      <c r="K1785">
        <f t="shared" si="136"/>
        <v>11</v>
      </c>
      <c r="L1785" t="str">
        <f t="shared" si="137"/>
        <v>No</v>
      </c>
      <c r="M1785" t="str">
        <f t="shared" si="139"/>
        <v>Yes</v>
      </c>
      <c r="N1785" t="str">
        <f t="shared" si="138"/>
        <v>No</v>
      </c>
    </row>
    <row r="1786" spans="1:14" x14ac:dyDescent="0.3">
      <c r="A1786" s="2" t="s">
        <v>3589</v>
      </c>
      <c r="B1786" s="2" t="s">
        <v>3590</v>
      </c>
      <c r="C1786" s="2" t="s">
        <v>37</v>
      </c>
      <c r="D1786" s="3">
        <v>45929</v>
      </c>
      <c r="E1786" s="3">
        <v>45933</v>
      </c>
      <c r="F1786" s="3">
        <v>45942</v>
      </c>
      <c r="G1786" s="2" t="s">
        <v>15</v>
      </c>
      <c r="H1786" s="2">
        <v>23</v>
      </c>
      <c r="I1786" s="2">
        <v>23</v>
      </c>
      <c r="J1786">
        <f t="shared" si="135"/>
        <v>13</v>
      </c>
      <c r="K1786">
        <f t="shared" si="136"/>
        <v>9</v>
      </c>
      <c r="L1786" t="str">
        <f t="shared" si="137"/>
        <v>No</v>
      </c>
      <c r="M1786" t="str">
        <f t="shared" si="139"/>
        <v>Yes</v>
      </c>
      <c r="N1786" t="str">
        <f t="shared" si="138"/>
        <v>No</v>
      </c>
    </row>
    <row r="1787" spans="1:14" x14ac:dyDescent="0.3">
      <c r="A1787" s="4" t="s">
        <v>3591</v>
      </c>
      <c r="B1787" s="4" t="s">
        <v>3592</v>
      </c>
      <c r="C1787" s="4" t="s">
        <v>34</v>
      </c>
      <c r="D1787" s="5">
        <v>45930</v>
      </c>
      <c r="E1787" s="5">
        <v>45938</v>
      </c>
      <c r="F1787" s="5">
        <v>45939</v>
      </c>
      <c r="G1787" s="4" t="s">
        <v>18</v>
      </c>
      <c r="H1787" s="4">
        <v>18</v>
      </c>
      <c r="I1787" s="2">
        <v>18</v>
      </c>
      <c r="J1787">
        <f t="shared" si="135"/>
        <v>9</v>
      </c>
      <c r="K1787">
        <f t="shared" si="136"/>
        <v>1</v>
      </c>
      <c r="L1787" t="str">
        <f t="shared" si="137"/>
        <v>No</v>
      </c>
      <c r="M1787" t="str">
        <f t="shared" si="139"/>
        <v>Yes</v>
      </c>
      <c r="N1787" t="str">
        <f t="shared" si="138"/>
        <v>No</v>
      </c>
    </row>
    <row r="1788" spans="1:14" x14ac:dyDescent="0.3">
      <c r="A1788" s="2" t="s">
        <v>3593</v>
      </c>
      <c r="B1788" s="2" t="s">
        <v>3594</v>
      </c>
      <c r="C1788" s="2" t="s">
        <v>37</v>
      </c>
      <c r="D1788" s="3">
        <v>45931</v>
      </c>
      <c r="E1788" s="3">
        <v>45933</v>
      </c>
      <c r="F1788" s="3">
        <v>45944</v>
      </c>
      <c r="G1788" s="2" t="s">
        <v>18</v>
      </c>
      <c r="H1788" s="2">
        <v>41</v>
      </c>
      <c r="I1788" s="2">
        <v>41</v>
      </c>
      <c r="J1788">
        <f t="shared" si="135"/>
        <v>13</v>
      </c>
      <c r="K1788">
        <f t="shared" si="136"/>
        <v>11</v>
      </c>
      <c r="L1788" t="str">
        <f t="shared" si="137"/>
        <v>No</v>
      </c>
      <c r="M1788" t="str">
        <f t="shared" si="139"/>
        <v>Yes</v>
      </c>
      <c r="N1788" t="str">
        <f t="shared" si="138"/>
        <v>No</v>
      </c>
    </row>
    <row r="1789" spans="1:14" x14ac:dyDescent="0.3">
      <c r="A1789" s="4" t="s">
        <v>3595</v>
      </c>
      <c r="B1789" s="4" t="s">
        <v>3596</v>
      </c>
      <c r="C1789" s="4" t="s">
        <v>27</v>
      </c>
      <c r="D1789" s="5">
        <v>45931</v>
      </c>
      <c r="E1789" s="5">
        <v>45937</v>
      </c>
      <c r="F1789" s="5">
        <v>45948</v>
      </c>
      <c r="G1789" s="4" t="s">
        <v>22</v>
      </c>
      <c r="H1789" s="4">
        <v>5</v>
      </c>
      <c r="I1789" s="2">
        <v>5</v>
      </c>
      <c r="J1789">
        <f t="shared" si="135"/>
        <v>17</v>
      </c>
      <c r="K1789">
        <f t="shared" si="136"/>
        <v>11</v>
      </c>
      <c r="L1789" t="str">
        <f t="shared" si="137"/>
        <v>No</v>
      </c>
      <c r="M1789" t="str">
        <f t="shared" si="139"/>
        <v>Yes</v>
      </c>
      <c r="N1789" t="str">
        <f t="shared" si="138"/>
        <v>No</v>
      </c>
    </row>
    <row r="1790" spans="1:14" x14ac:dyDescent="0.3">
      <c r="A1790" s="2" t="s">
        <v>3597</v>
      </c>
      <c r="B1790" s="2" t="s">
        <v>3598</v>
      </c>
      <c r="C1790" s="2" t="s">
        <v>37</v>
      </c>
      <c r="D1790" s="3">
        <v>45932</v>
      </c>
      <c r="E1790" s="3">
        <v>45936</v>
      </c>
      <c r="F1790" s="3">
        <v>45949</v>
      </c>
      <c r="G1790" s="2" t="s">
        <v>11</v>
      </c>
      <c r="H1790" s="2">
        <v>14</v>
      </c>
      <c r="I1790" s="2">
        <v>20</v>
      </c>
      <c r="J1790">
        <f t="shared" si="135"/>
        <v>17</v>
      </c>
      <c r="K1790">
        <f t="shared" si="136"/>
        <v>13</v>
      </c>
      <c r="L1790" t="str">
        <f t="shared" si="137"/>
        <v>No</v>
      </c>
      <c r="M1790" t="str">
        <f t="shared" si="139"/>
        <v>No</v>
      </c>
      <c r="N1790" t="str">
        <f t="shared" si="138"/>
        <v>No</v>
      </c>
    </row>
    <row r="1791" spans="1:14" x14ac:dyDescent="0.3">
      <c r="A1791" s="4" t="s">
        <v>3599</v>
      </c>
      <c r="B1791" s="4" t="s">
        <v>3600</v>
      </c>
      <c r="C1791" s="4" t="s">
        <v>10</v>
      </c>
      <c r="D1791" s="5">
        <v>45930</v>
      </c>
      <c r="E1791" s="5">
        <v>45933</v>
      </c>
      <c r="F1791" s="5">
        <v>45935</v>
      </c>
      <c r="G1791" s="4" t="s">
        <v>15</v>
      </c>
      <c r="H1791" s="4">
        <v>15</v>
      </c>
      <c r="I1791" s="2">
        <v>17</v>
      </c>
      <c r="J1791">
        <f t="shared" si="135"/>
        <v>5</v>
      </c>
      <c r="K1791">
        <f t="shared" si="136"/>
        <v>2</v>
      </c>
      <c r="L1791" t="str">
        <f t="shared" si="137"/>
        <v>No</v>
      </c>
      <c r="M1791" t="str">
        <f t="shared" si="139"/>
        <v>No</v>
      </c>
      <c r="N1791" t="str">
        <f t="shared" si="138"/>
        <v>No</v>
      </c>
    </row>
    <row r="1792" spans="1:14" x14ac:dyDescent="0.3">
      <c r="A1792" s="2" t="s">
        <v>3601</v>
      </c>
      <c r="B1792" s="2" t="s">
        <v>3602</v>
      </c>
      <c r="C1792" s="2" t="s">
        <v>72</v>
      </c>
      <c r="D1792" s="3">
        <v>45930</v>
      </c>
      <c r="E1792" s="3">
        <v>45938</v>
      </c>
      <c r="F1792" s="3">
        <v>45945</v>
      </c>
      <c r="G1792" s="2" t="s">
        <v>11</v>
      </c>
      <c r="H1792" s="2">
        <v>31</v>
      </c>
      <c r="I1792" s="2">
        <v>31</v>
      </c>
      <c r="J1792">
        <f t="shared" si="135"/>
        <v>15</v>
      </c>
      <c r="K1792">
        <f t="shared" si="136"/>
        <v>7</v>
      </c>
      <c r="L1792" t="str">
        <f t="shared" si="137"/>
        <v>No</v>
      </c>
      <c r="M1792" t="str">
        <f t="shared" si="139"/>
        <v>Yes</v>
      </c>
      <c r="N1792" t="str">
        <f t="shared" si="138"/>
        <v>No</v>
      </c>
    </row>
    <row r="1793" spans="1:14" x14ac:dyDescent="0.3">
      <c r="A1793" s="4" t="s">
        <v>3603</v>
      </c>
      <c r="B1793" s="4" t="s">
        <v>3604</v>
      </c>
      <c r="C1793" s="4" t="s">
        <v>59</v>
      </c>
      <c r="D1793" s="5">
        <v>45932</v>
      </c>
      <c r="E1793" s="5">
        <v>45937</v>
      </c>
      <c r="F1793" s="5">
        <v>45936</v>
      </c>
      <c r="G1793" s="4" t="s">
        <v>22</v>
      </c>
      <c r="H1793" s="4">
        <v>57</v>
      </c>
      <c r="I1793" s="2">
        <v>57</v>
      </c>
      <c r="J1793">
        <f t="shared" si="135"/>
        <v>4</v>
      </c>
      <c r="K1793">
        <f t="shared" si="136"/>
        <v>-1</v>
      </c>
      <c r="L1793" t="str">
        <f t="shared" si="137"/>
        <v>Yes</v>
      </c>
      <c r="M1793" t="str">
        <f t="shared" si="139"/>
        <v>Yes</v>
      </c>
      <c r="N1793" t="str">
        <f t="shared" si="138"/>
        <v>Yes</v>
      </c>
    </row>
    <row r="1794" spans="1:14" x14ac:dyDescent="0.3">
      <c r="A1794" s="2" t="s">
        <v>3605</v>
      </c>
      <c r="B1794" s="2" t="s">
        <v>3606</v>
      </c>
      <c r="C1794" s="2" t="s">
        <v>21</v>
      </c>
      <c r="D1794" s="3">
        <v>45930</v>
      </c>
      <c r="E1794" s="3">
        <v>45937</v>
      </c>
      <c r="F1794" s="3">
        <v>45936</v>
      </c>
      <c r="G1794" s="2" t="s">
        <v>15</v>
      </c>
      <c r="H1794" s="2">
        <v>59</v>
      </c>
      <c r="I1794" s="2">
        <v>59</v>
      </c>
      <c r="J1794">
        <f t="shared" si="135"/>
        <v>6</v>
      </c>
      <c r="K1794">
        <f t="shared" si="136"/>
        <v>-1</v>
      </c>
      <c r="L1794" t="str">
        <f t="shared" si="137"/>
        <v>Yes</v>
      </c>
      <c r="M1794" t="str">
        <f t="shared" si="139"/>
        <v>Yes</v>
      </c>
      <c r="N1794" t="str">
        <f t="shared" si="138"/>
        <v>Yes</v>
      </c>
    </row>
    <row r="1795" spans="1:14" x14ac:dyDescent="0.3">
      <c r="A1795" s="4" t="s">
        <v>3607</v>
      </c>
      <c r="B1795" s="4" t="s">
        <v>3608</v>
      </c>
      <c r="C1795" s="4" t="s">
        <v>14</v>
      </c>
      <c r="D1795" s="5">
        <v>45933</v>
      </c>
      <c r="E1795" s="5">
        <v>45934</v>
      </c>
      <c r="F1795" s="5">
        <v>45948</v>
      </c>
      <c r="G1795" s="4" t="s">
        <v>22</v>
      </c>
      <c r="H1795" s="4">
        <v>17</v>
      </c>
      <c r="I1795" s="2">
        <v>17</v>
      </c>
      <c r="J1795">
        <f t="shared" ref="J1795:J1858" si="140">F1795-D1795</f>
        <v>15</v>
      </c>
      <c r="K1795">
        <f t="shared" ref="K1795:K1858" si="141">F1795-E1795</f>
        <v>14</v>
      </c>
      <c r="L1795" t="str">
        <f t="shared" ref="L1795:L1858" si="142">IF(K1795&lt;=0,"Yes","No")</f>
        <v>No</v>
      </c>
      <c r="M1795" t="str">
        <f t="shared" si="139"/>
        <v>Yes</v>
      </c>
      <c r="N1795" t="str">
        <f t="shared" ref="N1795:N1858" si="143">IF(AND(L1795="Yes",M1795="Yes"),"Yes","No")</f>
        <v>No</v>
      </c>
    </row>
    <row r="1796" spans="1:14" x14ac:dyDescent="0.3">
      <c r="A1796" s="2" t="s">
        <v>3609</v>
      </c>
      <c r="B1796" s="2" t="s">
        <v>3610</v>
      </c>
      <c r="C1796" s="2" t="s">
        <v>14</v>
      </c>
      <c r="D1796" s="3">
        <v>45933</v>
      </c>
      <c r="E1796" s="3">
        <v>45935</v>
      </c>
      <c r="F1796" s="3">
        <v>45950</v>
      </c>
      <c r="G1796" s="2" t="s">
        <v>18</v>
      </c>
      <c r="H1796" s="2">
        <v>26</v>
      </c>
      <c r="I1796" s="2">
        <v>26</v>
      </c>
      <c r="J1796">
        <f t="shared" si="140"/>
        <v>17</v>
      </c>
      <c r="K1796">
        <f t="shared" si="141"/>
        <v>15</v>
      </c>
      <c r="L1796" t="str">
        <f t="shared" si="142"/>
        <v>No</v>
      </c>
      <c r="M1796" t="str">
        <f t="shared" ref="M1796:M1859" si="144">IF(H1796=I1796,"Yes","No")</f>
        <v>Yes</v>
      </c>
      <c r="N1796" t="str">
        <f t="shared" si="143"/>
        <v>No</v>
      </c>
    </row>
    <row r="1797" spans="1:14" x14ac:dyDescent="0.3">
      <c r="A1797" s="4" t="s">
        <v>3611</v>
      </c>
      <c r="B1797" s="4" t="s">
        <v>3612</v>
      </c>
      <c r="C1797" s="4" t="s">
        <v>21</v>
      </c>
      <c r="D1797" s="5">
        <v>45933</v>
      </c>
      <c r="E1797" s="5">
        <v>45935</v>
      </c>
      <c r="F1797" s="5">
        <v>45938</v>
      </c>
      <c r="G1797" s="4" t="s">
        <v>15</v>
      </c>
      <c r="H1797" s="4">
        <v>42</v>
      </c>
      <c r="I1797" s="2">
        <v>42</v>
      </c>
      <c r="J1797">
        <f t="shared" si="140"/>
        <v>5</v>
      </c>
      <c r="K1797">
        <f t="shared" si="141"/>
        <v>3</v>
      </c>
      <c r="L1797" t="str">
        <f t="shared" si="142"/>
        <v>No</v>
      </c>
      <c r="M1797" t="str">
        <f t="shared" si="144"/>
        <v>Yes</v>
      </c>
      <c r="N1797" t="str">
        <f t="shared" si="143"/>
        <v>No</v>
      </c>
    </row>
    <row r="1798" spans="1:14" x14ac:dyDescent="0.3">
      <c r="A1798" s="2" t="s">
        <v>3613</v>
      </c>
      <c r="B1798" s="2" t="s">
        <v>3614</v>
      </c>
      <c r="C1798" s="2" t="s">
        <v>27</v>
      </c>
      <c r="D1798" s="3">
        <v>45933</v>
      </c>
      <c r="E1798" s="3">
        <v>45939</v>
      </c>
      <c r="F1798" s="3">
        <v>45947</v>
      </c>
      <c r="G1798" s="2" t="s">
        <v>15</v>
      </c>
      <c r="H1798" s="2">
        <v>28</v>
      </c>
      <c r="I1798" s="2">
        <v>30</v>
      </c>
      <c r="J1798">
        <f t="shared" si="140"/>
        <v>14</v>
      </c>
      <c r="K1798">
        <f t="shared" si="141"/>
        <v>8</v>
      </c>
      <c r="L1798" t="str">
        <f t="shared" si="142"/>
        <v>No</v>
      </c>
      <c r="M1798" t="str">
        <f t="shared" si="144"/>
        <v>No</v>
      </c>
      <c r="N1798" t="str">
        <f t="shared" si="143"/>
        <v>No</v>
      </c>
    </row>
    <row r="1799" spans="1:14" x14ac:dyDescent="0.3">
      <c r="A1799" s="4" t="s">
        <v>3615</v>
      </c>
      <c r="B1799" s="4" t="s">
        <v>3616</v>
      </c>
      <c r="C1799" s="4" t="s">
        <v>10</v>
      </c>
      <c r="D1799" s="5">
        <v>45933</v>
      </c>
      <c r="E1799" s="5">
        <v>45935</v>
      </c>
      <c r="F1799" s="5">
        <v>45937</v>
      </c>
      <c r="G1799" s="4" t="s">
        <v>40</v>
      </c>
      <c r="H1799" s="4">
        <v>16</v>
      </c>
      <c r="I1799" s="2">
        <v>16</v>
      </c>
      <c r="J1799">
        <f t="shared" si="140"/>
        <v>4</v>
      </c>
      <c r="K1799">
        <f t="shared" si="141"/>
        <v>2</v>
      </c>
      <c r="L1799" t="str">
        <f t="shared" si="142"/>
        <v>No</v>
      </c>
      <c r="M1799" t="str">
        <f t="shared" si="144"/>
        <v>Yes</v>
      </c>
      <c r="N1799" t="str">
        <f t="shared" si="143"/>
        <v>No</v>
      </c>
    </row>
    <row r="1800" spans="1:14" x14ac:dyDescent="0.3">
      <c r="A1800" s="2" t="s">
        <v>3617</v>
      </c>
      <c r="B1800" s="2" t="s">
        <v>3618</v>
      </c>
      <c r="C1800" s="2" t="s">
        <v>59</v>
      </c>
      <c r="D1800" s="3">
        <v>45934</v>
      </c>
      <c r="E1800" s="3">
        <v>45938</v>
      </c>
      <c r="F1800" s="3">
        <v>45940</v>
      </c>
      <c r="G1800" s="2" t="s">
        <v>11</v>
      </c>
      <c r="H1800" s="2">
        <v>35</v>
      </c>
      <c r="I1800" s="2">
        <v>37</v>
      </c>
      <c r="J1800">
        <f t="shared" si="140"/>
        <v>6</v>
      </c>
      <c r="K1800">
        <f t="shared" si="141"/>
        <v>2</v>
      </c>
      <c r="L1800" t="str">
        <f t="shared" si="142"/>
        <v>No</v>
      </c>
      <c r="M1800" t="str">
        <f t="shared" si="144"/>
        <v>No</v>
      </c>
      <c r="N1800" t="str">
        <f t="shared" si="143"/>
        <v>No</v>
      </c>
    </row>
    <row r="1801" spans="1:14" x14ac:dyDescent="0.3">
      <c r="A1801" s="4" t="s">
        <v>3619</v>
      </c>
      <c r="B1801" s="4" t="s">
        <v>3620</v>
      </c>
      <c r="C1801" s="4" t="s">
        <v>59</v>
      </c>
      <c r="D1801" s="5">
        <v>45932</v>
      </c>
      <c r="E1801" s="5">
        <v>45935</v>
      </c>
      <c r="F1801" s="5">
        <v>45940</v>
      </c>
      <c r="G1801" s="4" t="s">
        <v>11</v>
      </c>
      <c r="H1801" s="4">
        <v>26</v>
      </c>
      <c r="I1801" s="2">
        <v>26</v>
      </c>
      <c r="J1801">
        <f t="shared" si="140"/>
        <v>8</v>
      </c>
      <c r="K1801">
        <f t="shared" si="141"/>
        <v>5</v>
      </c>
      <c r="L1801" t="str">
        <f t="shared" si="142"/>
        <v>No</v>
      </c>
      <c r="M1801" t="str">
        <f t="shared" si="144"/>
        <v>Yes</v>
      </c>
      <c r="N1801" t="str">
        <f t="shared" si="143"/>
        <v>No</v>
      </c>
    </row>
    <row r="1802" spans="1:14" x14ac:dyDescent="0.3">
      <c r="A1802" s="2" t="s">
        <v>3621</v>
      </c>
      <c r="B1802" s="2" t="s">
        <v>3622</v>
      </c>
      <c r="C1802" s="2" t="s">
        <v>21</v>
      </c>
      <c r="D1802" s="3">
        <v>45933</v>
      </c>
      <c r="E1802" s="3">
        <v>45936</v>
      </c>
      <c r="F1802" s="3">
        <v>45941</v>
      </c>
      <c r="G1802" s="2" t="s">
        <v>18</v>
      </c>
      <c r="H1802" s="2">
        <v>17</v>
      </c>
      <c r="I1802" s="2">
        <v>17</v>
      </c>
      <c r="J1802">
        <f t="shared" si="140"/>
        <v>8</v>
      </c>
      <c r="K1802">
        <f t="shared" si="141"/>
        <v>5</v>
      </c>
      <c r="L1802" t="str">
        <f t="shared" si="142"/>
        <v>No</v>
      </c>
      <c r="M1802" t="str">
        <f t="shared" si="144"/>
        <v>Yes</v>
      </c>
      <c r="N1802" t="str">
        <f t="shared" si="143"/>
        <v>No</v>
      </c>
    </row>
    <row r="1803" spans="1:14" x14ac:dyDescent="0.3">
      <c r="A1803" s="4" t="s">
        <v>3623</v>
      </c>
      <c r="B1803" s="4" t="s">
        <v>3624</v>
      </c>
      <c r="C1803" s="4" t="s">
        <v>21</v>
      </c>
      <c r="D1803" s="5">
        <v>45934</v>
      </c>
      <c r="E1803" s="5">
        <v>45936</v>
      </c>
      <c r="F1803" s="5">
        <v>45940</v>
      </c>
      <c r="G1803" s="4" t="s">
        <v>15</v>
      </c>
      <c r="H1803" s="4">
        <v>37</v>
      </c>
      <c r="I1803" s="2">
        <v>37</v>
      </c>
      <c r="J1803">
        <f t="shared" si="140"/>
        <v>6</v>
      </c>
      <c r="K1803">
        <f t="shared" si="141"/>
        <v>4</v>
      </c>
      <c r="L1803" t="str">
        <f t="shared" si="142"/>
        <v>No</v>
      </c>
      <c r="M1803" t="str">
        <f t="shared" si="144"/>
        <v>Yes</v>
      </c>
      <c r="N1803" t="str">
        <f t="shared" si="143"/>
        <v>No</v>
      </c>
    </row>
    <row r="1804" spans="1:14" x14ac:dyDescent="0.3">
      <c r="A1804" s="2" t="s">
        <v>3625</v>
      </c>
      <c r="B1804" s="2" t="s">
        <v>3626</v>
      </c>
      <c r="C1804" s="2" t="s">
        <v>27</v>
      </c>
      <c r="D1804" s="3">
        <v>45932</v>
      </c>
      <c r="E1804" s="3">
        <v>45937</v>
      </c>
      <c r="F1804" s="3">
        <v>45947</v>
      </c>
      <c r="G1804" s="2" t="s">
        <v>18</v>
      </c>
      <c r="H1804" s="2">
        <v>8</v>
      </c>
      <c r="I1804" s="2">
        <v>8</v>
      </c>
      <c r="J1804">
        <f t="shared" si="140"/>
        <v>15</v>
      </c>
      <c r="K1804">
        <f t="shared" si="141"/>
        <v>10</v>
      </c>
      <c r="L1804" t="str">
        <f t="shared" si="142"/>
        <v>No</v>
      </c>
      <c r="M1804" t="str">
        <f t="shared" si="144"/>
        <v>Yes</v>
      </c>
      <c r="N1804" t="str">
        <f t="shared" si="143"/>
        <v>No</v>
      </c>
    </row>
    <row r="1805" spans="1:14" x14ac:dyDescent="0.3">
      <c r="A1805" s="4" t="s">
        <v>3627</v>
      </c>
      <c r="B1805" s="4" t="s">
        <v>3628</v>
      </c>
      <c r="C1805" s="4" t="s">
        <v>37</v>
      </c>
      <c r="D1805" s="5">
        <v>45935</v>
      </c>
      <c r="E1805" s="5">
        <v>45939</v>
      </c>
      <c r="F1805" s="5">
        <v>45948</v>
      </c>
      <c r="G1805" s="4" t="s">
        <v>40</v>
      </c>
      <c r="H1805" s="4">
        <v>22</v>
      </c>
      <c r="I1805" s="2">
        <v>22</v>
      </c>
      <c r="J1805">
        <f t="shared" si="140"/>
        <v>13</v>
      </c>
      <c r="K1805">
        <f t="shared" si="141"/>
        <v>9</v>
      </c>
      <c r="L1805" t="str">
        <f t="shared" si="142"/>
        <v>No</v>
      </c>
      <c r="M1805" t="str">
        <f t="shared" si="144"/>
        <v>Yes</v>
      </c>
      <c r="N1805" t="str">
        <f t="shared" si="143"/>
        <v>No</v>
      </c>
    </row>
    <row r="1806" spans="1:14" x14ac:dyDescent="0.3">
      <c r="A1806" s="2" t="s">
        <v>3629</v>
      </c>
      <c r="B1806" s="2" t="s">
        <v>3630</v>
      </c>
      <c r="C1806" s="2" t="s">
        <v>10</v>
      </c>
      <c r="D1806" s="3">
        <v>45933</v>
      </c>
      <c r="E1806" s="3">
        <v>45940</v>
      </c>
      <c r="F1806" s="3">
        <v>45942</v>
      </c>
      <c r="G1806" s="2" t="s">
        <v>22</v>
      </c>
      <c r="H1806" s="2">
        <v>7</v>
      </c>
      <c r="I1806" s="2">
        <v>13</v>
      </c>
      <c r="J1806">
        <f t="shared" si="140"/>
        <v>9</v>
      </c>
      <c r="K1806">
        <f t="shared" si="141"/>
        <v>2</v>
      </c>
      <c r="L1806" t="str">
        <f t="shared" si="142"/>
        <v>No</v>
      </c>
      <c r="M1806" t="str">
        <f t="shared" si="144"/>
        <v>No</v>
      </c>
      <c r="N1806" t="str">
        <f t="shared" si="143"/>
        <v>No</v>
      </c>
    </row>
    <row r="1807" spans="1:14" x14ac:dyDescent="0.3">
      <c r="A1807" s="4" t="s">
        <v>3631</v>
      </c>
      <c r="B1807" s="4" t="s">
        <v>3632</v>
      </c>
      <c r="C1807" s="4" t="s">
        <v>72</v>
      </c>
      <c r="D1807" s="5">
        <v>45935</v>
      </c>
      <c r="E1807" s="5">
        <v>45939</v>
      </c>
      <c r="F1807" s="5">
        <v>45953</v>
      </c>
      <c r="G1807" s="4" t="s">
        <v>18</v>
      </c>
      <c r="H1807" s="4">
        <v>40</v>
      </c>
      <c r="I1807" s="2">
        <v>40</v>
      </c>
      <c r="J1807">
        <f t="shared" si="140"/>
        <v>18</v>
      </c>
      <c r="K1807">
        <f t="shared" si="141"/>
        <v>14</v>
      </c>
      <c r="L1807" t="str">
        <f t="shared" si="142"/>
        <v>No</v>
      </c>
      <c r="M1807" t="str">
        <f t="shared" si="144"/>
        <v>Yes</v>
      </c>
      <c r="N1807" t="str">
        <f t="shared" si="143"/>
        <v>No</v>
      </c>
    </row>
    <row r="1808" spans="1:14" x14ac:dyDescent="0.3">
      <c r="A1808" s="2" t="s">
        <v>3633</v>
      </c>
      <c r="B1808" s="2" t="s">
        <v>3634</v>
      </c>
      <c r="C1808" s="2" t="s">
        <v>10</v>
      </c>
      <c r="D1808" s="3">
        <v>45934</v>
      </c>
      <c r="E1808" s="3">
        <v>45940</v>
      </c>
      <c r="F1808" s="3">
        <v>45939</v>
      </c>
      <c r="G1808" s="2" t="s">
        <v>22</v>
      </c>
      <c r="H1808" s="2">
        <v>14</v>
      </c>
      <c r="I1808" s="2">
        <v>14</v>
      </c>
      <c r="J1808">
        <f t="shared" si="140"/>
        <v>5</v>
      </c>
      <c r="K1808">
        <f t="shared" si="141"/>
        <v>-1</v>
      </c>
      <c r="L1808" t="str">
        <f t="shared" si="142"/>
        <v>Yes</v>
      </c>
      <c r="M1808" t="str">
        <f t="shared" si="144"/>
        <v>Yes</v>
      </c>
      <c r="N1808" t="str">
        <f t="shared" si="143"/>
        <v>Yes</v>
      </c>
    </row>
    <row r="1809" spans="1:14" x14ac:dyDescent="0.3">
      <c r="A1809" s="4" t="s">
        <v>3635</v>
      </c>
      <c r="B1809" s="4" t="s">
        <v>3636</v>
      </c>
      <c r="C1809" s="4" t="s">
        <v>14</v>
      </c>
      <c r="D1809" s="5">
        <v>45934</v>
      </c>
      <c r="E1809" s="5">
        <v>45941</v>
      </c>
      <c r="F1809" s="5">
        <v>45949</v>
      </c>
      <c r="G1809" s="4" t="s">
        <v>22</v>
      </c>
      <c r="H1809" s="4">
        <v>26</v>
      </c>
      <c r="I1809" s="2">
        <v>26</v>
      </c>
      <c r="J1809">
        <f t="shared" si="140"/>
        <v>15</v>
      </c>
      <c r="K1809">
        <f t="shared" si="141"/>
        <v>8</v>
      </c>
      <c r="L1809" t="str">
        <f t="shared" si="142"/>
        <v>No</v>
      </c>
      <c r="M1809" t="str">
        <f t="shared" si="144"/>
        <v>Yes</v>
      </c>
      <c r="N1809" t="str">
        <f t="shared" si="143"/>
        <v>No</v>
      </c>
    </row>
    <row r="1810" spans="1:14" x14ac:dyDescent="0.3">
      <c r="A1810" s="2" t="s">
        <v>3637</v>
      </c>
      <c r="B1810" s="2" t="s">
        <v>3638</v>
      </c>
      <c r="C1810" s="2" t="s">
        <v>21</v>
      </c>
      <c r="D1810" s="3">
        <v>45933</v>
      </c>
      <c r="E1810" s="3">
        <v>45938</v>
      </c>
      <c r="F1810" s="3">
        <v>45939</v>
      </c>
      <c r="G1810" s="2" t="s">
        <v>40</v>
      </c>
      <c r="H1810" s="2">
        <v>68</v>
      </c>
      <c r="I1810" s="2">
        <v>68</v>
      </c>
      <c r="J1810">
        <f t="shared" si="140"/>
        <v>6</v>
      </c>
      <c r="K1810">
        <f t="shared" si="141"/>
        <v>1</v>
      </c>
      <c r="L1810" t="str">
        <f t="shared" si="142"/>
        <v>No</v>
      </c>
      <c r="M1810" t="str">
        <f t="shared" si="144"/>
        <v>Yes</v>
      </c>
      <c r="N1810" t="str">
        <f t="shared" si="143"/>
        <v>No</v>
      </c>
    </row>
    <row r="1811" spans="1:14" x14ac:dyDescent="0.3">
      <c r="A1811" s="4" t="s">
        <v>3639</v>
      </c>
      <c r="B1811" s="4" t="s">
        <v>3640</v>
      </c>
      <c r="C1811" s="4" t="s">
        <v>21</v>
      </c>
      <c r="D1811" s="5">
        <v>45933</v>
      </c>
      <c r="E1811" s="5">
        <v>45940</v>
      </c>
      <c r="F1811" s="5">
        <v>45943</v>
      </c>
      <c r="G1811" s="4" t="s">
        <v>22</v>
      </c>
      <c r="H1811" s="4">
        <v>28</v>
      </c>
      <c r="I1811" s="2">
        <v>28</v>
      </c>
      <c r="J1811">
        <f t="shared" si="140"/>
        <v>10</v>
      </c>
      <c r="K1811">
        <f t="shared" si="141"/>
        <v>3</v>
      </c>
      <c r="L1811" t="str">
        <f t="shared" si="142"/>
        <v>No</v>
      </c>
      <c r="M1811" t="str">
        <f t="shared" si="144"/>
        <v>Yes</v>
      </c>
      <c r="N1811" t="str">
        <f t="shared" si="143"/>
        <v>No</v>
      </c>
    </row>
    <row r="1812" spans="1:14" x14ac:dyDescent="0.3">
      <c r="A1812" s="2" t="s">
        <v>3641</v>
      </c>
      <c r="B1812" s="2" t="s">
        <v>3642</v>
      </c>
      <c r="C1812" s="2" t="s">
        <v>37</v>
      </c>
      <c r="D1812" s="3">
        <v>45934</v>
      </c>
      <c r="E1812" s="3">
        <v>45944</v>
      </c>
      <c r="F1812" s="3">
        <v>45947</v>
      </c>
      <c r="G1812" s="2" t="s">
        <v>40</v>
      </c>
      <c r="H1812" s="2">
        <v>22</v>
      </c>
      <c r="I1812" s="2">
        <v>22</v>
      </c>
      <c r="J1812">
        <f t="shared" si="140"/>
        <v>13</v>
      </c>
      <c r="K1812">
        <f t="shared" si="141"/>
        <v>3</v>
      </c>
      <c r="L1812" t="str">
        <f t="shared" si="142"/>
        <v>No</v>
      </c>
      <c r="M1812" t="str">
        <f t="shared" si="144"/>
        <v>Yes</v>
      </c>
      <c r="N1812" t="str">
        <f t="shared" si="143"/>
        <v>No</v>
      </c>
    </row>
    <row r="1813" spans="1:14" x14ac:dyDescent="0.3">
      <c r="A1813" s="4" t="s">
        <v>3643</v>
      </c>
      <c r="B1813" s="4" t="s">
        <v>3644</v>
      </c>
      <c r="C1813" s="4" t="s">
        <v>14</v>
      </c>
      <c r="D1813" s="5">
        <v>45936</v>
      </c>
      <c r="E1813" s="5">
        <v>45943</v>
      </c>
      <c r="F1813" s="5">
        <v>45952</v>
      </c>
      <c r="G1813" s="4" t="s">
        <v>22</v>
      </c>
      <c r="H1813" s="4">
        <v>37</v>
      </c>
      <c r="I1813" s="2">
        <v>37</v>
      </c>
      <c r="J1813">
        <f t="shared" si="140"/>
        <v>16</v>
      </c>
      <c r="K1813">
        <f t="shared" si="141"/>
        <v>9</v>
      </c>
      <c r="L1813" t="str">
        <f t="shared" si="142"/>
        <v>No</v>
      </c>
      <c r="M1813" t="str">
        <f t="shared" si="144"/>
        <v>Yes</v>
      </c>
      <c r="N1813" t="str">
        <f t="shared" si="143"/>
        <v>No</v>
      </c>
    </row>
    <row r="1814" spans="1:14" x14ac:dyDescent="0.3">
      <c r="A1814" s="2" t="s">
        <v>3645</v>
      </c>
      <c r="B1814" s="2" t="s">
        <v>3646</v>
      </c>
      <c r="C1814" s="2" t="s">
        <v>59</v>
      </c>
      <c r="D1814" s="3">
        <v>45936</v>
      </c>
      <c r="E1814" s="3">
        <v>45937</v>
      </c>
      <c r="F1814" s="3">
        <v>45940</v>
      </c>
      <c r="G1814" s="2" t="s">
        <v>18</v>
      </c>
      <c r="H1814" s="2">
        <v>30</v>
      </c>
      <c r="I1814" s="2">
        <v>30</v>
      </c>
      <c r="J1814">
        <f t="shared" si="140"/>
        <v>4</v>
      </c>
      <c r="K1814">
        <f t="shared" si="141"/>
        <v>3</v>
      </c>
      <c r="L1814" t="str">
        <f t="shared" si="142"/>
        <v>No</v>
      </c>
      <c r="M1814" t="str">
        <f t="shared" si="144"/>
        <v>Yes</v>
      </c>
      <c r="N1814" t="str">
        <f t="shared" si="143"/>
        <v>No</v>
      </c>
    </row>
    <row r="1815" spans="1:14" x14ac:dyDescent="0.3">
      <c r="A1815" s="4" t="s">
        <v>3647</v>
      </c>
      <c r="B1815" s="4" t="s">
        <v>3648</v>
      </c>
      <c r="C1815" s="4" t="s">
        <v>21</v>
      </c>
      <c r="D1815" s="5">
        <v>45935</v>
      </c>
      <c r="E1815" s="5">
        <v>45938</v>
      </c>
      <c r="F1815" s="5">
        <v>45941</v>
      </c>
      <c r="G1815" s="4" t="s">
        <v>22</v>
      </c>
      <c r="H1815" s="4">
        <v>58</v>
      </c>
      <c r="I1815" s="2">
        <v>58</v>
      </c>
      <c r="J1815">
        <f t="shared" si="140"/>
        <v>6</v>
      </c>
      <c r="K1815">
        <f t="shared" si="141"/>
        <v>3</v>
      </c>
      <c r="L1815" t="str">
        <f t="shared" si="142"/>
        <v>No</v>
      </c>
      <c r="M1815" t="str">
        <f t="shared" si="144"/>
        <v>Yes</v>
      </c>
      <c r="N1815" t="str">
        <f t="shared" si="143"/>
        <v>No</v>
      </c>
    </row>
    <row r="1816" spans="1:14" x14ac:dyDescent="0.3">
      <c r="A1816" s="2" t="s">
        <v>3649</v>
      </c>
      <c r="B1816" s="2" t="s">
        <v>3650</v>
      </c>
      <c r="C1816" s="2" t="s">
        <v>21</v>
      </c>
      <c r="D1816" s="3">
        <v>45935</v>
      </c>
      <c r="E1816" s="3">
        <v>45937</v>
      </c>
      <c r="F1816" s="3">
        <v>45945</v>
      </c>
      <c r="G1816" s="2" t="s">
        <v>22</v>
      </c>
      <c r="H1816" s="2">
        <v>25</v>
      </c>
      <c r="I1816" s="2">
        <v>25</v>
      </c>
      <c r="J1816">
        <f t="shared" si="140"/>
        <v>10</v>
      </c>
      <c r="K1816">
        <f t="shared" si="141"/>
        <v>8</v>
      </c>
      <c r="L1816" t="str">
        <f t="shared" si="142"/>
        <v>No</v>
      </c>
      <c r="M1816" t="str">
        <f t="shared" si="144"/>
        <v>Yes</v>
      </c>
      <c r="N1816" t="str">
        <f t="shared" si="143"/>
        <v>No</v>
      </c>
    </row>
    <row r="1817" spans="1:14" x14ac:dyDescent="0.3">
      <c r="A1817" s="4" t="s">
        <v>3651</v>
      </c>
      <c r="B1817" s="4" t="s">
        <v>3652</v>
      </c>
      <c r="C1817" s="4" t="s">
        <v>34</v>
      </c>
      <c r="D1817" s="5">
        <v>45935</v>
      </c>
      <c r="E1817" s="5">
        <v>45943</v>
      </c>
      <c r="F1817" s="5">
        <v>45944</v>
      </c>
      <c r="G1817" s="4" t="s">
        <v>15</v>
      </c>
      <c r="H1817" s="4">
        <v>22</v>
      </c>
      <c r="I1817" s="2">
        <v>22</v>
      </c>
      <c r="J1817">
        <f t="shared" si="140"/>
        <v>9</v>
      </c>
      <c r="K1817">
        <f t="shared" si="141"/>
        <v>1</v>
      </c>
      <c r="L1817" t="str">
        <f t="shared" si="142"/>
        <v>No</v>
      </c>
      <c r="M1817" t="str">
        <f t="shared" si="144"/>
        <v>Yes</v>
      </c>
      <c r="N1817" t="str">
        <f t="shared" si="143"/>
        <v>No</v>
      </c>
    </row>
    <row r="1818" spans="1:14" x14ac:dyDescent="0.3">
      <c r="A1818" s="2" t="s">
        <v>3653</v>
      </c>
      <c r="B1818" s="2" t="s">
        <v>3654</v>
      </c>
      <c r="C1818" s="2" t="s">
        <v>10</v>
      </c>
      <c r="D1818" s="3">
        <v>45936</v>
      </c>
      <c r="E1818" s="3">
        <v>45941</v>
      </c>
      <c r="F1818" s="3">
        <v>45941</v>
      </c>
      <c r="G1818" s="2" t="s">
        <v>40</v>
      </c>
      <c r="H1818" s="2">
        <v>27</v>
      </c>
      <c r="I1818" s="2">
        <v>30</v>
      </c>
      <c r="J1818">
        <f t="shared" si="140"/>
        <v>5</v>
      </c>
      <c r="K1818">
        <f t="shared" si="141"/>
        <v>0</v>
      </c>
      <c r="L1818" t="str">
        <f t="shared" si="142"/>
        <v>Yes</v>
      </c>
      <c r="M1818" t="str">
        <f t="shared" si="144"/>
        <v>No</v>
      </c>
      <c r="N1818" t="str">
        <f t="shared" si="143"/>
        <v>No</v>
      </c>
    </row>
    <row r="1819" spans="1:14" x14ac:dyDescent="0.3">
      <c r="A1819" s="4" t="s">
        <v>3655</v>
      </c>
      <c r="B1819" s="4" t="s">
        <v>3656</v>
      </c>
      <c r="C1819" s="4" t="s">
        <v>10</v>
      </c>
      <c r="D1819" s="5">
        <v>45936</v>
      </c>
      <c r="E1819" s="5">
        <v>45942</v>
      </c>
      <c r="F1819" s="5">
        <v>45940</v>
      </c>
      <c r="G1819" s="4" t="s">
        <v>15</v>
      </c>
      <c r="H1819" s="4">
        <v>41</v>
      </c>
      <c r="I1819" s="2">
        <v>41</v>
      </c>
      <c r="J1819">
        <f t="shared" si="140"/>
        <v>4</v>
      </c>
      <c r="K1819">
        <f t="shared" si="141"/>
        <v>-2</v>
      </c>
      <c r="L1819" t="str">
        <f t="shared" si="142"/>
        <v>Yes</v>
      </c>
      <c r="M1819" t="str">
        <f t="shared" si="144"/>
        <v>Yes</v>
      </c>
      <c r="N1819" t="str">
        <f t="shared" si="143"/>
        <v>Yes</v>
      </c>
    </row>
    <row r="1820" spans="1:14" x14ac:dyDescent="0.3">
      <c r="A1820" s="2" t="s">
        <v>3657</v>
      </c>
      <c r="B1820" s="2" t="s">
        <v>3658</v>
      </c>
      <c r="C1820" s="2" t="s">
        <v>14</v>
      </c>
      <c r="D1820" s="3">
        <v>45936</v>
      </c>
      <c r="E1820" s="3">
        <v>45941</v>
      </c>
      <c r="F1820" s="3">
        <v>45951</v>
      </c>
      <c r="G1820" s="2" t="s">
        <v>22</v>
      </c>
      <c r="H1820" s="2">
        <v>12</v>
      </c>
      <c r="I1820" s="2">
        <v>19</v>
      </c>
      <c r="J1820">
        <f t="shared" si="140"/>
        <v>15</v>
      </c>
      <c r="K1820">
        <f t="shared" si="141"/>
        <v>10</v>
      </c>
      <c r="L1820" t="str">
        <f t="shared" si="142"/>
        <v>No</v>
      </c>
      <c r="M1820" t="str">
        <f t="shared" si="144"/>
        <v>No</v>
      </c>
      <c r="N1820" t="str">
        <f t="shared" si="143"/>
        <v>No</v>
      </c>
    </row>
    <row r="1821" spans="1:14" x14ac:dyDescent="0.3">
      <c r="A1821" s="4" t="s">
        <v>3659</v>
      </c>
      <c r="B1821" s="4" t="s">
        <v>3660</v>
      </c>
      <c r="C1821" s="4" t="s">
        <v>59</v>
      </c>
      <c r="D1821" s="5">
        <v>45937</v>
      </c>
      <c r="E1821" s="5">
        <v>45943</v>
      </c>
      <c r="F1821" s="5">
        <v>45941</v>
      </c>
      <c r="G1821" s="4" t="s">
        <v>40</v>
      </c>
      <c r="H1821" s="4">
        <v>63</v>
      </c>
      <c r="I1821" s="2">
        <v>63</v>
      </c>
      <c r="J1821">
        <f t="shared" si="140"/>
        <v>4</v>
      </c>
      <c r="K1821">
        <f t="shared" si="141"/>
        <v>-2</v>
      </c>
      <c r="L1821" t="str">
        <f t="shared" si="142"/>
        <v>Yes</v>
      </c>
      <c r="M1821" t="str">
        <f t="shared" si="144"/>
        <v>Yes</v>
      </c>
      <c r="N1821" t="str">
        <f t="shared" si="143"/>
        <v>Yes</v>
      </c>
    </row>
    <row r="1822" spans="1:14" x14ac:dyDescent="0.3">
      <c r="A1822" s="2" t="s">
        <v>3661</v>
      </c>
      <c r="B1822" s="2" t="s">
        <v>3662</v>
      </c>
      <c r="C1822" s="2" t="s">
        <v>14</v>
      </c>
      <c r="D1822" s="3">
        <v>45935</v>
      </c>
      <c r="E1822" s="3">
        <v>45945</v>
      </c>
      <c r="F1822" s="3">
        <v>45949</v>
      </c>
      <c r="G1822" s="2" t="s">
        <v>11</v>
      </c>
      <c r="H1822" s="2">
        <v>25</v>
      </c>
      <c r="I1822" s="2">
        <v>25</v>
      </c>
      <c r="J1822">
        <f t="shared" si="140"/>
        <v>14</v>
      </c>
      <c r="K1822">
        <f t="shared" si="141"/>
        <v>4</v>
      </c>
      <c r="L1822" t="str">
        <f t="shared" si="142"/>
        <v>No</v>
      </c>
      <c r="M1822" t="str">
        <f t="shared" si="144"/>
        <v>Yes</v>
      </c>
      <c r="N1822" t="str">
        <f t="shared" si="143"/>
        <v>No</v>
      </c>
    </row>
    <row r="1823" spans="1:14" x14ac:dyDescent="0.3">
      <c r="A1823" s="4" t="s">
        <v>3663</v>
      </c>
      <c r="B1823" s="4" t="s">
        <v>3664</v>
      </c>
      <c r="C1823" s="4" t="s">
        <v>21</v>
      </c>
      <c r="D1823" s="5">
        <v>45937</v>
      </c>
      <c r="E1823" s="5">
        <v>45940</v>
      </c>
      <c r="F1823" s="5">
        <v>45945</v>
      </c>
      <c r="G1823" s="4" t="s">
        <v>18</v>
      </c>
      <c r="H1823" s="4">
        <v>12</v>
      </c>
      <c r="I1823" s="2">
        <v>12</v>
      </c>
      <c r="J1823">
        <f t="shared" si="140"/>
        <v>8</v>
      </c>
      <c r="K1823">
        <f t="shared" si="141"/>
        <v>5</v>
      </c>
      <c r="L1823" t="str">
        <f t="shared" si="142"/>
        <v>No</v>
      </c>
      <c r="M1823" t="str">
        <f t="shared" si="144"/>
        <v>Yes</v>
      </c>
      <c r="N1823" t="str">
        <f t="shared" si="143"/>
        <v>No</v>
      </c>
    </row>
    <row r="1824" spans="1:14" x14ac:dyDescent="0.3">
      <c r="A1824" s="2" t="s">
        <v>3665</v>
      </c>
      <c r="B1824" s="2" t="s">
        <v>3666</v>
      </c>
      <c r="C1824" s="2" t="s">
        <v>27</v>
      </c>
      <c r="D1824" s="3">
        <v>45937</v>
      </c>
      <c r="E1824" s="3">
        <v>45939</v>
      </c>
      <c r="F1824" s="3">
        <v>45950</v>
      </c>
      <c r="G1824" s="2" t="s">
        <v>15</v>
      </c>
      <c r="H1824" s="2">
        <v>33</v>
      </c>
      <c r="I1824" s="2">
        <v>33</v>
      </c>
      <c r="J1824">
        <f t="shared" si="140"/>
        <v>13</v>
      </c>
      <c r="K1824">
        <f t="shared" si="141"/>
        <v>11</v>
      </c>
      <c r="L1824" t="str">
        <f t="shared" si="142"/>
        <v>No</v>
      </c>
      <c r="M1824" t="str">
        <f t="shared" si="144"/>
        <v>Yes</v>
      </c>
      <c r="N1824" t="str">
        <f t="shared" si="143"/>
        <v>No</v>
      </c>
    </row>
    <row r="1825" spans="1:14" x14ac:dyDescent="0.3">
      <c r="A1825" s="4" t="s">
        <v>3667</v>
      </c>
      <c r="B1825" s="4" t="s">
        <v>3668</v>
      </c>
      <c r="C1825" s="4" t="s">
        <v>27</v>
      </c>
      <c r="D1825" s="5">
        <v>45936</v>
      </c>
      <c r="E1825" s="5">
        <v>45943</v>
      </c>
      <c r="F1825" s="5">
        <v>45953</v>
      </c>
      <c r="G1825" s="4" t="s">
        <v>22</v>
      </c>
      <c r="H1825" s="4">
        <v>8</v>
      </c>
      <c r="I1825" s="2">
        <v>9</v>
      </c>
      <c r="J1825">
        <f t="shared" si="140"/>
        <v>17</v>
      </c>
      <c r="K1825">
        <f t="shared" si="141"/>
        <v>10</v>
      </c>
      <c r="L1825" t="str">
        <f t="shared" si="142"/>
        <v>No</v>
      </c>
      <c r="M1825" t="str">
        <f t="shared" si="144"/>
        <v>No</v>
      </c>
      <c r="N1825" t="str">
        <f t="shared" si="143"/>
        <v>No</v>
      </c>
    </row>
    <row r="1826" spans="1:14" x14ac:dyDescent="0.3">
      <c r="A1826" s="2" t="s">
        <v>3669</v>
      </c>
      <c r="B1826" s="2" t="s">
        <v>3670</v>
      </c>
      <c r="C1826" s="2" t="s">
        <v>27</v>
      </c>
      <c r="D1826" s="3">
        <v>45937</v>
      </c>
      <c r="E1826" s="3">
        <v>45944</v>
      </c>
      <c r="F1826" s="3">
        <v>45950</v>
      </c>
      <c r="G1826" s="2" t="s">
        <v>11</v>
      </c>
      <c r="H1826" s="2">
        <v>12</v>
      </c>
      <c r="I1826" s="2">
        <v>15</v>
      </c>
      <c r="J1826">
        <f t="shared" si="140"/>
        <v>13</v>
      </c>
      <c r="K1826">
        <f t="shared" si="141"/>
        <v>6</v>
      </c>
      <c r="L1826" t="str">
        <f t="shared" si="142"/>
        <v>No</v>
      </c>
      <c r="M1826" t="str">
        <f t="shared" si="144"/>
        <v>No</v>
      </c>
      <c r="N1826" t="str">
        <f t="shared" si="143"/>
        <v>No</v>
      </c>
    </row>
    <row r="1827" spans="1:14" x14ac:dyDescent="0.3">
      <c r="A1827" s="4" t="s">
        <v>3671</v>
      </c>
      <c r="B1827" s="4" t="s">
        <v>3672</v>
      </c>
      <c r="C1827" s="4" t="s">
        <v>72</v>
      </c>
      <c r="D1827" s="5">
        <v>45936</v>
      </c>
      <c r="E1827" s="5">
        <v>45941</v>
      </c>
      <c r="F1827" s="5">
        <v>45952</v>
      </c>
      <c r="G1827" s="4" t="s">
        <v>40</v>
      </c>
      <c r="H1827" s="4">
        <v>21</v>
      </c>
      <c r="I1827" s="2">
        <v>21</v>
      </c>
      <c r="J1827">
        <f t="shared" si="140"/>
        <v>16</v>
      </c>
      <c r="K1827">
        <f t="shared" si="141"/>
        <v>11</v>
      </c>
      <c r="L1827" t="str">
        <f t="shared" si="142"/>
        <v>No</v>
      </c>
      <c r="M1827" t="str">
        <f t="shared" si="144"/>
        <v>Yes</v>
      </c>
      <c r="N1827" t="str">
        <f t="shared" si="143"/>
        <v>No</v>
      </c>
    </row>
    <row r="1828" spans="1:14" x14ac:dyDescent="0.3">
      <c r="A1828" s="2" t="s">
        <v>3673</v>
      </c>
      <c r="B1828" s="2" t="s">
        <v>3674</v>
      </c>
      <c r="C1828" s="2" t="s">
        <v>14</v>
      </c>
      <c r="D1828" s="3">
        <v>45937</v>
      </c>
      <c r="E1828" s="3">
        <v>45945</v>
      </c>
      <c r="F1828" s="3">
        <v>45954</v>
      </c>
      <c r="G1828" s="2" t="s">
        <v>18</v>
      </c>
      <c r="H1828" s="2">
        <v>15</v>
      </c>
      <c r="I1828" s="2">
        <v>15</v>
      </c>
      <c r="J1828">
        <f t="shared" si="140"/>
        <v>17</v>
      </c>
      <c r="K1828">
        <f t="shared" si="141"/>
        <v>9</v>
      </c>
      <c r="L1828" t="str">
        <f t="shared" si="142"/>
        <v>No</v>
      </c>
      <c r="M1828" t="str">
        <f t="shared" si="144"/>
        <v>Yes</v>
      </c>
      <c r="N1828" t="str">
        <f t="shared" si="143"/>
        <v>No</v>
      </c>
    </row>
    <row r="1829" spans="1:14" x14ac:dyDescent="0.3">
      <c r="A1829" s="4" t="s">
        <v>3675</v>
      </c>
      <c r="B1829" s="4" t="s">
        <v>3676</v>
      </c>
      <c r="C1829" s="4" t="s">
        <v>14</v>
      </c>
      <c r="D1829" s="5">
        <v>45937</v>
      </c>
      <c r="E1829" s="5">
        <v>45939</v>
      </c>
      <c r="F1829" s="5">
        <v>45952</v>
      </c>
      <c r="G1829" s="4" t="s">
        <v>18</v>
      </c>
      <c r="H1829" s="4">
        <v>30</v>
      </c>
      <c r="I1829" s="2">
        <v>30</v>
      </c>
      <c r="J1829">
        <f t="shared" si="140"/>
        <v>15</v>
      </c>
      <c r="K1829">
        <f t="shared" si="141"/>
        <v>13</v>
      </c>
      <c r="L1829" t="str">
        <f t="shared" si="142"/>
        <v>No</v>
      </c>
      <c r="M1829" t="str">
        <f t="shared" si="144"/>
        <v>Yes</v>
      </c>
      <c r="N1829" t="str">
        <f t="shared" si="143"/>
        <v>No</v>
      </c>
    </row>
    <row r="1830" spans="1:14" x14ac:dyDescent="0.3">
      <c r="A1830" s="2" t="s">
        <v>3677</v>
      </c>
      <c r="B1830" s="2" t="s">
        <v>3678</v>
      </c>
      <c r="C1830" s="2" t="s">
        <v>21</v>
      </c>
      <c r="D1830" s="3">
        <v>45938</v>
      </c>
      <c r="E1830" s="3">
        <v>45945</v>
      </c>
      <c r="F1830" s="3">
        <v>45943</v>
      </c>
      <c r="G1830" s="2" t="s">
        <v>40</v>
      </c>
      <c r="H1830" s="2">
        <v>31</v>
      </c>
      <c r="I1830" s="2">
        <v>31</v>
      </c>
      <c r="J1830">
        <f t="shared" si="140"/>
        <v>5</v>
      </c>
      <c r="K1830">
        <f t="shared" si="141"/>
        <v>-2</v>
      </c>
      <c r="L1830" t="str">
        <f t="shared" si="142"/>
        <v>Yes</v>
      </c>
      <c r="M1830" t="str">
        <f t="shared" si="144"/>
        <v>Yes</v>
      </c>
      <c r="N1830" t="str">
        <f t="shared" si="143"/>
        <v>Yes</v>
      </c>
    </row>
    <row r="1831" spans="1:14" x14ac:dyDescent="0.3">
      <c r="A1831" s="4" t="s">
        <v>3679</v>
      </c>
      <c r="B1831" s="4" t="s">
        <v>3680</v>
      </c>
      <c r="C1831" s="4" t="s">
        <v>21</v>
      </c>
      <c r="D1831" s="5">
        <v>45936</v>
      </c>
      <c r="E1831" s="5">
        <v>45942</v>
      </c>
      <c r="F1831" s="5">
        <v>45942</v>
      </c>
      <c r="G1831" s="4" t="s">
        <v>11</v>
      </c>
      <c r="H1831" s="4">
        <v>50</v>
      </c>
      <c r="I1831" s="2">
        <v>50</v>
      </c>
      <c r="J1831">
        <f t="shared" si="140"/>
        <v>6</v>
      </c>
      <c r="K1831">
        <f t="shared" si="141"/>
        <v>0</v>
      </c>
      <c r="L1831" t="str">
        <f t="shared" si="142"/>
        <v>Yes</v>
      </c>
      <c r="M1831" t="str">
        <f t="shared" si="144"/>
        <v>Yes</v>
      </c>
      <c r="N1831" t="str">
        <f t="shared" si="143"/>
        <v>Yes</v>
      </c>
    </row>
    <row r="1832" spans="1:14" x14ac:dyDescent="0.3">
      <c r="A1832" s="2" t="s">
        <v>3681</v>
      </c>
      <c r="B1832" s="2" t="s">
        <v>3682</v>
      </c>
      <c r="C1832" s="2" t="s">
        <v>27</v>
      </c>
      <c r="D1832" s="3">
        <v>45938</v>
      </c>
      <c r="E1832" s="3">
        <v>45941</v>
      </c>
      <c r="F1832" s="3">
        <v>45953</v>
      </c>
      <c r="G1832" s="2" t="s">
        <v>11</v>
      </c>
      <c r="H1832" s="2">
        <v>41</v>
      </c>
      <c r="I1832" s="2">
        <v>41</v>
      </c>
      <c r="J1832">
        <f t="shared" si="140"/>
        <v>15</v>
      </c>
      <c r="K1832">
        <f t="shared" si="141"/>
        <v>12</v>
      </c>
      <c r="L1832" t="str">
        <f t="shared" si="142"/>
        <v>No</v>
      </c>
      <c r="M1832" t="str">
        <f t="shared" si="144"/>
        <v>Yes</v>
      </c>
      <c r="N1832" t="str">
        <f t="shared" si="143"/>
        <v>No</v>
      </c>
    </row>
    <row r="1833" spans="1:14" x14ac:dyDescent="0.3">
      <c r="A1833" s="4" t="s">
        <v>3683</v>
      </c>
      <c r="B1833" s="4" t="s">
        <v>3684</v>
      </c>
      <c r="C1833" s="4" t="s">
        <v>27</v>
      </c>
      <c r="D1833" s="5">
        <v>45937</v>
      </c>
      <c r="E1833" s="5">
        <v>45945</v>
      </c>
      <c r="F1833" s="5">
        <v>45951</v>
      </c>
      <c r="G1833" s="4" t="s">
        <v>40</v>
      </c>
      <c r="H1833" s="4">
        <v>9</v>
      </c>
      <c r="I1833" s="2">
        <v>9</v>
      </c>
      <c r="J1833">
        <f t="shared" si="140"/>
        <v>14</v>
      </c>
      <c r="K1833">
        <f t="shared" si="141"/>
        <v>6</v>
      </c>
      <c r="L1833" t="str">
        <f t="shared" si="142"/>
        <v>No</v>
      </c>
      <c r="M1833" t="str">
        <f t="shared" si="144"/>
        <v>Yes</v>
      </c>
      <c r="N1833" t="str">
        <f t="shared" si="143"/>
        <v>No</v>
      </c>
    </row>
    <row r="1834" spans="1:14" x14ac:dyDescent="0.3">
      <c r="A1834" s="2" t="s">
        <v>3685</v>
      </c>
      <c r="B1834" s="2" t="s">
        <v>3686</v>
      </c>
      <c r="C1834" s="2" t="s">
        <v>27</v>
      </c>
      <c r="D1834" s="3">
        <v>45936</v>
      </c>
      <c r="E1834" s="3">
        <v>45941</v>
      </c>
      <c r="F1834" s="3">
        <v>45948</v>
      </c>
      <c r="G1834" s="2" t="s">
        <v>18</v>
      </c>
      <c r="H1834" s="2">
        <v>15</v>
      </c>
      <c r="I1834" s="2">
        <v>15</v>
      </c>
      <c r="J1834">
        <f t="shared" si="140"/>
        <v>12</v>
      </c>
      <c r="K1834">
        <f t="shared" si="141"/>
        <v>7</v>
      </c>
      <c r="L1834" t="str">
        <f t="shared" si="142"/>
        <v>No</v>
      </c>
      <c r="M1834" t="str">
        <f t="shared" si="144"/>
        <v>Yes</v>
      </c>
      <c r="N1834" t="str">
        <f t="shared" si="143"/>
        <v>No</v>
      </c>
    </row>
    <row r="1835" spans="1:14" x14ac:dyDescent="0.3">
      <c r="A1835" s="4" t="s">
        <v>3687</v>
      </c>
      <c r="B1835" s="4" t="s">
        <v>3688</v>
      </c>
      <c r="C1835" s="4" t="s">
        <v>34</v>
      </c>
      <c r="D1835" s="5">
        <v>45939</v>
      </c>
      <c r="E1835" s="5">
        <v>45941</v>
      </c>
      <c r="F1835" s="5">
        <v>45947</v>
      </c>
      <c r="G1835" s="4" t="s">
        <v>11</v>
      </c>
      <c r="H1835" s="4">
        <v>19</v>
      </c>
      <c r="I1835" s="2">
        <v>19</v>
      </c>
      <c r="J1835">
        <f t="shared" si="140"/>
        <v>8</v>
      </c>
      <c r="K1835">
        <f t="shared" si="141"/>
        <v>6</v>
      </c>
      <c r="L1835" t="str">
        <f t="shared" si="142"/>
        <v>No</v>
      </c>
      <c r="M1835" t="str">
        <f t="shared" si="144"/>
        <v>Yes</v>
      </c>
      <c r="N1835" t="str">
        <f t="shared" si="143"/>
        <v>No</v>
      </c>
    </row>
    <row r="1836" spans="1:14" x14ac:dyDescent="0.3">
      <c r="A1836" s="2" t="s">
        <v>3689</v>
      </c>
      <c r="B1836" s="2" t="s">
        <v>3690</v>
      </c>
      <c r="C1836" s="2" t="s">
        <v>10</v>
      </c>
      <c r="D1836" s="3">
        <v>45937</v>
      </c>
      <c r="E1836" s="3">
        <v>45946</v>
      </c>
      <c r="F1836" s="3">
        <v>45942</v>
      </c>
      <c r="G1836" s="2" t="s">
        <v>22</v>
      </c>
      <c r="H1836" s="2">
        <v>14</v>
      </c>
      <c r="I1836" s="2">
        <v>14</v>
      </c>
      <c r="J1836">
        <f t="shared" si="140"/>
        <v>5</v>
      </c>
      <c r="K1836">
        <f t="shared" si="141"/>
        <v>-4</v>
      </c>
      <c r="L1836" t="str">
        <f t="shared" si="142"/>
        <v>Yes</v>
      </c>
      <c r="M1836" t="str">
        <f t="shared" si="144"/>
        <v>Yes</v>
      </c>
      <c r="N1836" t="str">
        <f t="shared" si="143"/>
        <v>Yes</v>
      </c>
    </row>
    <row r="1837" spans="1:14" x14ac:dyDescent="0.3">
      <c r="A1837" s="4" t="s">
        <v>3691</v>
      </c>
      <c r="B1837" s="4" t="s">
        <v>3692</v>
      </c>
      <c r="C1837" s="4" t="s">
        <v>72</v>
      </c>
      <c r="D1837" s="5">
        <v>45937</v>
      </c>
      <c r="E1837" s="5">
        <v>45946</v>
      </c>
      <c r="F1837" s="5">
        <v>45952</v>
      </c>
      <c r="G1837" s="4" t="s">
        <v>40</v>
      </c>
      <c r="H1837" s="4">
        <v>48</v>
      </c>
      <c r="I1837" s="2">
        <v>48</v>
      </c>
      <c r="J1837">
        <f t="shared" si="140"/>
        <v>15</v>
      </c>
      <c r="K1837">
        <f t="shared" si="141"/>
        <v>6</v>
      </c>
      <c r="L1837" t="str">
        <f t="shared" si="142"/>
        <v>No</v>
      </c>
      <c r="M1837" t="str">
        <f t="shared" si="144"/>
        <v>Yes</v>
      </c>
      <c r="N1837" t="str">
        <f t="shared" si="143"/>
        <v>No</v>
      </c>
    </row>
    <row r="1838" spans="1:14" x14ac:dyDescent="0.3">
      <c r="A1838" s="2" t="s">
        <v>3693</v>
      </c>
      <c r="B1838" s="2" t="s">
        <v>3694</v>
      </c>
      <c r="C1838" s="2" t="s">
        <v>72</v>
      </c>
      <c r="D1838" s="3">
        <v>45938</v>
      </c>
      <c r="E1838" s="3">
        <v>45947</v>
      </c>
      <c r="F1838" s="3">
        <v>45954</v>
      </c>
      <c r="G1838" s="2" t="s">
        <v>22</v>
      </c>
      <c r="H1838" s="2">
        <v>17</v>
      </c>
      <c r="I1838" s="2">
        <v>17</v>
      </c>
      <c r="J1838">
        <f t="shared" si="140"/>
        <v>16</v>
      </c>
      <c r="K1838">
        <f t="shared" si="141"/>
        <v>7</v>
      </c>
      <c r="L1838" t="str">
        <f t="shared" si="142"/>
        <v>No</v>
      </c>
      <c r="M1838" t="str">
        <f t="shared" si="144"/>
        <v>Yes</v>
      </c>
      <c r="N1838" t="str">
        <f t="shared" si="143"/>
        <v>No</v>
      </c>
    </row>
    <row r="1839" spans="1:14" x14ac:dyDescent="0.3">
      <c r="A1839" s="4" t="s">
        <v>3695</v>
      </c>
      <c r="B1839" s="4" t="s">
        <v>3696</v>
      </c>
      <c r="C1839" s="4" t="s">
        <v>21</v>
      </c>
      <c r="D1839" s="5">
        <v>45937</v>
      </c>
      <c r="E1839" s="5">
        <v>45942</v>
      </c>
      <c r="F1839" s="5">
        <v>45945</v>
      </c>
      <c r="G1839" s="4" t="s">
        <v>11</v>
      </c>
      <c r="H1839" s="4">
        <v>72</v>
      </c>
      <c r="I1839" s="2">
        <v>72</v>
      </c>
      <c r="J1839">
        <f t="shared" si="140"/>
        <v>8</v>
      </c>
      <c r="K1839">
        <f t="shared" si="141"/>
        <v>3</v>
      </c>
      <c r="L1839" t="str">
        <f t="shared" si="142"/>
        <v>No</v>
      </c>
      <c r="M1839" t="str">
        <f t="shared" si="144"/>
        <v>Yes</v>
      </c>
      <c r="N1839" t="str">
        <f t="shared" si="143"/>
        <v>No</v>
      </c>
    </row>
    <row r="1840" spans="1:14" x14ac:dyDescent="0.3">
      <c r="A1840" s="2" t="s">
        <v>3697</v>
      </c>
      <c r="B1840" s="2" t="s">
        <v>3698</v>
      </c>
      <c r="C1840" s="2" t="s">
        <v>27</v>
      </c>
      <c r="D1840" s="3">
        <v>45937</v>
      </c>
      <c r="E1840" s="3">
        <v>45944</v>
      </c>
      <c r="F1840" s="3">
        <v>45949</v>
      </c>
      <c r="G1840" s="2" t="s">
        <v>18</v>
      </c>
      <c r="H1840" s="2">
        <v>59</v>
      </c>
      <c r="I1840" s="2">
        <v>59</v>
      </c>
      <c r="J1840">
        <f t="shared" si="140"/>
        <v>12</v>
      </c>
      <c r="K1840">
        <f t="shared" si="141"/>
        <v>5</v>
      </c>
      <c r="L1840" t="str">
        <f t="shared" si="142"/>
        <v>No</v>
      </c>
      <c r="M1840" t="str">
        <f t="shared" si="144"/>
        <v>Yes</v>
      </c>
      <c r="N1840" t="str">
        <f t="shared" si="143"/>
        <v>No</v>
      </c>
    </row>
    <row r="1841" spans="1:14" x14ac:dyDescent="0.3">
      <c r="A1841" s="4" t="s">
        <v>3699</v>
      </c>
      <c r="B1841" s="4" t="s">
        <v>3700</v>
      </c>
      <c r="C1841" s="4" t="s">
        <v>27</v>
      </c>
      <c r="D1841" s="5">
        <v>45937</v>
      </c>
      <c r="E1841" s="5">
        <v>45947</v>
      </c>
      <c r="F1841" s="5">
        <v>45949</v>
      </c>
      <c r="G1841" s="4" t="s">
        <v>18</v>
      </c>
      <c r="H1841" s="4">
        <v>8</v>
      </c>
      <c r="I1841" s="2">
        <v>8</v>
      </c>
      <c r="J1841">
        <f t="shared" si="140"/>
        <v>12</v>
      </c>
      <c r="K1841">
        <f t="shared" si="141"/>
        <v>2</v>
      </c>
      <c r="L1841" t="str">
        <f t="shared" si="142"/>
        <v>No</v>
      </c>
      <c r="M1841" t="str">
        <f t="shared" si="144"/>
        <v>Yes</v>
      </c>
      <c r="N1841" t="str">
        <f t="shared" si="143"/>
        <v>No</v>
      </c>
    </row>
    <row r="1842" spans="1:14" x14ac:dyDescent="0.3">
      <c r="A1842" s="2" t="s">
        <v>3701</v>
      </c>
      <c r="B1842" s="2" t="s">
        <v>3702</v>
      </c>
      <c r="C1842" s="2" t="s">
        <v>27</v>
      </c>
      <c r="D1842" s="3">
        <v>45938</v>
      </c>
      <c r="E1842" s="3">
        <v>45945</v>
      </c>
      <c r="F1842" s="3">
        <v>45950</v>
      </c>
      <c r="G1842" s="2" t="s">
        <v>11</v>
      </c>
      <c r="H1842" s="2">
        <v>7</v>
      </c>
      <c r="I1842" s="2">
        <v>7</v>
      </c>
      <c r="J1842">
        <f t="shared" si="140"/>
        <v>12</v>
      </c>
      <c r="K1842">
        <f t="shared" si="141"/>
        <v>5</v>
      </c>
      <c r="L1842" t="str">
        <f t="shared" si="142"/>
        <v>No</v>
      </c>
      <c r="M1842" t="str">
        <f t="shared" si="144"/>
        <v>Yes</v>
      </c>
      <c r="N1842" t="str">
        <f t="shared" si="143"/>
        <v>No</v>
      </c>
    </row>
    <row r="1843" spans="1:14" x14ac:dyDescent="0.3">
      <c r="A1843" s="4" t="s">
        <v>3703</v>
      </c>
      <c r="B1843" s="4" t="s">
        <v>3704</v>
      </c>
      <c r="C1843" s="4" t="s">
        <v>37</v>
      </c>
      <c r="D1843" s="5">
        <v>45939</v>
      </c>
      <c r="E1843" s="5">
        <v>45945</v>
      </c>
      <c r="F1843" s="5">
        <v>45952</v>
      </c>
      <c r="G1843" s="4" t="s">
        <v>40</v>
      </c>
      <c r="H1843" s="4">
        <v>42</v>
      </c>
      <c r="I1843" s="2">
        <v>42</v>
      </c>
      <c r="J1843">
        <f t="shared" si="140"/>
        <v>13</v>
      </c>
      <c r="K1843">
        <f t="shared" si="141"/>
        <v>7</v>
      </c>
      <c r="L1843" t="str">
        <f t="shared" si="142"/>
        <v>No</v>
      </c>
      <c r="M1843" t="str">
        <f t="shared" si="144"/>
        <v>Yes</v>
      </c>
      <c r="N1843" t="str">
        <f t="shared" si="143"/>
        <v>No</v>
      </c>
    </row>
    <row r="1844" spans="1:14" x14ac:dyDescent="0.3">
      <c r="A1844" s="2" t="s">
        <v>3705</v>
      </c>
      <c r="B1844" s="2" t="s">
        <v>3706</v>
      </c>
      <c r="C1844" s="2" t="s">
        <v>37</v>
      </c>
      <c r="D1844" s="3">
        <v>45938</v>
      </c>
      <c r="E1844" s="3">
        <v>45946</v>
      </c>
      <c r="F1844" s="3">
        <v>45951</v>
      </c>
      <c r="G1844" s="2" t="s">
        <v>22</v>
      </c>
      <c r="H1844" s="2">
        <v>42</v>
      </c>
      <c r="I1844" s="2">
        <v>42</v>
      </c>
      <c r="J1844">
        <f t="shared" si="140"/>
        <v>13</v>
      </c>
      <c r="K1844">
        <f t="shared" si="141"/>
        <v>5</v>
      </c>
      <c r="L1844" t="str">
        <f t="shared" si="142"/>
        <v>No</v>
      </c>
      <c r="M1844" t="str">
        <f t="shared" si="144"/>
        <v>Yes</v>
      </c>
      <c r="N1844" t="str">
        <f t="shared" si="143"/>
        <v>No</v>
      </c>
    </row>
    <row r="1845" spans="1:14" x14ac:dyDescent="0.3">
      <c r="A1845" s="4" t="s">
        <v>3707</v>
      </c>
      <c r="B1845" s="4" t="s">
        <v>3708</v>
      </c>
      <c r="C1845" s="4" t="s">
        <v>72</v>
      </c>
      <c r="D1845" s="5">
        <v>45938</v>
      </c>
      <c r="E1845" s="5">
        <v>45941</v>
      </c>
      <c r="F1845" s="5">
        <v>45951</v>
      </c>
      <c r="G1845" s="4" t="s">
        <v>15</v>
      </c>
      <c r="H1845" s="4">
        <v>35</v>
      </c>
      <c r="I1845" s="2">
        <v>35</v>
      </c>
      <c r="J1845">
        <f t="shared" si="140"/>
        <v>13</v>
      </c>
      <c r="K1845">
        <f t="shared" si="141"/>
        <v>10</v>
      </c>
      <c r="L1845" t="str">
        <f t="shared" si="142"/>
        <v>No</v>
      </c>
      <c r="M1845" t="str">
        <f t="shared" si="144"/>
        <v>Yes</v>
      </c>
      <c r="N1845" t="str">
        <f t="shared" si="143"/>
        <v>No</v>
      </c>
    </row>
    <row r="1846" spans="1:14" x14ac:dyDescent="0.3">
      <c r="A1846" s="2" t="s">
        <v>3709</v>
      </c>
      <c r="B1846" s="2" t="s">
        <v>3710</v>
      </c>
      <c r="C1846" s="2" t="s">
        <v>72</v>
      </c>
      <c r="D1846" s="3">
        <v>45939</v>
      </c>
      <c r="E1846" s="3">
        <v>45943</v>
      </c>
      <c r="F1846" s="3">
        <v>45953</v>
      </c>
      <c r="G1846" s="2" t="s">
        <v>22</v>
      </c>
      <c r="H1846" s="2">
        <v>11</v>
      </c>
      <c r="I1846" s="2">
        <v>19</v>
      </c>
      <c r="J1846">
        <f t="shared" si="140"/>
        <v>14</v>
      </c>
      <c r="K1846">
        <f t="shared" si="141"/>
        <v>10</v>
      </c>
      <c r="L1846" t="str">
        <f t="shared" si="142"/>
        <v>No</v>
      </c>
      <c r="M1846" t="str">
        <f t="shared" si="144"/>
        <v>No</v>
      </c>
      <c r="N1846" t="str">
        <f t="shared" si="143"/>
        <v>No</v>
      </c>
    </row>
    <row r="1847" spans="1:14" x14ac:dyDescent="0.3">
      <c r="A1847" s="4" t="s">
        <v>3711</v>
      </c>
      <c r="B1847" s="4" t="s">
        <v>3712</v>
      </c>
      <c r="C1847" s="4" t="s">
        <v>14</v>
      </c>
      <c r="D1847" s="5">
        <v>45940</v>
      </c>
      <c r="E1847" s="5">
        <v>45945</v>
      </c>
      <c r="F1847" s="5">
        <v>45956</v>
      </c>
      <c r="G1847" s="4" t="s">
        <v>22</v>
      </c>
      <c r="H1847" s="4">
        <v>18</v>
      </c>
      <c r="I1847" s="2">
        <v>18</v>
      </c>
      <c r="J1847">
        <f t="shared" si="140"/>
        <v>16</v>
      </c>
      <c r="K1847">
        <f t="shared" si="141"/>
        <v>11</v>
      </c>
      <c r="L1847" t="str">
        <f t="shared" si="142"/>
        <v>No</v>
      </c>
      <c r="M1847" t="str">
        <f t="shared" si="144"/>
        <v>Yes</v>
      </c>
      <c r="N1847" t="str">
        <f t="shared" si="143"/>
        <v>No</v>
      </c>
    </row>
    <row r="1848" spans="1:14" x14ac:dyDescent="0.3">
      <c r="A1848" s="2" t="s">
        <v>3713</v>
      </c>
      <c r="B1848" s="2" t="s">
        <v>3714</v>
      </c>
      <c r="C1848" s="2" t="s">
        <v>59</v>
      </c>
      <c r="D1848" s="3">
        <v>45939</v>
      </c>
      <c r="E1848" s="3">
        <v>45948</v>
      </c>
      <c r="F1848" s="3">
        <v>45947</v>
      </c>
      <c r="G1848" s="2" t="s">
        <v>40</v>
      </c>
      <c r="H1848" s="2">
        <v>31</v>
      </c>
      <c r="I1848" s="2">
        <v>31</v>
      </c>
      <c r="J1848">
        <f t="shared" si="140"/>
        <v>8</v>
      </c>
      <c r="K1848">
        <f t="shared" si="141"/>
        <v>-1</v>
      </c>
      <c r="L1848" t="str">
        <f t="shared" si="142"/>
        <v>Yes</v>
      </c>
      <c r="M1848" t="str">
        <f t="shared" si="144"/>
        <v>Yes</v>
      </c>
      <c r="N1848" t="str">
        <f t="shared" si="143"/>
        <v>Yes</v>
      </c>
    </row>
    <row r="1849" spans="1:14" x14ac:dyDescent="0.3">
      <c r="A1849" s="4" t="s">
        <v>3715</v>
      </c>
      <c r="B1849" s="4" t="s">
        <v>3716</v>
      </c>
      <c r="C1849" s="4" t="s">
        <v>21</v>
      </c>
      <c r="D1849" s="5">
        <v>45940</v>
      </c>
      <c r="E1849" s="5">
        <v>45941</v>
      </c>
      <c r="F1849" s="5">
        <v>45945</v>
      </c>
      <c r="G1849" s="4" t="s">
        <v>11</v>
      </c>
      <c r="H1849" s="4">
        <v>19</v>
      </c>
      <c r="I1849" s="2">
        <v>19</v>
      </c>
      <c r="J1849">
        <f t="shared" si="140"/>
        <v>5</v>
      </c>
      <c r="K1849">
        <f t="shared" si="141"/>
        <v>4</v>
      </c>
      <c r="L1849" t="str">
        <f t="shared" si="142"/>
        <v>No</v>
      </c>
      <c r="M1849" t="str">
        <f t="shared" si="144"/>
        <v>Yes</v>
      </c>
      <c r="N1849" t="str">
        <f t="shared" si="143"/>
        <v>No</v>
      </c>
    </row>
    <row r="1850" spans="1:14" x14ac:dyDescent="0.3">
      <c r="A1850" s="2" t="s">
        <v>3717</v>
      </c>
      <c r="B1850" s="2" t="s">
        <v>3718</v>
      </c>
      <c r="C1850" s="2" t="s">
        <v>21</v>
      </c>
      <c r="D1850" s="3">
        <v>45940</v>
      </c>
      <c r="E1850" s="3">
        <v>45945</v>
      </c>
      <c r="F1850" s="3">
        <v>45948</v>
      </c>
      <c r="G1850" s="2" t="s">
        <v>15</v>
      </c>
      <c r="H1850" s="2">
        <v>55</v>
      </c>
      <c r="I1850" s="2">
        <v>55</v>
      </c>
      <c r="J1850">
        <f t="shared" si="140"/>
        <v>8</v>
      </c>
      <c r="K1850">
        <f t="shared" si="141"/>
        <v>3</v>
      </c>
      <c r="L1850" t="str">
        <f t="shared" si="142"/>
        <v>No</v>
      </c>
      <c r="M1850" t="str">
        <f t="shared" si="144"/>
        <v>Yes</v>
      </c>
      <c r="N1850" t="str">
        <f t="shared" si="143"/>
        <v>No</v>
      </c>
    </row>
    <row r="1851" spans="1:14" x14ac:dyDescent="0.3">
      <c r="A1851" s="4" t="s">
        <v>3719</v>
      </c>
      <c r="B1851" s="4" t="s">
        <v>3720</v>
      </c>
      <c r="C1851" s="4" t="s">
        <v>21</v>
      </c>
      <c r="D1851" s="5">
        <v>45938</v>
      </c>
      <c r="E1851" s="5">
        <v>45945</v>
      </c>
      <c r="F1851" s="5">
        <v>45944</v>
      </c>
      <c r="G1851" s="4" t="s">
        <v>40</v>
      </c>
      <c r="H1851" s="4">
        <v>32</v>
      </c>
      <c r="I1851" s="2">
        <v>32</v>
      </c>
      <c r="J1851">
        <f t="shared" si="140"/>
        <v>6</v>
      </c>
      <c r="K1851">
        <f t="shared" si="141"/>
        <v>-1</v>
      </c>
      <c r="L1851" t="str">
        <f t="shared" si="142"/>
        <v>Yes</v>
      </c>
      <c r="M1851" t="str">
        <f t="shared" si="144"/>
        <v>Yes</v>
      </c>
      <c r="N1851" t="str">
        <f t="shared" si="143"/>
        <v>Yes</v>
      </c>
    </row>
    <row r="1852" spans="1:14" x14ac:dyDescent="0.3">
      <c r="A1852" s="2" t="s">
        <v>3721</v>
      </c>
      <c r="B1852" s="2" t="s">
        <v>3722</v>
      </c>
      <c r="C1852" s="2" t="s">
        <v>27</v>
      </c>
      <c r="D1852" s="3">
        <v>45939</v>
      </c>
      <c r="E1852" s="3">
        <v>45945</v>
      </c>
      <c r="F1852" s="3">
        <v>45954</v>
      </c>
      <c r="G1852" s="2" t="s">
        <v>11</v>
      </c>
      <c r="H1852" s="2">
        <v>9</v>
      </c>
      <c r="I1852" s="2">
        <v>9</v>
      </c>
      <c r="J1852">
        <f t="shared" si="140"/>
        <v>15</v>
      </c>
      <c r="K1852">
        <f t="shared" si="141"/>
        <v>9</v>
      </c>
      <c r="L1852" t="str">
        <f t="shared" si="142"/>
        <v>No</v>
      </c>
      <c r="M1852" t="str">
        <f t="shared" si="144"/>
        <v>Yes</v>
      </c>
      <c r="N1852" t="str">
        <f t="shared" si="143"/>
        <v>No</v>
      </c>
    </row>
    <row r="1853" spans="1:14" x14ac:dyDescent="0.3">
      <c r="A1853" s="4" t="s">
        <v>3723</v>
      </c>
      <c r="B1853" s="4" t="s">
        <v>3724</v>
      </c>
      <c r="C1853" s="4" t="s">
        <v>37</v>
      </c>
      <c r="D1853" s="5">
        <v>45941</v>
      </c>
      <c r="E1853" s="5">
        <v>45949</v>
      </c>
      <c r="F1853" s="5">
        <v>45954</v>
      </c>
      <c r="G1853" s="4" t="s">
        <v>40</v>
      </c>
      <c r="H1853" s="4">
        <v>48</v>
      </c>
      <c r="I1853" s="2">
        <v>48</v>
      </c>
      <c r="J1853">
        <f t="shared" si="140"/>
        <v>13</v>
      </c>
      <c r="K1853">
        <f t="shared" si="141"/>
        <v>5</v>
      </c>
      <c r="L1853" t="str">
        <f t="shared" si="142"/>
        <v>No</v>
      </c>
      <c r="M1853" t="str">
        <f t="shared" si="144"/>
        <v>Yes</v>
      </c>
      <c r="N1853" t="str">
        <f t="shared" si="143"/>
        <v>No</v>
      </c>
    </row>
    <row r="1854" spans="1:14" x14ac:dyDescent="0.3">
      <c r="A1854" s="2" t="s">
        <v>3725</v>
      </c>
      <c r="B1854" s="2" t="s">
        <v>3726</v>
      </c>
      <c r="C1854" s="2" t="s">
        <v>37</v>
      </c>
      <c r="D1854" s="3">
        <v>45940</v>
      </c>
      <c r="E1854" s="3">
        <v>45942</v>
      </c>
      <c r="F1854" s="3">
        <v>45955</v>
      </c>
      <c r="G1854" s="2" t="s">
        <v>40</v>
      </c>
      <c r="H1854" s="2">
        <v>14</v>
      </c>
      <c r="I1854" s="2">
        <v>19</v>
      </c>
      <c r="J1854">
        <f t="shared" si="140"/>
        <v>15</v>
      </c>
      <c r="K1854">
        <f t="shared" si="141"/>
        <v>13</v>
      </c>
      <c r="L1854" t="str">
        <f t="shared" si="142"/>
        <v>No</v>
      </c>
      <c r="M1854" t="str">
        <f t="shared" si="144"/>
        <v>No</v>
      </c>
      <c r="N1854" t="str">
        <f t="shared" si="143"/>
        <v>No</v>
      </c>
    </row>
    <row r="1855" spans="1:14" x14ac:dyDescent="0.3">
      <c r="A1855" s="4" t="s">
        <v>3727</v>
      </c>
      <c r="B1855" s="4" t="s">
        <v>3728</v>
      </c>
      <c r="C1855" s="4" t="s">
        <v>10</v>
      </c>
      <c r="D1855" s="5">
        <v>45940</v>
      </c>
      <c r="E1855" s="5">
        <v>45948</v>
      </c>
      <c r="F1855" s="5">
        <v>45945</v>
      </c>
      <c r="G1855" s="4" t="s">
        <v>22</v>
      </c>
      <c r="H1855" s="4">
        <v>27</v>
      </c>
      <c r="I1855" s="2">
        <v>27</v>
      </c>
      <c r="J1855">
        <f t="shared" si="140"/>
        <v>5</v>
      </c>
      <c r="K1855">
        <f t="shared" si="141"/>
        <v>-3</v>
      </c>
      <c r="L1855" t="str">
        <f t="shared" si="142"/>
        <v>Yes</v>
      </c>
      <c r="M1855" t="str">
        <f t="shared" si="144"/>
        <v>Yes</v>
      </c>
      <c r="N1855" t="str">
        <f t="shared" si="143"/>
        <v>Yes</v>
      </c>
    </row>
    <row r="1856" spans="1:14" x14ac:dyDescent="0.3">
      <c r="A1856" s="2" t="s">
        <v>3729</v>
      </c>
      <c r="B1856" s="2" t="s">
        <v>3730</v>
      </c>
      <c r="C1856" s="2" t="s">
        <v>14</v>
      </c>
      <c r="D1856" s="3">
        <v>45939</v>
      </c>
      <c r="E1856" s="3">
        <v>45947</v>
      </c>
      <c r="F1856" s="3">
        <v>45954</v>
      </c>
      <c r="G1856" s="2" t="s">
        <v>18</v>
      </c>
      <c r="H1856" s="2">
        <v>20</v>
      </c>
      <c r="I1856" s="2">
        <v>20</v>
      </c>
      <c r="J1856">
        <f t="shared" si="140"/>
        <v>15</v>
      </c>
      <c r="K1856">
        <f t="shared" si="141"/>
        <v>7</v>
      </c>
      <c r="L1856" t="str">
        <f t="shared" si="142"/>
        <v>No</v>
      </c>
      <c r="M1856" t="str">
        <f t="shared" si="144"/>
        <v>Yes</v>
      </c>
      <c r="N1856" t="str">
        <f t="shared" si="143"/>
        <v>No</v>
      </c>
    </row>
    <row r="1857" spans="1:14" x14ac:dyDescent="0.3">
      <c r="A1857" s="4" t="s">
        <v>3731</v>
      </c>
      <c r="B1857" s="4" t="s">
        <v>3732</v>
      </c>
      <c r="C1857" s="4" t="s">
        <v>59</v>
      </c>
      <c r="D1857" s="5">
        <v>45939</v>
      </c>
      <c r="E1857" s="5">
        <v>45947</v>
      </c>
      <c r="F1857" s="5">
        <v>45942</v>
      </c>
      <c r="G1857" s="4" t="s">
        <v>15</v>
      </c>
      <c r="H1857" s="4">
        <v>27</v>
      </c>
      <c r="I1857" s="2">
        <v>27</v>
      </c>
      <c r="J1857">
        <f t="shared" si="140"/>
        <v>3</v>
      </c>
      <c r="K1857">
        <f t="shared" si="141"/>
        <v>-5</v>
      </c>
      <c r="L1857" t="str">
        <f t="shared" si="142"/>
        <v>Yes</v>
      </c>
      <c r="M1857" t="str">
        <f t="shared" si="144"/>
        <v>Yes</v>
      </c>
      <c r="N1857" t="str">
        <f t="shared" si="143"/>
        <v>Yes</v>
      </c>
    </row>
    <row r="1858" spans="1:14" x14ac:dyDescent="0.3">
      <c r="A1858" s="2" t="s">
        <v>3733</v>
      </c>
      <c r="B1858" s="2" t="s">
        <v>3734</v>
      </c>
      <c r="C1858" s="2" t="s">
        <v>27</v>
      </c>
      <c r="D1858" s="3">
        <v>45939</v>
      </c>
      <c r="E1858" s="3">
        <v>45949</v>
      </c>
      <c r="F1858" s="3">
        <v>45952</v>
      </c>
      <c r="G1858" s="2" t="s">
        <v>18</v>
      </c>
      <c r="H1858" s="2">
        <v>5</v>
      </c>
      <c r="I1858" s="2">
        <v>5</v>
      </c>
      <c r="J1858">
        <f t="shared" si="140"/>
        <v>13</v>
      </c>
      <c r="K1858">
        <f t="shared" si="141"/>
        <v>3</v>
      </c>
      <c r="L1858" t="str">
        <f t="shared" si="142"/>
        <v>No</v>
      </c>
      <c r="M1858" t="str">
        <f t="shared" si="144"/>
        <v>Yes</v>
      </c>
      <c r="N1858" t="str">
        <f t="shared" si="143"/>
        <v>No</v>
      </c>
    </row>
    <row r="1859" spans="1:14" x14ac:dyDescent="0.3">
      <c r="A1859" s="4" t="s">
        <v>3735</v>
      </c>
      <c r="B1859" s="4" t="s">
        <v>3736</v>
      </c>
      <c r="C1859" s="4" t="s">
        <v>27</v>
      </c>
      <c r="D1859" s="5">
        <v>45939</v>
      </c>
      <c r="E1859" s="5">
        <v>45947</v>
      </c>
      <c r="F1859" s="5">
        <v>45952</v>
      </c>
      <c r="G1859" s="4" t="s">
        <v>11</v>
      </c>
      <c r="H1859" s="4">
        <v>8</v>
      </c>
      <c r="I1859" s="2">
        <v>8</v>
      </c>
      <c r="J1859">
        <f t="shared" ref="J1859:J1922" si="145">F1859-D1859</f>
        <v>13</v>
      </c>
      <c r="K1859">
        <f t="shared" ref="K1859:K1922" si="146">F1859-E1859</f>
        <v>5</v>
      </c>
      <c r="L1859" t="str">
        <f t="shared" ref="L1859:L1922" si="147">IF(K1859&lt;=0,"Yes","No")</f>
        <v>No</v>
      </c>
      <c r="M1859" t="str">
        <f t="shared" si="144"/>
        <v>Yes</v>
      </c>
      <c r="N1859" t="str">
        <f t="shared" ref="N1859:N1922" si="148">IF(AND(L1859="Yes",M1859="Yes"),"Yes","No")</f>
        <v>No</v>
      </c>
    </row>
    <row r="1860" spans="1:14" x14ac:dyDescent="0.3">
      <c r="A1860" s="2" t="s">
        <v>3737</v>
      </c>
      <c r="B1860" s="2" t="s">
        <v>3738</v>
      </c>
      <c r="C1860" s="2" t="s">
        <v>37</v>
      </c>
      <c r="D1860" s="3">
        <v>45940</v>
      </c>
      <c r="E1860" s="3">
        <v>45945</v>
      </c>
      <c r="F1860" s="3">
        <v>45953</v>
      </c>
      <c r="G1860" s="2" t="s">
        <v>18</v>
      </c>
      <c r="H1860" s="2">
        <v>52</v>
      </c>
      <c r="I1860" s="2">
        <v>52</v>
      </c>
      <c r="J1860">
        <f t="shared" si="145"/>
        <v>13</v>
      </c>
      <c r="K1860">
        <f t="shared" si="146"/>
        <v>8</v>
      </c>
      <c r="L1860" t="str">
        <f t="shared" si="147"/>
        <v>No</v>
      </c>
      <c r="M1860" t="str">
        <f t="shared" ref="M1860:M1923" si="149">IF(H1860=I1860,"Yes","No")</f>
        <v>Yes</v>
      </c>
      <c r="N1860" t="str">
        <f t="shared" si="148"/>
        <v>No</v>
      </c>
    </row>
    <row r="1861" spans="1:14" x14ac:dyDescent="0.3">
      <c r="A1861" s="4" t="s">
        <v>3739</v>
      </c>
      <c r="B1861" s="4" t="s">
        <v>3740</v>
      </c>
      <c r="C1861" s="4" t="s">
        <v>37</v>
      </c>
      <c r="D1861" s="5">
        <v>45940</v>
      </c>
      <c r="E1861" s="5">
        <v>45943</v>
      </c>
      <c r="F1861" s="5">
        <v>45955</v>
      </c>
      <c r="G1861" s="4" t="s">
        <v>15</v>
      </c>
      <c r="H1861" s="4">
        <v>8</v>
      </c>
      <c r="I1861" s="2">
        <v>14</v>
      </c>
      <c r="J1861">
        <f t="shared" si="145"/>
        <v>15</v>
      </c>
      <c r="K1861">
        <f t="shared" si="146"/>
        <v>12</v>
      </c>
      <c r="L1861" t="str">
        <f t="shared" si="147"/>
        <v>No</v>
      </c>
      <c r="M1861" t="str">
        <f t="shared" si="149"/>
        <v>No</v>
      </c>
      <c r="N1861" t="str">
        <f t="shared" si="148"/>
        <v>No</v>
      </c>
    </row>
    <row r="1862" spans="1:14" x14ac:dyDescent="0.3">
      <c r="A1862" s="2" t="s">
        <v>3741</v>
      </c>
      <c r="B1862" s="2" t="s">
        <v>3742</v>
      </c>
      <c r="C1862" s="2" t="s">
        <v>10</v>
      </c>
      <c r="D1862" s="3">
        <v>45942</v>
      </c>
      <c r="E1862" s="3">
        <v>45948</v>
      </c>
      <c r="F1862" s="3">
        <v>45946</v>
      </c>
      <c r="G1862" s="2" t="s">
        <v>22</v>
      </c>
      <c r="H1862" s="2">
        <v>42</v>
      </c>
      <c r="I1862" s="2">
        <v>43</v>
      </c>
      <c r="J1862">
        <f t="shared" si="145"/>
        <v>4</v>
      </c>
      <c r="K1862">
        <f t="shared" si="146"/>
        <v>-2</v>
      </c>
      <c r="L1862" t="str">
        <f t="shared" si="147"/>
        <v>Yes</v>
      </c>
      <c r="M1862" t="str">
        <f t="shared" si="149"/>
        <v>No</v>
      </c>
      <c r="N1862" t="str">
        <f t="shared" si="148"/>
        <v>No</v>
      </c>
    </row>
    <row r="1863" spans="1:14" x14ac:dyDescent="0.3">
      <c r="A1863" s="4" t="s">
        <v>3743</v>
      </c>
      <c r="B1863" s="4" t="s">
        <v>3744</v>
      </c>
      <c r="C1863" s="4" t="s">
        <v>59</v>
      </c>
      <c r="D1863" s="5">
        <v>45940</v>
      </c>
      <c r="E1863" s="5">
        <v>45945</v>
      </c>
      <c r="F1863" s="5">
        <v>45944</v>
      </c>
      <c r="G1863" s="4" t="s">
        <v>40</v>
      </c>
      <c r="H1863" s="4">
        <v>47</v>
      </c>
      <c r="I1863" s="2">
        <v>47</v>
      </c>
      <c r="J1863">
        <f t="shared" si="145"/>
        <v>4</v>
      </c>
      <c r="K1863">
        <f t="shared" si="146"/>
        <v>-1</v>
      </c>
      <c r="L1863" t="str">
        <f t="shared" si="147"/>
        <v>Yes</v>
      </c>
      <c r="M1863" t="str">
        <f t="shared" si="149"/>
        <v>Yes</v>
      </c>
      <c r="N1863" t="str">
        <f t="shared" si="148"/>
        <v>Yes</v>
      </c>
    </row>
    <row r="1864" spans="1:14" x14ac:dyDescent="0.3">
      <c r="A1864" s="2" t="s">
        <v>3745</v>
      </c>
      <c r="B1864" s="2" t="s">
        <v>3746</v>
      </c>
      <c r="C1864" s="2" t="s">
        <v>21</v>
      </c>
      <c r="D1864" s="3">
        <v>45942</v>
      </c>
      <c r="E1864" s="3">
        <v>45947</v>
      </c>
      <c r="F1864" s="3">
        <v>45947</v>
      </c>
      <c r="G1864" s="2" t="s">
        <v>40</v>
      </c>
      <c r="H1864" s="2">
        <v>50</v>
      </c>
      <c r="I1864" s="2">
        <v>50</v>
      </c>
      <c r="J1864">
        <f t="shared" si="145"/>
        <v>5</v>
      </c>
      <c r="K1864">
        <f t="shared" si="146"/>
        <v>0</v>
      </c>
      <c r="L1864" t="str">
        <f t="shared" si="147"/>
        <v>Yes</v>
      </c>
      <c r="M1864" t="str">
        <f t="shared" si="149"/>
        <v>Yes</v>
      </c>
      <c r="N1864" t="str">
        <f t="shared" si="148"/>
        <v>Yes</v>
      </c>
    </row>
    <row r="1865" spans="1:14" x14ac:dyDescent="0.3">
      <c r="A1865" s="4" t="s">
        <v>3747</v>
      </c>
      <c r="B1865" s="4" t="s">
        <v>3748</v>
      </c>
      <c r="C1865" s="4" t="s">
        <v>27</v>
      </c>
      <c r="D1865" s="5">
        <v>45940</v>
      </c>
      <c r="E1865" s="5">
        <v>45945</v>
      </c>
      <c r="F1865" s="5">
        <v>45954</v>
      </c>
      <c r="G1865" s="4" t="s">
        <v>22</v>
      </c>
      <c r="H1865" s="4">
        <v>13</v>
      </c>
      <c r="I1865" s="2">
        <v>13</v>
      </c>
      <c r="J1865">
        <f t="shared" si="145"/>
        <v>14</v>
      </c>
      <c r="K1865">
        <f t="shared" si="146"/>
        <v>9</v>
      </c>
      <c r="L1865" t="str">
        <f t="shared" si="147"/>
        <v>No</v>
      </c>
      <c r="M1865" t="str">
        <f t="shared" si="149"/>
        <v>Yes</v>
      </c>
      <c r="N1865" t="str">
        <f t="shared" si="148"/>
        <v>No</v>
      </c>
    </row>
    <row r="1866" spans="1:14" x14ac:dyDescent="0.3">
      <c r="A1866" s="2" t="s">
        <v>3749</v>
      </c>
      <c r="B1866" s="2" t="s">
        <v>3750</v>
      </c>
      <c r="C1866" s="2" t="s">
        <v>27</v>
      </c>
      <c r="D1866" s="3">
        <v>45940</v>
      </c>
      <c r="E1866" s="3">
        <v>45947</v>
      </c>
      <c r="F1866" s="3">
        <v>45953</v>
      </c>
      <c r="G1866" s="2" t="s">
        <v>11</v>
      </c>
      <c r="H1866" s="2">
        <v>9</v>
      </c>
      <c r="I1866" s="2">
        <v>9</v>
      </c>
      <c r="J1866">
        <f t="shared" si="145"/>
        <v>13</v>
      </c>
      <c r="K1866">
        <f t="shared" si="146"/>
        <v>6</v>
      </c>
      <c r="L1866" t="str">
        <f t="shared" si="147"/>
        <v>No</v>
      </c>
      <c r="M1866" t="str">
        <f t="shared" si="149"/>
        <v>Yes</v>
      </c>
      <c r="N1866" t="str">
        <f t="shared" si="148"/>
        <v>No</v>
      </c>
    </row>
    <row r="1867" spans="1:14" x14ac:dyDescent="0.3">
      <c r="A1867" s="4" t="s">
        <v>3751</v>
      </c>
      <c r="B1867" s="4" t="s">
        <v>3752</v>
      </c>
      <c r="C1867" s="4" t="s">
        <v>72</v>
      </c>
      <c r="D1867" s="5">
        <v>45942</v>
      </c>
      <c r="E1867" s="5">
        <v>45947</v>
      </c>
      <c r="F1867" s="5">
        <v>45958</v>
      </c>
      <c r="G1867" s="4" t="s">
        <v>40</v>
      </c>
      <c r="H1867" s="4">
        <v>35</v>
      </c>
      <c r="I1867" s="2">
        <v>35</v>
      </c>
      <c r="J1867">
        <f t="shared" si="145"/>
        <v>16</v>
      </c>
      <c r="K1867">
        <f t="shared" si="146"/>
        <v>11</v>
      </c>
      <c r="L1867" t="str">
        <f t="shared" si="147"/>
        <v>No</v>
      </c>
      <c r="M1867" t="str">
        <f t="shared" si="149"/>
        <v>Yes</v>
      </c>
      <c r="N1867" t="str">
        <f t="shared" si="148"/>
        <v>No</v>
      </c>
    </row>
    <row r="1868" spans="1:14" x14ac:dyDescent="0.3">
      <c r="A1868" s="2" t="s">
        <v>3753</v>
      </c>
      <c r="B1868" s="2" t="s">
        <v>3754</v>
      </c>
      <c r="C1868" s="2" t="s">
        <v>10</v>
      </c>
      <c r="D1868" s="3">
        <v>45942</v>
      </c>
      <c r="E1868" s="3">
        <v>45949</v>
      </c>
      <c r="F1868" s="3">
        <v>45947</v>
      </c>
      <c r="G1868" s="2" t="s">
        <v>11</v>
      </c>
      <c r="H1868" s="2">
        <v>30</v>
      </c>
      <c r="I1868" s="2">
        <v>30</v>
      </c>
      <c r="J1868">
        <f t="shared" si="145"/>
        <v>5</v>
      </c>
      <c r="K1868">
        <f t="shared" si="146"/>
        <v>-2</v>
      </c>
      <c r="L1868" t="str">
        <f t="shared" si="147"/>
        <v>Yes</v>
      </c>
      <c r="M1868" t="str">
        <f t="shared" si="149"/>
        <v>Yes</v>
      </c>
      <c r="N1868" t="str">
        <f t="shared" si="148"/>
        <v>Yes</v>
      </c>
    </row>
    <row r="1869" spans="1:14" x14ac:dyDescent="0.3">
      <c r="A1869" s="4" t="s">
        <v>3755</v>
      </c>
      <c r="B1869" s="4" t="s">
        <v>3756</v>
      </c>
      <c r="C1869" s="4" t="s">
        <v>72</v>
      </c>
      <c r="D1869" s="5">
        <v>45943</v>
      </c>
      <c r="E1869" s="5">
        <v>45950</v>
      </c>
      <c r="F1869" s="5">
        <v>45957</v>
      </c>
      <c r="G1869" s="4" t="s">
        <v>22</v>
      </c>
      <c r="H1869" s="4">
        <v>19</v>
      </c>
      <c r="I1869" s="2">
        <v>19</v>
      </c>
      <c r="J1869">
        <f t="shared" si="145"/>
        <v>14</v>
      </c>
      <c r="K1869">
        <f t="shared" si="146"/>
        <v>7</v>
      </c>
      <c r="L1869" t="str">
        <f t="shared" si="147"/>
        <v>No</v>
      </c>
      <c r="M1869" t="str">
        <f t="shared" si="149"/>
        <v>Yes</v>
      </c>
      <c r="N1869" t="str">
        <f t="shared" si="148"/>
        <v>No</v>
      </c>
    </row>
    <row r="1870" spans="1:14" x14ac:dyDescent="0.3">
      <c r="A1870" s="2" t="s">
        <v>3757</v>
      </c>
      <c r="B1870" s="2" t="s">
        <v>3758</v>
      </c>
      <c r="C1870" s="2" t="s">
        <v>59</v>
      </c>
      <c r="D1870" s="3">
        <v>45942</v>
      </c>
      <c r="E1870" s="3">
        <v>45946</v>
      </c>
      <c r="F1870" s="3">
        <v>45947</v>
      </c>
      <c r="G1870" s="2" t="s">
        <v>15</v>
      </c>
      <c r="H1870" s="2">
        <v>20</v>
      </c>
      <c r="I1870" s="2">
        <v>20</v>
      </c>
      <c r="J1870">
        <f t="shared" si="145"/>
        <v>5</v>
      </c>
      <c r="K1870">
        <f t="shared" si="146"/>
        <v>1</v>
      </c>
      <c r="L1870" t="str">
        <f t="shared" si="147"/>
        <v>No</v>
      </c>
      <c r="M1870" t="str">
        <f t="shared" si="149"/>
        <v>Yes</v>
      </c>
      <c r="N1870" t="str">
        <f t="shared" si="148"/>
        <v>No</v>
      </c>
    </row>
    <row r="1871" spans="1:14" x14ac:dyDescent="0.3">
      <c r="A1871" s="4" t="s">
        <v>3759</v>
      </c>
      <c r="B1871" s="4" t="s">
        <v>3760</v>
      </c>
      <c r="C1871" s="4" t="s">
        <v>59</v>
      </c>
      <c r="D1871" s="5">
        <v>45942</v>
      </c>
      <c r="E1871" s="5">
        <v>45949</v>
      </c>
      <c r="F1871" s="5">
        <v>45946</v>
      </c>
      <c r="G1871" s="4" t="s">
        <v>18</v>
      </c>
      <c r="H1871" s="4">
        <v>45</v>
      </c>
      <c r="I1871" s="2">
        <v>45</v>
      </c>
      <c r="J1871">
        <f t="shared" si="145"/>
        <v>4</v>
      </c>
      <c r="K1871">
        <f t="shared" si="146"/>
        <v>-3</v>
      </c>
      <c r="L1871" t="str">
        <f t="shared" si="147"/>
        <v>Yes</v>
      </c>
      <c r="M1871" t="str">
        <f t="shared" si="149"/>
        <v>Yes</v>
      </c>
      <c r="N1871" t="str">
        <f t="shared" si="148"/>
        <v>Yes</v>
      </c>
    </row>
    <row r="1872" spans="1:14" x14ac:dyDescent="0.3">
      <c r="A1872" s="2" t="s">
        <v>3761</v>
      </c>
      <c r="B1872" s="2" t="s">
        <v>3762</v>
      </c>
      <c r="C1872" s="2" t="s">
        <v>21</v>
      </c>
      <c r="D1872" s="3">
        <v>45941</v>
      </c>
      <c r="E1872" s="3">
        <v>45950</v>
      </c>
      <c r="F1872" s="3">
        <v>45947</v>
      </c>
      <c r="G1872" s="2" t="s">
        <v>15</v>
      </c>
      <c r="H1872" s="2">
        <v>33</v>
      </c>
      <c r="I1872" s="2">
        <v>33</v>
      </c>
      <c r="J1872">
        <f t="shared" si="145"/>
        <v>6</v>
      </c>
      <c r="K1872">
        <f t="shared" si="146"/>
        <v>-3</v>
      </c>
      <c r="L1872" t="str">
        <f t="shared" si="147"/>
        <v>Yes</v>
      </c>
      <c r="M1872" t="str">
        <f t="shared" si="149"/>
        <v>Yes</v>
      </c>
      <c r="N1872" t="str">
        <f t="shared" si="148"/>
        <v>Yes</v>
      </c>
    </row>
    <row r="1873" spans="1:14" x14ac:dyDescent="0.3">
      <c r="A1873" s="4" t="s">
        <v>3763</v>
      </c>
      <c r="B1873" s="4" t="s">
        <v>3764</v>
      </c>
      <c r="C1873" s="4" t="s">
        <v>27</v>
      </c>
      <c r="D1873" s="5">
        <v>45942</v>
      </c>
      <c r="E1873" s="5">
        <v>45945</v>
      </c>
      <c r="F1873" s="5">
        <v>45957</v>
      </c>
      <c r="G1873" s="4" t="s">
        <v>11</v>
      </c>
      <c r="H1873" s="4">
        <v>6</v>
      </c>
      <c r="I1873" s="2">
        <v>6</v>
      </c>
      <c r="J1873">
        <f t="shared" si="145"/>
        <v>15</v>
      </c>
      <c r="K1873">
        <f t="shared" si="146"/>
        <v>12</v>
      </c>
      <c r="L1873" t="str">
        <f t="shared" si="147"/>
        <v>No</v>
      </c>
      <c r="M1873" t="str">
        <f t="shared" si="149"/>
        <v>Yes</v>
      </c>
      <c r="N1873" t="str">
        <f t="shared" si="148"/>
        <v>No</v>
      </c>
    </row>
    <row r="1874" spans="1:14" x14ac:dyDescent="0.3">
      <c r="A1874" s="2" t="s">
        <v>3765</v>
      </c>
      <c r="B1874" s="2" t="s">
        <v>3766</v>
      </c>
      <c r="C1874" s="2" t="s">
        <v>37</v>
      </c>
      <c r="D1874" s="3">
        <v>45944</v>
      </c>
      <c r="E1874" s="3">
        <v>45952</v>
      </c>
      <c r="F1874" s="3">
        <v>45957</v>
      </c>
      <c r="G1874" s="2" t="s">
        <v>11</v>
      </c>
      <c r="H1874" s="2">
        <v>41</v>
      </c>
      <c r="I1874" s="2">
        <v>41</v>
      </c>
      <c r="J1874">
        <f t="shared" si="145"/>
        <v>13</v>
      </c>
      <c r="K1874">
        <f t="shared" si="146"/>
        <v>5</v>
      </c>
      <c r="L1874" t="str">
        <f t="shared" si="147"/>
        <v>No</v>
      </c>
      <c r="M1874" t="str">
        <f t="shared" si="149"/>
        <v>Yes</v>
      </c>
      <c r="N1874" t="str">
        <f t="shared" si="148"/>
        <v>No</v>
      </c>
    </row>
    <row r="1875" spans="1:14" x14ac:dyDescent="0.3">
      <c r="A1875" s="4" t="s">
        <v>3767</v>
      </c>
      <c r="B1875" s="4" t="s">
        <v>3768</v>
      </c>
      <c r="C1875" s="4" t="s">
        <v>34</v>
      </c>
      <c r="D1875" s="5">
        <v>45942</v>
      </c>
      <c r="E1875" s="5">
        <v>45951</v>
      </c>
      <c r="F1875" s="5">
        <v>45949</v>
      </c>
      <c r="G1875" s="4" t="s">
        <v>15</v>
      </c>
      <c r="H1875" s="4">
        <v>64</v>
      </c>
      <c r="I1875" s="2">
        <v>64</v>
      </c>
      <c r="J1875">
        <f t="shared" si="145"/>
        <v>7</v>
      </c>
      <c r="K1875">
        <f t="shared" si="146"/>
        <v>-2</v>
      </c>
      <c r="L1875" t="str">
        <f t="shared" si="147"/>
        <v>Yes</v>
      </c>
      <c r="M1875" t="str">
        <f t="shared" si="149"/>
        <v>Yes</v>
      </c>
      <c r="N1875" t="str">
        <f t="shared" si="148"/>
        <v>Yes</v>
      </c>
    </row>
    <row r="1876" spans="1:14" x14ac:dyDescent="0.3">
      <c r="A1876" s="2" t="s">
        <v>3769</v>
      </c>
      <c r="B1876" s="2" t="s">
        <v>3770</v>
      </c>
      <c r="C1876" s="2" t="s">
        <v>72</v>
      </c>
      <c r="D1876" s="3">
        <v>45943</v>
      </c>
      <c r="E1876" s="3">
        <v>45947</v>
      </c>
      <c r="F1876" s="3">
        <v>45961</v>
      </c>
      <c r="G1876" s="2" t="s">
        <v>22</v>
      </c>
      <c r="H1876" s="2">
        <v>17</v>
      </c>
      <c r="I1876" s="2">
        <v>17</v>
      </c>
      <c r="J1876">
        <f t="shared" si="145"/>
        <v>18</v>
      </c>
      <c r="K1876">
        <f t="shared" si="146"/>
        <v>14</v>
      </c>
      <c r="L1876" t="str">
        <f t="shared" si="147"/>
        <v>No</v>
      </c>
      <c r="M1876" t="str">
        <f t="shared" si="149"/>
        <v>Yes</v>
      </c>
      <c r="N1876" t="str">
        <f t="shared" si="148"/>
        <v>No</v>
      </c>
    </row>
    <row r="1877" spans="1:14" x14ac:dyDescent="0.3">
      <c r="A1877" s="4" t="s">
        <v>3771</v>
      </c>
      <c r="B1877" s="4" t="s">
        <v>3772</v>
      </c>
      <c r="C1877" s="4" t="s">
        <v>72</v>
      </c>
      <c r="D1877" s="5">
        <v>45943</v>
      </c>
      <c r="E1877" s="5">
        <v>45949</v>
      </c>
      <c r="F1877" s="5">
        <v>45961</v>
      </c>
      <c r="G1877" s="4" t="s">
        <v>40</v>
      </c>
      <c r="H1877" s="4">
        <v>26</v>
      </c>
      <c r="I1877" s="2">
        <v>26</v>
      </c>
      <c r="J1877">
        <f t="shared" si="145"/>
        <v>18</v>
      </c>
      <c r="K1877">
        <f t="shared" si="146"/>
        <v>12</v>
      </c>
      <c r="L1877" t="str">
        <f t="shared" si="147"/>
        <v>No</v>
      </c>
      <c r="M1877" t="str">
        <f t="shared" si="149"/>
        <v>Yes</v>
      </c>
      <c r="N1877" t="str">
        <f t="shared" si="148"/>
        <v>No</v>
      </c>
    </row>
    <row r="1878" spans="1:14" x14ac:dyDescent="0.3">
      <c r="A1878" s="2" t="s">
        <v>3773</v>
      </c>
      <c r="B1878" s="2" t="s">
        <v>3774</v>
      </c>
      <c r="C1878" s="2" t="s">
        <v>14</v>
      </c>
      <c r="D1878" s="3">
        <v>45942</v>
      </c>
      <c r="E1878" s="3">
        <v>45952</v>
      </c>
      <c r="F1878" s="3">
        <v>45961</v>
      </c>
      <c r="G1878" s="2" t="s">
        <v>22</v>
      </c>
      <c r="H1878" s="2">
        <v>13</v>
      </c>
      <c r="I1878" s="2">
        <v>13</v>
      </c>
      <c r="J1878">
        <f t="shared" si="145"/>
        <v>19</v>
      </c>
      <c r="K1878">
        <f t="shared" si="146"/>
        <v>9</v>
      </c>
      <c r="L1878" t="str">
        <f t="shared" si="147"/>
        <v>No</v>
      </c>
      <c r="M1878" t="str">
        <f t="shared" si="149"/>
        <v>Yes</v>
      </c>
      <c r="N1878" t="str">
        <f t="shared" si="148"/>
        <v>No</v>
      </c>
    </row>
    <row r="1879" spans="1:14" x14ac:dyDescent="0.3">
      <c r="A1879" s="4" t="s">
        <v>3775</v>
      </c>
      <c r="B1879" s="4" t="s">
        <v>3776</v>
      </c>
      <c r="C1879" s="4" t="s">
        <v>21</v>
      </c>
      <c r="D1879" s="5">
        <v>45943</v>
      </c>
      <c r="E1879" s="5">
        <v>45950</v>
      </c>
      <c r="F1879" s="5">
        <v>45949</v>
      </c>
      <c r="G1879" s="4" t="s">
        <v>11</v>
      </c>
      <c r="H1879" s="4">
        <v>42</v>
      </c>
      <c r="I1879" s="2">
        <v>50</v>
      </c>
      <c r="J1879">
        <f t="shared" si="145"/>
        <v>6</v>
      </c>
      <c r="K1879">
        <f t="shared" si="146"/>
        <v>-1</v>
      </c>
      <c r="L1879" t="str">
        <f t="shared" si="147"/>
        <v>Yes</v>
      </c>
      <c r="M1879" t="str">
        <f t="shared" si="149"/>
        <v>No</v>
      </c>
      <c r="N1879" t="str">
        <f t="shared" si="148"/>
        <v>No</v>
      </c>
    </row>
    <row r="1880" spans="1:14" x14ac:dyDescent="0.3">
      <c r="A1880" s="2" t="s">
        <v>3777</v>
      </c>
      <c r="B1880" s="2" t="s">
        <v>3778</v>
      </c>
      <c r="C1880" s="2" t="s">
        <v>27</v>
      </c>
      <c r="D1880" s="3">
        <v>45942</v>
      </c>
      <c r="E1880" s="3">
        <v>45952</v>
      </c>
      <c r="F1880" s="3">
        <v>45955</v>
      </c>
      <c r="G1880" s="2" t="s">
        <v>11</v>
      </c>
      <c r="H1880" s="2">
        <v>48</v>
      </c>
      <c r="I1880" s="2">
        <v>48</v>
      </c>
      <c r="J1880">
        <f t="shared" si="145"/>
        <v>13</v>
      </c>
      <c r="K1880">
        <f t="shared" si="146"/>
        <v>3</v>
      </c>
      <c r="L1880" t="str">
        <f t="shared" si="147"/>
        <v>No</v>
      </c>
      <c r="M1880" t="str">
        <f t="shared" si="149"/>
        <v>Yes</v>
      </c>
      <c r="N1880" t="str">
        <f t="shared" si="148"/>
        <v>No</v>
      </c>
    </row>
    <row r="1881" spans="1:14" x14ac:dyDescent="0.3">
      <c r="A1881" s="4" t="s">
        <v>3779</v>
      </c>
      <c r="B1881" s="4" t="s">
        <v>3780</v>
      </c>
      <c r="C1881" s="4" t="s">
        <v>59</v>
      </c>
      <c r="D1881" s="5">
        <v>45944</v>
      </c>
      <c r="E1881" s="5">
        <v>45946</v>
      </c>
      <c r="F1881" s="5">
        <v>45948</v>
      </c>
      <c r="G1881" s="4" t="s">
        <v>11</v>
      </c>
      <c r="H1881" s="4">
        <v>19</v>
      </c>
      <c r="I1881" s="2">
        <v>19</v>
      </c>
      <c r="J1881">
        <f t="shared" si="145"/>
        <v>4</v>
      </c>
      <c r="K1881">
        <f t="shared" si="146"/>
        <v>2</v>
      </c>
      <c r="L1881" t="str">
        <f t="shared" si="147"/>
        <v>No</v>
      </c>
      <c r="M1881" t="str">
        <f t="shared" si="149"/>
        <v>Yes</v>
      </c>
      <c r="N1881" t="str">
        <f t="shared" si="148"/>
        <v>No</v>
      </c>
    </row>
    <row r="1882" spans="1:14" x14ac:dyDescent="0.3">
      <c r="A1882" s="2" t="s">
        <v>3781</v>
      </c>
      <c r="B1882" s="2" t="s">
        <v>3782</v>
      </c>
      <c r="C1882" s="2" t="s">
        <v>21</v>
      </c>
      <c r="D1882" s="3">
        <v>45944</v>
      </c>
      <c r="E1882" s="3">
        <v>45953</v>
      </c>
      <c r="F1882" s="3">
        <v>45952</v>
      </c>
      <c r="G1882" s="2" t="s">
        <v>40</v>
      </c>
      <c r="H1882" s="2">
        <v>17</v>
      </c>
      <c r="I1882" s="2">
        <v>17</v>
      </c>
      <c r="J1882">
        <f t="shared" si="145"/>
        <v>8</v>
      </c>
      <c r="K1882">
        <f t="shared" si="146"/>
        <v>-1</v>
      </c>
      <c r="L1882" t="str">
        <f t="shared" si="147"/>
        <v>Yes</v>
      </c>
      <c r="M1882" t="str">
        <f t="shared" si="149"/>
        <v>Yes</v>
      </c>
      <c r="N1882" t="str">
        <f t="shared" si="148"/>
        <v>Yes</v>
      </c>
    </row>
    <row r="1883" spans="1:14" x14ac:dyDescent="0.3">
      <c r="A1883" s="4" t="s">
        <v>3783</v>
      </c>
      <c r="B1883" s="4" t="s">
        <v>3784</v>
      </c>
      <c r="C1883" s="4" t="s">
        <v>21</v>
      </c>
      <c r="D1883" s="5">
        <v>45943</v>
      </c>
      <c r="E1883" s="5">
        <v>45950</v>
      </c>
      <c r="F1883" s="5">
        <v>45950</v>
      </c>
      <c r="G1883" s="4" t="s">
        <v>15</v>
      </c>
      <c r="H1883" s="4">
        <v>71</v>
      </c>
      <c r="I1883" s="2">
        <v>71</v>
      </c>
      <c r="J1883">
        <f t="shared" si="145"/>
        <v>7</v>
      </c>
      <c r="K1883">
        <f t="shared" si="146"/>
        <v>0</v>
      </c>
      <c r="L1883" t="str">
        <f t="shared" si="147"/>
        <v>Yes</v>
      </c>
      <c r="M1883" t="str">
        <f t="shared" si="149"/>
        <v>Yes</v>
      </c>
      <c r="N1883" t="str">
        <f t="shared" si="148"/>
        <v>Yes</v>
      </c>
    </row>
    <row r="1884" spans="1:14" x14ac:dyDescent="0.3">
      <c r="A1884" s="2" t="s">
        <v>3785</v>
      </c>
      <c r="B1884" s="2" t="s">
        <v>3786</v>
      </c>
      <c r="C1884" s="2" t="s">
        <v>27</v>
      </c>
      <c r="D1884" s="3">
        <v>45945</v>
      </c>
      <c r="E1884" s="3">
        <v>45949</v>
      </c>
      <c r="F1884" s="3">
        <v>45962</v>
      </c>
      <c r="G1884" s="2" t="s">
        <v>11</v>
      </c>
      <c r="H1884" s="2">
        <v>29</v>
      </c>
      <c r="I1884" s="2">
        <v>29</v>
      </c>
      <c r="J1884">
        <f t="shared" si="145"/>
        <v>17</v>
      </c>
      <c r="K1884">
        <f t="shared" si="146"/>
        <v>13</v>
      </c>
      <c r="L1884" t="str">
        <f t="shared" si="147"/>
        <v>No</v>
      </c>
      <c r="M1884" t="str">
        <f t="shared" si="149"/>
        <v>Yes</v>
      </c>
      <c r="N1884" t="str">
        <f t="shared" si="148"/>
        <v>No</v>
      </c>
    </row>
    <row r="1885" spans="1:14" x14ac:dyDescent="0.3">
      <c r="A1885" s="4" t="s">
        <v>3787</v>
      </c>
      <c r="B1885" s="4" t="s">
        <v>3788</v>
      </c>
      <c r="C1885" s="4" t="s">
        <v>27</v>
      </c>
      <c r="D1885" s="5">
        <v>45943</v>
      </c>
      <c r="E1885" s="5">
        <v>45951</v>
      </c>
      <c r="F1885" s="5">
        <v>45956</v>
      </c>
      <c r="G1885" s="4" t="s">
        <v>15</v>
      </c>
      <c r="H1885" s="4">
        <v>6</v>
      </c>
      <c r="I1885" s="2">
        <v>6</v>
      </c>
      <c r="J1885">
        <f t="shared" si="145"/>
        <v>13</v>
      </c>
      <c r="K1885">
        <f t="shared" si="146"/>
        <v>5</v>
      </c>
      <c r="L1885" t="str">
        <f t="shared" si="147"/>
        <v>No</v>
      </c>
      <c r="M1885" t="str">
        <f t="shared" si="149"/>
        <v>Yes</v>
      </c>
      <c r="N1885" t="str">
        <f t="shared" si="148"/>
        <v>No</v>
      </c>
    </row>
    <row r="1886" spans="1:14" x14ac:dyDescent="0.3">
      <c r="A1886" s="2" t="s">
        <v>3789</v>
      </c>
      <c r="B1886" s="2" t="s">
        <v>3790</v>
      </c>
      <c r="C1886" s="2" t="s">
        <v>72</v>
      </c>
      <c r="D1886" s="3">
        <v>45946</v>
      </c>
      <c r="E1886" s="3">
        <v>45954</v>
      </c>
      <c r="F1886" s="3">
        <v>45960</v>
      </c>
      <c r="G1886" s="2" t="s">
        <v>11</v>
      </c>
      <c r="H1886" s="2">
        <v>15</v>
      </c>
      <c r="I1886" s="2">
        <v>15</v>
      </c>
      <c r="J1886">
        <f t="shared" si="145"/>
        <v>14</v>
      </c>
      <c r="K1886">
        <f t="shared" si="146"/>
        <v>6</v>
      </c>
      <c r="L1886" t="str">
        <f t="shared" si="147"/>
        <v>No</v>
      </c>
      <c r="M1886" t="str">
        <f t="shared" si="149"/>
        <v>Yes</v>
      </c>
      <c r="N1886" t="str">
        <f t="shared" si="148"/>
        <v>No</v>
      </c>
    </row>
    <row r="1887" spans="1:14" x14ac:dyDescent="0.3">
      <c r="A1887" s="4" t="s">
        <v>3791</v>
      </c>
      <c r="B1887" s="4" t="s">
        <v>3792</v>
      </c>
      <c r="C1887" s="4" t="s">
        <v>14</v>
      </c>
      <c r="D1887" s="5">
        <v>45944</v>
      </c>
      <c r="E1887" s="5">
        <v>45951</v>
      </c>
      <c r="F1887" s="5">
        <v>45959</v>
      </c>
      <c r="G1887" s="4" t="s">
        <v>15</v>
      </c>
      <c r="H1887" s="4">
        <v>35</v>
      </c>
      <c r="I1887" s="2">
        <v>35</v>
      </c>
      <c r="J1887">
        <f t="shared" si="145"/>
        <v>15</v>
      </c>
      <c r="K1887">
        <f t="shared" si="146"/>
        <v>8</v>
      </c>
      <c r="L1887" t="str">
        <f t="shared" si="147"/>
        <v>No</v>
      </c>
      <c r="M1887" t="str">
        <f t="shared" si="149"/>
        <v>Yes</v>
      </c>
      <c r="N1887" t="str">
        <f t="shared" si="148"/>
        <v>No</v>
      </c>
    </row>
    <row r="1888" spans="1:14" x14ac:dyDescent="0.3">
      <c r="A1888" s="2" t="s">
        <v>3793</v>
      </c>
      <c r="B1888" s="2" t="s">
        <v>3794</v>
      </c>
      <c r="C1888" s="2" t="s">
        <v>21</v>
      </c>
      <c r="D1888" s="3">
        <v>45946</v>
      </c>
      <c r="E1888" s="3">
        <v>45951</v>
      </c>
      <c r="F1888" s="3">
        <v>45954</v>
      </c>
      <c r="G1888" s="2" t="s">
        <v>40</v>
      </c>
      <c r="H1888" s="2">
        <v>29</v>
      </c>
      <c r="I1888" s="2">
        <v>29</v>
      </c>
      <c r="J1888">
        <f t="shared" si="145"/>
        <v>8</v>
      </c>
      <c r="K1888">
        <f t="shared" si="146"/>
        <v>3</v>
      </c>
      <c r="L1888" t="str">
        <f t="shared" si="147"/>
        <v>No</v>
      </c>
      <c r="M1888" t="str">
        <f t="shared" si="149"/>
        <v>Yes</v>
      </c>
      <c r="N1888" t="str">
        <f t="shared" si="148"/>
        <v>No</v>
      </c>
    </row>
    <row r="1889" spans="1:14" x14ac:dyDescent="0.3">
      <c r="A1889" s="4" t="s">
        <v>3795</v>
      </c>
      <c r="B1889" s="4" t="s">
        <v>3796</v>
      </c>
      <c r="C1889" s="4" t="s">
        <v>27</v>
      </c>
      <c r="D1889" s="5">
        <v>45945</v>
      </c>
      <c r="E1889" s="5">
        <v>45949</v>
      </c>
      <c r="F1889" s="5">
        <v>45958</v>
      </c>
      <c r="G1889" s="4" t="s">
        <v>11</v>
      </c>
      <c r="H1889" s="4">
        <v>4</v>
      </c>
      <c r="I1889" s="2">
        <v>4</v>
      </c>
      <c r="J1889">
        <f t="shared" si="145"/>
        <v>13</v>
      </c>
      <c r="K1889">
        <f t="shared" si="146"/>
        <v>9</v>
      </c>
      <c r="L1889" t="str">
        <f t="shared" si="147"/>
        <v>No</v>
      </c>
      <c r="M1889" t="str">
        <f t="shared" si="149"/>
        <v>Yes</v>
      </c>
      <c r="N1889" t="str">
        <f t="shared" si="148"/>
        <v>No</v>
      </c>
    </row>
    <row r="1890" spans="1:14" x14ac:dyDescent="0.3">
      <c r="A1890" s="2" t="s">
        <v>3797</v>
      </c>
      <c r="B1890" s="2" t="s">
        <v>3798</v>
      </c>
      <c r="C1890" s="2" t="s">
        <v>34</v>
      </c>
      <c r="D1890" s="3">
        <v>45947</v>
      </c>
      <c r="E1890" s="3">
        <v>45952</v>
      </c>
      <c r="F1890" s="3">
        <v>45954</v>
      </c>
      <c r="G1890" s="2" t="s">
        <v>15</v>
      </c>
      <c r="H1890" s="2">
        <v>45</v>
      </c>
      <c r="I1890" s="2">
        <v>45</v>
      </c>
      <c r="J1890">
        <f t="shared" si="145"/>
        <v>7</v>
      </c>
      <c r="K1890">
        <f t="shared" si="146"/>
        <v>2</v>
      </c>
      <c r="L1890" t="str">
        <f t="shared" si="147"/>
        <v>No</v>
      </c>
      <c r="M1890" t="str">
        <f t="shared" si="149"/>
        <v>Yes</v>
      </c>
      <c r="N1890" t="str">
        <f t="shared" si="148"/>
        <v>No</v>
      </c>
    </row>
    <row r="1891" spans="1:14" x14ac:dyDescent="0.3">
      <c r="A1891" s="4" t="s">
        <v>3799</v>
      </c>
      <c r="B1891" s="4" t="s">
        <v>3800</v>
      </c>
      <c r="C1891" s="4" t="s">
        <v>37</v>
      </c>
      <c r="D1891" s="5">
        <v>45947</v>
      </c>
      <c r="E1891" s="5">
        <v>45954</v>
      </c>
      <c r="F1891" s="5">
        <v>45961</v>
      </c>
      <c r="G1891" s="4" t="s">
        <v>15</v>
      </c>
      <c r="H1891" s="4">
        <v>34</v>
      </c>
      <c r="I1891" s="2">
        <v>36</v>
      </c>
      <c r="J1891">
        <f t="shared" si="145"/>
        <v>14</v>
      </c>
      <c r="K1891">
        <f t="shared" si="146"/>
        <v>7</v>
      </c>
      <c r="L1891" t="str">
        <f t="shared" si="147"/>
        <v>No</v>
      </c>
      <c r="M1891" t="str">
        <f t="shared" si="149"/>
        <v>No</v>
      </c>
      <c r="N1891" t="str">
        <f t="shared" si="148"/>
        <v>No</v>
      </c>
    </row>
    <row r="1892" spans="1:14" x14ac:dyDescent="0.3">
      <c r="A1892" s="2" t="s">
        <v>3801</v>
      </c>
      <c r="B1892" s="2" t="s">
        <v>3802</v>
      </c>
      <c r="C1892" s="2" t="s">
        <v>59</v>
      </c>
      <c r="D1892" s="3">
        <v>45946</v>
      </c>
      <c r="E1892" s="3">
        <v>45955</v>
      </c>
      <c r="F1892" s="3">
        <v>45951</v>
      </c>
      <c r="G1892" s="2" t="s">
        <v>40</v>
      </c>
      <c r="H1892" s="2">
        <v>72</v>
      </c>
      <c r="I1892" s="2">
        <v>72</v>
      </c>
      <c r="J1892">
        <f t="shared" si="145"/>
        <v>5</v>
      </c>
      <c r="K1892">
        <f t="shared" si="146"/>
        <v>-4</v>
      </c>
      <c r="L1892" t="str">
        <f t="shared" si="147"/>
        <v>Yes</v>
      </c>
      <c r="M1892" t="str">
        <f t="shared" si="149"/>
        <v>Yes</v>
      </c>
      <c r="N1892" t="str">
        <f t="shared" si="148"/>
        <v>Yes</v>
      </c>
    </row>
    <row r="1893" spans="1:14" x14ac:dyDescent="0.3">
      <c r="A1893" s="4" t="s">
        <v>3803</v>
      </c>
      <c r="B1893" s="4" t="s">
        <v>3804</v>
      </c>
      <c r="C1893" s="4" t="s">
        <v>21</v>
      </c>
      <c r="D1893" s="5">
        <v>45946</v>
      </c>
      <c r="E1893" s="5">
        <v>45949</v>
      </c>
      <c r="F1893" s="5">
        <v>45951</v>
      </c>
      <c r="G1893" s="4" t="s">
        <v>40</v>
      </c>
      <c r="H1893" s="4">
        <v>37</v>
      </c>
      <c r="I1893" s="2">
        <v>37</v>
      </c>
      <c r="J1893">
        <f t="shared" si="145"/>
        <v>5</v>
      </c>
      <c r="K1893">
        <f t="shared" si="146"/>
        <v>2</v>
      </c>
      <c r="L1893" t="str">
        <f t="shared" si="147"/>
        <v>No</v>
      </c>
      <c r="M1893" t="str">
        <f t="shared" si="149"/>
        <v>Yes</v>
      </c>
      <c r="N1893" t="str">
        <f t="shared" si="148"/>
        <v>No</v>
      </c>
    </row>
    <row r="1894" spans="1:14" x14ac:dyDescent="0.3">
      <c r="A1894" s="2" t="s">
        <v>3805</v>
      </c>
      <c r="B1894" s="2" t="s">
        <v>3806</v>
      </c>
      <c r="C1894" s="2" t="s">
        <v>21</v>
      </c>
      <c r="D1894" s="3">
        <v>45945</v>
      </c>
      <c r="E1894" s="3">
        <v>45949</v>
      </c>
      <c r="F1894" s="3">
        <v>45951</v>
      </c>
      <c r="G1894" s="2" t="s">
        <v>18</v>
      </c>
      <c r="H1894" s="2">
        <v>50</v>
      </c>
      <c r="I1894" s="2">
        <v>50</v>
      </c>
      <c r="J1894">
        <f t="shared" si="145"/>
        <v>6</v>
      </c>
      <c r="K1894">
        <f t="shared" si="146"/>
        <v>2</v>
      </c>
      <c r="L1894" t="str">
        <f t="shared" si="147"/>
        <v>No</v>
      </c>
      <c r="M1894" t="str">
        <f t="shared" si="149"/>
        <v>Yes</v>
      </c>
      <c r="N1894" t="str">
        <f t="shared" si="148"/>
        <v>No</v>
      </c>
    </row>
    <row r="1895" spans="1:14" x14ac:dyDescent="0.3">
      <c r="A1895" s="4" t="s">
        <v>3807</v>
      </c>
      <c r="B1895" s="4" t="s">
        <v>3808</v>
      </c>
      <c r="C1895" s="4" t="s">
        <v>21</v>
      </c>
      <c r="D1895" s="5">
        <v>45947</v>
      </c>
      <c r="E1895" s="5">
        <v>45955</v>
      </c>
      <c r="F1895" s="5">
        <v>45953</v>
      </c>
      <c r="G1895" s="4" t="s">
        <v>22</v>
      </c>
      <c r="H1895" s="4">
        <v>37</v>
      </c>
      <c r="I1895" s="2">
        <v>41</v>
      </c>
      <c r="J1895">
        <f t="shared" si="145"/>
        <v>6</v>
      </c>
      <c r="K1895">
        <f t="shared" si="146"/>
        <v>-2</v>
      </c>
      <c r="L1895" t="str">
        <f t="shared" si="147"/>
        <v>Yes</v>
      </c>
      <c r="M1895" t="str">
        <f t="shared" si="149"/>
        <v>No</v>
      </c>
      <c r="N1895" t="str">
        <f t="shared" si="148"/>
        <v>No</v>
      </c>
    </row>
    <row r="1896" spans="1:14" x14ac:dyDescent="0.3">
      <c r="A1896" s="2" t="s">
        <v>3809</v>
      </c>
      <c r="B1896" s="2" t="s">
        <v>3810</v>
      </c>
      <c r="C1896" s="2" t="s">
        <v>34</v>
      </c>
      <c r="D1896" s="3">
        <v>45946</v>
      </c>
      <c r="E1896" s="3">
        <v>45955</v>
      </c>
      <c r="F1896" s="3">
        <v>45953</v>
      </c>
      <c r="G1896" s="2" t="s">
        <v>15</v>
      </c>
      <c r="H1896" s="2">
        <v>23</v>
      </c>
      <c r="I1896" s="2">
        <v>24</v>
      </c>
      <c r="J1896">
        <f t="shared" si="145"/>
        <v>7</v>
      </c>
      <c r="K1896">
        <f t="shared" si="146"/>
        <v>-2</v>
      </c>
      <c r="L1896" t="str">
        <f t="shared" si="147"/>
        <v>Yes</v>
      </c>
      <c r="M1896" t="str">
        <f t="shared" si="149"/>
        <v>No</v>
      </c>
      <c r="N1896" t="str">
        <f t="shared" si="148"/>
        <v>No</v>
      </c>
    </row>
    <row r="1897" spans="1:14" x14ac:dyDescent="0.3">
      <c r="A1897" s="4" t="s">
        <v>3811</v>
      </c>
      <c r="B1897" s="4" t="s">
        <v>3812</v>
      </c>
      <c r="C1897" s="4" t="s">
        <v>10</v>
      </c>
      <c r="D1897" s="5">
        <v>45946</v>
      </c>
      <c r="E1897" s="5">
        <v>45950</v>
      </c>
      <c r="F1897" s="5">
        <v>45950</v>
      </c>
      <c r="G1897" s="4" t="s">
        <v>18</v>
      </c>
      <c r="H1897" s="4">
        <v>50</v>
      </c>
      <c r="I1897" s="2">
        <v>50</v>
      </c>
      <c r="J1897">
        <f t="shared" si="145"/>
        <v>4</v>
      </c>
      <c r="K1897">
        <f t="shared" si="146"/>
        <v>0</v>
      </c>
      <c r="L1897" t="str">
        <f t="shared" si="147"/>
        <v>Yes</v>
      </c>
      <c r="M1897" t="str">
        <f t="shared" si="149"/>
        <v>Yes</v>
      </c>
      <c r="N1897" t="str">
        <f t="shared" si="148"/>
        <v>Yes</v>
      </c>
    </row>
    <row r="1898" spans="1:14" x14ac:dyDescent="0.3">
      <c r="A1898" s="2" t="s">
        <v>3813</v>
      </c>
      <c r="B1898" s="2" t="s">
        <v>3814</v>
      </c>
      <c r="C1898" s="2" t="s">
        <v>14</v>
      </c>
      <c r="D1898" s="3">
        <v>45947</v>
      </c>
      <c r="E1898" s="3">
        <v>45952</v>
      </c>
      <c r="F1898" s="3">
        <v>45963</v>
      </c>
      <c r="G1898" s="2" t="s">
        <v>22</v>
      </c>
      <c r="H1898" s="2">
        <v>17</v>
      </c>
      <c r="I1898" s="2">
        <v>17</v>
      </c>
      <c r="J1898">
        <f t="shared" si="145"/>
        <v>16</v>
      </c>
      <c r="K1898">
        <f t="shared" si="146"/>
        <v>11</v>
      </c>
      <c r="L1898" t="str">
        <f t="shared" si="147"/>
        <v>No</v>
      </c>
      <c r="M1898" t="str">
        <f t="shared" si="149"/>
        <v>Yes</v>
      </c>
      <c r="N1898" t="str">
        <f t="shared" si="148"/>
        <v>No</v>
      </c>
    </row>
    <row r="1899" spans="1:14" x14ac:dyDescent="0.3">
      <c r="A1899" s="4" t="s">
        <v>3815</v>
      </c>
      <c r="B1899" s="4" t="s">
        <v>3816</v>
      </c>
      <c r="C1899" s="4" t="s">
        <v>59</v>
      </c>
      <c r="D1899" s="5">
        <v>45947</v>
      </c>
      <c r="E1899" s="5">
        <v>45953</v>
      </c>
      <c r="F1899" s="5">
        <v>45953</v>
      </c>
      <c r="G1899" s="4" t="s">
        <v>40</v>
      </c>
      <c r="H1899" s="4">
        <v>78</v>
      </c>
      <c r="I1899" s="2">
        <v>78</v>
      </c>
      <c r="J1899">
        <f t="shared" si="145"/>
        <v>6</v>
      </c>
      <c r="K1899">
        <f t="shared" si="146"/>
        <v>0</v>
      </c>
      <c r="L1899" t="str">
        <f t="shared" si="147"/>
        <v>Yes</v>
      </c>
      <c r="M1899" t="str">
        <f t="shared" si="149"/>
        <v>Yes</v>
      </c>
      <c r="N1899" t="str">
        <f t="shared" si="148"/>
        <v>Yes</v>
      </c>
    </row>
    <row r="1900" spans="1:14" x14ac:dyDescent="0.3">
      <c r="A1900" s="2" t="s">
        <v>3817</v>
      </c>
      <c r="B1900" s="2" t="s">
        <v>3818</v>
      </c>
      <c r="C1900" s="2" t="s">
        <v>59</v>
      </c>
      <c r="D1900" s="3">
        <v>45946</v>
      </c>
      <c r="E1900" s="3">
        <v>45950</v>
      </c>
      <c r="F1900" s="3">
        <v>45949</v>
      </c>
      <c r="G1900" s="2" t="s">
        <v>15</v>
      </c>
      <c r="H1900" s="2">
        <v>30</v>
      </c>
      <c r="I1900" s="2">
        <v>30</v>
      </c>
      <c r="J1900">
        <f t="shared" si="145"/>
        <v>3</v>
      </c>
      <c r="K1900">
        <f t="shared" si="146"/>
        <v>-1</v>
      </c>
      <c r="L1900" t="str">
        <f t="shared" si="147"/>
        <v>Yes</v>
      </c>
      <c r="M1900" t="str">
        <f t="shared" si="149"/>
        <v>Yes</v>
      </c>
      <c r="N1900" t="str">
        <f t="shared" si="148"/>
        <v>Yes</v>
      </c>
    </row>
    <row r="1901" spans="1:14" x14ac:dyDescent="0.3">
      <c r="A1901" s="4" t="s">
        <v>3819</v>
      </c>
      <c r="B1901" s="4" t="s">
        <v>3820</v>
      </c>
      <c r="C1901" s="4" t="s">
        <v>21</v>
      </c>
      <c r="D1901" s="5">
        <v>45948</v>
      </c>
      <c r="E1901" s="5">
        <v>45952</v>
      </c>
      <c r="F1901" s="5">
        <v>45958</v>
      </c>
      <c r="G1901" s="4" t="s">
        <v>15</v>
      </c>
      <c r="H1901" s="4">
        <v>76</v>
      </c>
      <c r="I1901" s="2">
        <v>76</v>
      </c>
      <c r="J1901">
        <f t="shared" si="145"/>
        <v>10</v>
      </c>
      <c r="K1901">
        <f t="shared" si="146"/>
        <v>6</v>
      </c>
      <c r="L1901" t="str">
        <f t="shared" si="147"/>
        <v>No</v>
      </c>
      <c r="M1901" t="str">
        <f t="shared" si="149"/>
        <v>Yes</v>
      </c>
      <c r="N1901" t="str">
        <f t="shared" si="148"/>
        <v>No</v>
      </c>
    </row>
    <row r="1902" spans="1:14" x14ac:dyDescent="0.3">
      <c r="A1902" s="2" t="s">
        <v>3821</v>
      </c>
      <c r="B1902" s="2" t="s">
        <v>3822</v>
      </c>
      <c r="C1902" s="2" t="s">
        <v>27</v>
      </c>
      <c r="D1902" s="3">
        <v>45946</v>
      </c>
      <c r="E1902" s="3">
        <v>45950</v>
      </c>
      <c r="F1902" s="3">
        <v>45959</v>
      </c>
      <c r="G1902" s="2" t="s">
        <v>40</v>
      </c>
      <c r="H1902" s="2">
        <v>6</v>
      </c>
      <c r="I1902" s="2">
        <v>6</v>
      </c>
      <c r="J1902">
        <f t="shared" si="145"/>
        <v>13</v>
      </c>
      <c r="K1902">
        <f t="shared" si="146"/>
        <v>9</v>
      </c>
      <c r="L1902" t="str">
        <f t="shared" si="147"/>
        <v>No</v>
      </c>
      <c r="M1902" t="str">
        <f t="shared" si="149"/>
        <v>Yes</v>
      </c>
      <c r="N1902" t="str">
        <f t="shared" si="148"/>
        <v>No</v>
      </c>
    </row>
    <row r="1903" spans="1:14" x14ac:dyDescent="0.3">
      <c r="A1903" s="4" t="s">
        <v>3823</v>
      </c>
      <c r="B1903" s="4" t="s">
        <v>3824</v>
      </c>
      <c r="C1903" s="4" t="s">
        <v>37</v>
      </c>
      <c r="D1903" s="5">
        <v>45948</v>
      </c>
      <c r="E1903" s="5">
        <v>45953</v>
      </c>
      <c r="F1903" s="5">
        <v>45965</v>
      </c>
      <c r="G1903" s="4" t="s">
        <v>11</v>
      </c>
      <c r="H1903" s="4">
        <v>34</v>
      </c>
      <c r="I1903" s="2">
        <v>34</v>
      </c>
      <c r="J1903">
        <f t="shared" si="145"/>
        <v>17</v>
      </c>
      <c r="K1903">
        <f t="shared" si="146"/>
        <v>12</v>
      </c>
      <c r="L1903" t="str">
        <f t="shared" si="147"/>
        <v>No</v>
      </c>
      <c r="M1903" t="str">
        <f t="shared" si="149"/>
        <v>Yes</v>
      </c>
      <c r="N1903" t="str">
        <f t="shared" si="148"/>
        <v>No</v>
      </c>
    </row>
    <row r="1904" spans="1:14" x14ac:dyDescent="0.3">
      <c r="A1904" s="2" t="s">
        <v>3825</v>
      </c>
      <c r="B1904" s="2" t="s">
        <v>3826</v>
      </c>
      <c r="C1904" s="2" t="s">
        <v>34</v>
      </c>
      <c r="D1904" s="3">
        <v>45947</v>
      </c>
      <c r="E1904" s="3">
        <v>45951</v>
      </c>
      <c r="F1904" s="3">
        <v>45958</v>
      </c>
      <c r="G1904" s="2" t="s">
        <v>22</v>
      </c>
      <c r="H1904" s="2">
        <v>29</v>
      </c>
      <c r="I1904" s="2">
        <v>29</v>
      </c>
      <c r="J1904">
        <f t="shared" si="145"/>
        <v>11</v>
      </c>
      <c r="K1904">
        <f t="shared" si="146"/>
        <v>7</v>
      </c>
      <c r="L1904" t="str">
        <f t="shared" si="147"/>
        <v>No</v>
      </c>
      <c r="M1904" t="str">
        <f t="shared" si="149"/>
        <v>Yes</v>
      </c>
      <c r="N1904" t="str">
        <f t="shared" si="148"/>
        <v>No</v>
      </c>
    </row>
    <row r="1905" spans="1:14" x14ac:dyDescent="0.3">
      <c r="A1905" s="4" t="s">
        <v>3827</v>
      </c>
      <c r="B1905" s="4" t="s">
        <v>3828</v>
      </c>
      <c r="C1905" s="4" t="s">
        <v>72</v>
      </c>
      <c r="D1905" s="5">
        <v>45947</v>
      </c>
      <c r="E1905" s="5">
        <v>45957</v>
      </c>
      <c r="F1905" s="5">
        <v>45963</v>
      </c>
      <c r="G1905" s="4" t="s">
        <v>18</v>
      </c>
      <c r="H1905" s="4">
        <v>17</v>
      </c>
      <c r="I1905" s="2">
        <v>17</v>
      </c>
      <c r="J1905">
        <f t="shared" si="145"/>
        <v>16</v>
      </c>
      <c r="K1905">
        <f t="shared" si="146"/>
        <v>6</v>
      </c>
      <c r="L1905" t="str">
        <f t="shared" si="147"/>
        <v>No</v>
      </c>
      <c r="M1905" t="str">
        <f t="shared" si="149"/>
        <v>Yes</v>
      </c>
      <c r="N1905" t="str">
        <f t="shared" si="148"/>
        <v>No</v>
      </c>
    </row>
    <row r="1906" spans="1:14" x14ac:dyDescent="0.3">
      <c r="A1906" s="2" t="s">
        <v>3829</v>
      </c>
      <c r="B1906" s="2" t="s">
        <v>3830</v>
      </c>
      <c r="C1906" s="2" t="s">
        <v>14</v>
      </c>
      <c r="D1906" s="3">
        <v>45947</v>
      </c>
      <c r="E1906" s="3">
        <v>45954</v>
      </c>
      <c r="F1906" s="3">
        <v>45962</v>
      </c>
      <c r="G1906" s="2" t="s">
        <v>18</v>
      </c>
      <c r="H1906" s="2">
        <v>29</v>
      </c>
      <c r="I1906" s="2">
        <v>29</v>
      </c>
      <c r="J1906">
        <f t="shared" si="145"/>
        <v>15</v>
      </c>
      <c r="K1906">
        <f t="shared" si="146"/>
        <v>8</v>
      </c>
      <c r="L1906" t="str">
        <f t="shared" si="147"/>
        <v>No</v>
      </c>
      <c r="M1906" t="str">
        <f t="shared" si="149"/>
        <v>Yes</v>
      </c>
      <c r="N1906" t="str">
        <f t="shared" si="148"/>
        <v>No</v>
      </c>
    </row>
    <row r="1907" spans="1:14" x14ac:dyDescent="0.3">
      <c r="A1907" s="4" t="s">
        <v>3831</v>
      </c>
      <c r="B1907" s="4" t="s">
        <v>3832</v>
      </c>
      <c r="C1907" s="4" t="s">
        <v>14</v>
      </c>
      <c r="D1907" s="5">
        <v>45949</v>
      </c>
      <c r="E1907" s="5">
        <v>45954</v>
      </c>
      <c r="F1907" s="5">
        <v>45968</v>
      </c>
      <c r="G1907" s="4" t="s">
        <v>22</v>
      </c>
      <c r="H1907" s="4">
        <v>24</v>
      </c>
      <c r="I1907" s="2">
        <v>24</v>
      </c>
      <c r="J1907">
        <f t="shared" si="145"/>
        <v>19</v>
      </c>
      <c r="K1907">
        <f t="shared" si="146"/>
        <v>14</v>
      </c>
      <c r="L1907" t="str">
        <f t="shared" si="147"/>
        <v>No</v>
      </c>
      <c r="M1907" t="str">
        <f t="shared" si="149"/>
        <v>Yes</v>
      </c>
      <c r="N1907" t="str">
        <f t="shared" si="148"/>
        <v>No</v>
      </c>
    </row>
    <row r="1908" spans="1:14" x14ac:dyDescent="0.3">
      <c r="A1908" s="2" t="s">
        <v>3833</v>
      </c>
      <c r="B1908" s="2" t="s">
        <v>3834</v>
      </c>
      <c r="C1908" s="2" t="s">
        <v>21</v>
      </c>
      <c r="D1908" s="3">
        <v>45949</v>
      </c>
      <c r="E1908" s="3">
        <v>45950</v>
      </c>
      <c r="F1908" s="3">
        <v>45955</v>
      </c>
      <c r="G1908" s="2" t="s">
        <v>15</v>
      </c>
      <c r="H1908" s="2">
        <v>48</v>
      </c>
      <c r="I1908" s="2">
        <v>48</v>
      </c>
      <c r="J1908">
        <f t="shared" si="145"/>
        <v>6</v>
      </c>
      <c r="K1908">
        <f t="shared" si="146"/>
        <v>5</v>
      </c>
      <c r="L1908" t="str">
        <f t="shared" si="147"/>
        <v>No</v>
      </c>
      <c r="M1908" t="str">
        <f t="shared" si="149"/>
        <v>Yes</v>
      </c>
      <c r="N1908" t="str">
        <f t="shared" si="148"/>
        <v>No</v>
      </c>
    </row>
    <row r="1909" spans="1:14" x14ac:dyDescent="0.3">
      <c r="A1909" s="4" t="s">
        <v>3835</v>
      </c>
      <c r="B1909" s="4" t="s">
        <v>3836</v>
      </c>
      <c r="C1909" s="4" t="s">
        <v>21</v>
      </c>
      <c r="D1909" s="5">
        <v>45949</v>
      </c>
      <c r="E1909" s="5">
        <v>45956</v>
      </c>
      <c r="F1909" s="5">
        <v>45955</v>
      </c>
      <c r="G1909" s="4" t="s">
        <v>15</v>
      </c>
      <c r="H1909" s="4">
        <v>18</v>
      </c>
      <c r="I1909" s="2">
        <v>25</v>
      </c>
      <c r="J1909">
        <f t="shared" si="145"/>
        <v>6</v>
      </c>
      <c r="K1909">
        <f t="shared" si="146"/>
        <v>-1</v>
      </c>
      <c r="L1909" t="str">
        <f t="shared" si="147"/>
        <v>Yes</v>
      </c>
      <c r="M1909" t="str">
        <f t="shared" si="149"/>
        <v>No</v>
      </c>
      <c r="N1909" t="str">
        <f t="shared" si="148"/>
        <v>No</v>
      </c>
    </row>
    <row r="1910" spans="1:14" x14ac:dyDescent="0.3">
      <c r="A1910" s="2" t="s">
        <v>3837</v>
      </c>
      <c r="B1910" s="2" t="s">
        <v>3838</v>
      </c>
      <c r="C1910" s="2" t="s">
        <v>27</v>
      </c>
      <c r="D1910" s="3">
        <v>45948</v>
      </c>
      <c r="E1910" s="3">
        <v>45952</v>
      </c>
      <c r="F1910" s="3">
        <v>45963</v>
      </c>
      <c r="G1910" s="2" t="s">
        <v>40</v>
      </c>
      <c r="H1910" s="2">
        <v>39</v>
      </c>
      <c r="I1910" s="2">
        <v>39</v>
      </c>
      <c r="J1910">
        <f t="shared" si="145"/>
        <v>15</v>
      </c>
      <c r="K1910">
        <f t="shared" si="146"/>
        <v>11</v>
      </c>
      <c r="L1910" t="str">
        <f t="shared" si="147"/>
        <v>No</v>
      </c>
      <c r="M1910" t="str">
        <f t="shared" si="149"/>
        <v>Yes</v>
      </c>
      <c r="N1910" t="str">
        <f t="shared" si="148"/>
        <v>No</v>
      </c>
    </row>
    <row r="1911" spans="1:14" x14ac:dyDescent="0.3">
      <c r="A1911" s="4" t="s">
        <v>3839</v>
      </c>
      <c r="B1911" s="4" t="s">
        <v>3840</v>
      </c>
      <c r="C1911" s="4" t="s">
        <v>27</v>
      </c>
      <c r="D1911" s="5">
        <v>45948</v>
      </c>
      <c r="E1911" s="5">
        <v>45954</v>
      </c>
      <c r="F1911" s="5">
        <v>45961</v>
      </c>
      <c r="G1911" s="4" t="s">
        <v>22</v>
      </c>
      <c r="H1911" s="4">
        <v>8</v>
      </c>
      <c r="I1911" s="2">
        <v>8</v>
      </c>
      <c r="J1911">
        <f t="shared" si="145"/>
        <v>13</v>
      </c>
      <c r="K1911">
        <f t="shared" si="146"/>
        <v>7</v>
      </c>
      <c r="L1911" t="str">
        <f t="shared" si="147"/>
        <v>No</v>
      </c>
      <c r="M1911" t="str">
        <f t="shared" si="149"/>
        <v>Yes</v>
      </c>
      <c r="N1911" t="str">
        <f t="shared" si="148"/>
        <v>No</v>
      </c>
    </row>
    <row r="1912" spans="1:14" x14ac:dyDescent="0.3">
      <c r="A1912" s="2" t="s">
        <v>3841</v>
      </c>
      <c r="B1912" s="2" t="s">
        <v>3842</v>
      </c>
      <c r="C1912" s="2" t="s">
        <v>37</v>
      </c>
      <c r="D1912" s="3">
        <v>45949</v>
      </c>
      <c r="E1912" s="3">
        <v>45953</v>
      </c>
      <c r="F1912" s="3">
        <v>45961</v>
      </c>
      <c r="G1912" s="2" t="s">
        <v>22</v>
      </c>
      <c r="H1912" s="2">
        <v>34</v>
      </c>
      <c r="I1912" s="2">
        <v>35</v>
      </c>
      <c r="J1912">
        <f t="shared" si="145"/>
        <v>12</v>
      </c>
      <c r="K1912">
        <f t="shared" si="146"/>
        <v>8</v>
      </c>
      <c r="L1912" t="str">
        <f t="shared" si="147"/>
        <v>No</v>
      </c>
      <c r="M1912" t="str">
        <f t="shared" si="149"/>
        <v>No</v>
      </c>
      <c r="N1912" t="str">
        <f t="shared" si="148"/>
        <v>No</v>
      </c>
    </row>
    <row r="1913" spans="1:14" x14ac:dyDescent="0.3">
      <c r="A1913" s="4" t="s">
        <v>3843</v>
      </c>
      <c r="B1913" s="4" t="s">
        <v>3844</v>
      </c>
      <c r="C1913" s="4" t="s">
        <v>34</v>
      </c>
      <c r="D1913" s="5">
        <v>45950</v>
      </c>
      <c r="E1913" s="5">
        <v>45957</v>
      </c>
      <c r="F1913" s="5">
        <v>45957</v>
      </c>
      <c r="G1913" s="4" t="s">
        <v>11</v>
      </c>
      <c r="H1913" s="4">
        <v>31</v>
      </c>
      <c r="I1913" s="2">
        <v>31</v>
      </c>
      <c r="J1913">
        <f t="shared" si="145"/>
        <v>7</v>
      </c>
      <c r="K1913">
        <f t="shared" si="146"/>
        <v>0</v>
      </c>
      <c r="L1913" t="str">
        <f t="shared" si="147"/>
        <v>Yes</v>
      </c>
      <c r="M1913" t="str">
        <f t="shared" si="149"/>
        <v>Yes</v>
      </c>
      <c r="N1913" t="str">
        <f t="shared" si="148"/>
        <v>Yes</v>
      </c>
    </row>
    <row r="1914" spans="1:14" x14ac:dyDescent="0.3">
      <c r="A1914" s="2" t="s">
        <v>3845</v>
      </c>
      <c r="B1914" s="2" t="s">
        <v>3846</v>
      </c>
      <c r="C1914" s="2" t="s">
        <v>10</v>
      </c>
      <c r="D1914" s="3">
        <v>45948</v>
      </c>
      <c r="E1914" s="3">
        <v>45957</v>
      </c>
      <c r="F1914" s="3">
        <v>45953</v>
      </c>
      <c r="G1914" s="2" t="s">
        <v>11</v>
      </c>
      <c r="H1914" s="2">
        <v>33</v>
      </c>
      <c r="I1914" s="2">
        <v>33</v>
      </c>
      <c r="J1914">
        <f t="shared" si="145"/>
        <v>5</v>
      </c>
      <c r="K1914">
        <f t="shared" si="146"/>
        <v>-4</v>
      </c>
      <c r="L1914" t="str">
        <f t="shared" si="147"/>
        <v>Yes</v>
      </c>
      <c r="M1914" t="str">
        <f t="shared" si="149"/>
        <v>Yes</v>
      </c>
      <c r="N1914" t="str">
        <f t="shared" si="148"/>
        <v>Yes</v>
      </c>
    </row>
    <row r="1915" spans="1:14" x14ac:dyDescent="0.3">
      <c r="A1915" s="4" t="s">
        <v>3847</v>
      </c>
      <c r="B1915" s="4" t="s">
        <v>3848</v>
      </c>
      <c r="C1915" s="4" t="s">
        <v>72</v>
      </c>
      <c r="D1915" s="5">
        <v>45948</v>
      </c>
      <c r="E1915" s="5">
        <v>45955</v>
      </c>
      <c r="F1915" s="5">
        <v>45962</v>
      </c>
      <c r="G1915" s="4" t="s">
        <v>15</v>
      </c>
      <c r="H1915" s="4">
        <v>25</v>
      </c>
      <c r="I1915" s="2">
        <v>25</v>
      </c>
      <c r="J1915">
        <f t="shared" si="145"/>
        <v>14</v>
      </c>
      <c r="K1915">
        <f t="shared" si="146"/>
        <v>7</v>
      </c>
      <c r="L1915" t="str">
        <f t="shared" si="147"/>
        <v>No</v>
      </c>
      <c r="M1915" t="str">
        <f t="shared" si="149"/>
        <v>Yes</v>
      </c>
      <c r="N1915" t="str">
        <f t="shared" si="148"/>
        <v>No</v>
      </c>
    </row>
    <row r="1916" spans="1:14" x14ac:dyDescent="0.3">
      <c r="A1916" s="2" t="s">
        <v>3849</v>
      </c>
      <c r="B1916" s="2" t="s">
        <v>3850</v>
      </c>
      <c r="C1916" s="2" t="s">
        <v>72</v>
      </c>
      <c r="D1916" s="3">
        <v>45950</v>
      </c>
      <c r="E1916" s="3">
        <v>45956</v>
      </c>
      <c r="F1916" s="3">
        <v>45968</v>
      </c>
      <c r="G1916" s="2" t="s">
        <v>11</v>
      </c>
      <c r="H1916" s="2">
        <v>14</v>
      </c>
      <c r="I1916" s="2">
        <v>14</v>
      </c>
      <c r="J1916">
        <f t="shared" si="145"/>
        <v>18</v>
      </c>
      <c r="K1916">
        <f t="shared" si="146"/>
        <v>12</v>
      </c>
      <c r="L1916" t="str">
        <f t="shared" si="147"/>
        <v>No</v>
      </c>
      <c r="M1916" t="str">
        <f t="shared" si="149"/>
        <v>Yes</v>
      </c>
      <c r="N1916" t="str">
        <f t="shared" si="148"/>
        <v>No</v>
      </c>
    </row>
    <row r="1917" spans="1:14" x14ac:dyDescent="0.3">
      <c r="A1917" s="4" t="s">
        <v>3851</v>
      </c>
      <c r="B1917" s="4" t="s">
        <v>3852</v>
      </c>
      <c r="C1917" s="4" t="s">
        <v>59</v>
      </c>
      <c r="D1917" s="5">
        <v>45949</v>
      </c>
      <c r="E1917" s="5">
        <v>45957</v>
      </c>
      <c r="F1917" s="5">
        <v>45952</v>
      </c>
      <c r="G1917" s="4" t="s">
        <v>18</v>
      </c>
      <c r="H1917" s="4">
        <v>26</v>
      </c>
      <c r="I1917" s="2">
        <v>26</v>
      </c>
      <c r="J1917">
        <f t="shared" si="145"/>
        <v>3</v>
      </c>
      <c r="K1917">
        <f t="shared" si="146"/>
        <v>-5</v>
      </c>
      <c r="L1917" t="str">
        <f t="shared" si="147"/>
        <v>Yes</v>
      </c>
      <c r="M1917" t="str">
        <f t="shared" si="149"/>
        <v>Yes</v>
      </c>
      <c r="N1917" t="str">
        <f t="shared" si="148"/>
        <v>Yes</v>
      </c>
    </row>
    <row r="1918" spans="1:14" x14ac:dyDescent="0.3">
      <c r="A1918" s="2" t="s">
        <v>3853</v>
      </c>
      <c r="B1918" s="2" t="s">
        <v>3854</v>
      </c>
      <c r="C1918" s="2" t="s">
        <v>14</v>
      </c>
      <c r="D1918" s="3">
        <v>45948</v>
      </c>
      <c r="E1918" s="3">
        <v>45957</v>
      </c>
      <c r="F1918" s="3">
        <v>45965</v>
      </c>
      <c r="G1918" s="2" t="s">
        <v>15</v>
      </c>
      <c r="H1918" s="2">
        <v>53</v>
      </c>
      <c r="I1918" s="2">
        <v>55</v>
      </c>
      <c r="J1918">
        <f t="shared" si="145"/>
        <v>17</v>
      </c>
      <c r="K1918">
        <f t="shared" si="146"/>
        <v>8</v>
      </c>
      <c r="L1918" t="str">
        <f t="shared" si="147"/>
        <v>No</v>
      </c>
      <c r="M1918" t="str">
        <f t="shared" si="149"/>
        <v>No</v>
      </c>
      <c r="N1918" t="str">
        <f t="shared" si="148"/>
        <v>No</v>
      </c>
    </row>
    <row r="1919" spans="1:14" x14ac:dyDescent="0.3">
      <c r="A1919" s="4" t="s">
        <v>3855</v>
      </c>
      <c r="B1919" s="4" t="s">
        <v>3856</v>
      </c>
      <c r="C1919" s="4" t="s">
        <v>21</v>
      </c>
      <c r="D1919" s="5">
        <v>45950</v>
      </c>
      <c r="E1919" s="5">
        <v>45954</v>
      </c>
      <c r="F1919" s="5">
        <v>45956</v>
      </c>
      <c r="G1919" s="4" t="s">
        <v>18</v>
      </c>
      <c r="H1919" s="4">
        <v>41</v>
      </c>
      <c r="I1919" s="2">
        <v>46</v>
      </c>
      <c r="J1919">
        <f t="shared" si="145"/>
        <v>6</v>
      </c>
      <c r="K1919">
        <f t="shared" si="146"/>
        <v>2</v>
      </c>
      <c r="L1919" t="str">
        <f t="shared" si="147"/>
        <v>No</v>
      </c>
      <c r="M1919" t="str">
        <f t="shared" si="149"/>
        <v>No</v>
      </c>
      <c r="N1919" t="str">
        <f t="shared" si="148"/>
        <v>No</v>
      </c>
    </row>
    <row r="1920" spans="1:14" x14ac:dyDescent="0.3">
      <c r="A1920" s="2" t="s">
        <v>3857</v>
      </c>
      <c r="B1920" s="2" t="s">
        <v>3858</v>
      </c>
      <c r="C1920" s="2" t="s">
        <v>21</v>
      </c>
      <c r="D1920" s="3">
        <v>45948</v>
      </c>
      <c r="E1920" s="3">
        <v>45957</v>
      </c>
      <c r="F1920" s="3">
        <v>45954</v>
      </c>
      <c r="G1920" s="2" t="s">
        <v>18</v>
      </c>
      <c r="H1920" s="2">
        <v>20</v>
      </c>
      <c r="I1920" s="2">
        <v>25</v>
      </c>
      <c r="J1920">
        <f t="shared" si="145"/>
        <v>6</v>
      </c>
      <c r="K1920">
        <f t="shared" si="146"/>
        <v>-3</v>
      </c>
      <c r="L1920" t="str">
        <f t="shared" si="147"/>
        <v>Yes</v>
      </c>
      <c r="M1920" t="str">
        <f t="shared" si="149"/>
        <v>No</v>
      </c>
      <c r="N1920" t="str">
        <f t="shared" si="148"/>
        <v>No</v>
      </c>
    </row>
    <row r="1921" spans="1:14" x14ac:dyDescent="0.3">
      <c r="A1921" s="4" t="s">
        <v>3859</v>
      </c>
      <c r="B1921" s="4" t="s">
        <v>3860</v>
      </c>
      <c r="C1921" s="4" t="s">
        <v>27</v>
      </c>
      <c r="D1921" s="5">
        <v>45948</v>
      </c>
      <c r="E1921" s="5">
        <v>45955</v>
      </c>
      <c r="F1921" s="5">
        <v>45960</v>
      </c>
      <c r="G1921" s="4" t="s">
        <v>40</v>
      </c>
      <c r="H1921" s="4">
        <v>13</v>
      </c>
      <c r="I1921" s="2">
        <v>13</v>
      </c>
      <c r="J1921">
        <f t="shared" si="145"/>
        <v>12</v>
      </c>
      <c r="K1921">
        <f t="shared" si="146"/>
        <v>5</v>
      </c>
      <c r="L1921" t="str">
        <f t="shared" si="147"/>
        <v>No</v>
      </c>
      <c r="M1921" t="str">
        <f t="shared" si="149"/>
        <v>Yes</v>
      </c>
      <c r="N1921" t="str">
        <f t="shared" si="148"/>
        <v>No</v>
      </c>
    </row>
    <row r="1922" spans="1:14" x14ac:dyDescent="0.3">
      <c r="A1922" s="2" t="s">
        <v>3861</v>
      </c>
      <c r="B1922" s="2" t="s">
        <v>3862</v>
      </c>
      <c r="C1922" s="2" t="s">
        <v>37</v>
      </c>
      <c r="D1922" s="3">
        <v>45949</v>
      </c>
      <c r="E1922" s="3">
        <v>45959</v>
      </c>
      <c r="F1922" s="3">
        <v>45963</v>
      </c>
      <c r="G1922" s="2" t="s">
        <v>15</v>
      </c>
      <c r="H1922" s="2">
        <v>34</v>
      </c>
      <c r="I1922" s="2">
        <v>34</v>
      </c>
      <c r="J1922">
        <f t="shared" si="145"/>
        <v>14</v>
      </c>
      <c r="K1922">
        <f t="shared" si="146"/>
        <v>4</v>
      </c>
      <c r="L1922" t="str">
        <f t="shared" si="147"/>
        <v>No</v>
      </c>
      <c r="M1922" t="str">
        <f t="shared" si="149"/>
        <v>Yes</v>
      </c>
      <c r="N1922" t="str">
        <f t="shared" si="148"/>
        <v>No</v>
      </c>
    </row>
    <row r="1923" spans="1:14" x14ac:dyDescent="0.3">
      <c r="A1923" s="4" t="s">
        <v>3863</v>
      </c>
      <c r="B1923" s="4" t="s">
        <v>3864</v>
      </c>
      <c r="C1923" s="4" t="s">
        <v>72</v>
      </c>
      <c r="D1923" s="5">
        <v>45949</v>
      </c>
      <c r="E1923" s="5">
        <v>45958</v>
      </c>
      <c r="F1923" s="5">
        <v>45963</v>
      </c>
      <c r="G1923" s="4" t="s">
        <v>22</v>
      </c>
      <c r="H1923" s="4">
        <v>46</v>
      </c>
      <c r="I1923" s="2">
        <v>46</v>
      </c>
      <c r="J1923">
        <f t="shared" ref="J1923:J1986" si="150">F1923-D1923</f>
        <v>14</v>
      </c>
      <c r="K1923">
        <f t="shared" ref="K1923:K1986" si="151">F1923-E1923</f>
        <v>5</v>
      </c>
      <c r="L1923" t="str">
        <f t="shared" ref="L1923:L1986" si="152">IF(K1923&lt;=0,"Yes","No")</f>
        <v>No</v>
      </c>
      <c r="M1923" t="str">
        <f t="shared" si="149"/>
        <v>Yes</v>
      </c>
      <c r="N1923" t="str">
        <f t="shared" ref="N1923:N1986" si="153">IF(AND(L1923="Yes",M1923="Yes"),"Yes","No")</f>
        <v>No</v>
      </c>
    </row>
    <row r="1924" spans="1:14" x14ac:dyDescent="0.3">
      <c r="A1924" s="2" t="s">
        <v>3865</v>
      </c>
      <c r="B1924" s="2" t="s">
        <v>3866</v>
      </c>
      <c r="C1924" s="2" t="s">
        <v>10</v>
      </c>
      <c r="D1924" s="3">
        <v>45951</v>
      </c>
      <c r="E1924" s="3">
        <v>45959</v>
      </c>
      <c r="F1924" s="3">
        <v>45957</v>
      </c>
      <c r="G1924" s="2" t="s">
        <v>40</v>
      </c>
      <c r="H1924" s="2">
        <v>8</v>
      </c>
      <c r="I1924" s="2">
        <v>13</v>
      </c>
      <c r="J1924">
        <f t="shared" si="150"/>
        <v>6</v>
      </c>
      <c r="K1924">
        <f t="shared" si="151"/>
        <v>-2</v>
      </c>
      <c r="L1924" t="str">
        <f t="shared" si="152"/>
        <v>Yes</v>
      </c>
      <c r="M1924" t="str">
        <f t="shared" ref="M1924:M1987" si="154">IF(H1924=I1924,"Yes","No")</f>
        <v>No</v>
      </c>
      <c r="N1924" t="str">
        <f t="shared" si="153"/>
        <v>No</v>
      </c>
    </row>
    <row r="1925" spans="1:14" x14ac:dyDescent="0.3">
      <c r="A1925" s="4" t="s">
        <v>3867</v>
      </c>
      <c r="B1925" s="4" t="s">
        <v>3868</v>
      </c>
      <c r="C1925" s="4" t="s">
        <v>59</v>
      </c>
      <c r="D1925" s="5">
        <v>45949</v>
      </c>
      <c r="E1925" s="5">
        <v>45958</v>
      </c>
      <c r="F1925" s="5">
        <v>45953</v>
      </c>
      <c r="G1925" s="4" t="s">
        <v>11</v>
      </c>
      <c r="H1925" s="4">
        <v>33</v>
      </c>
      <c r="I1925" s="2">
        <v>33</v>
      </c>
      <c r="J1925">
        <f t="shared" si="150"/>
        <v>4</v>
      </c>
      <c r="K1925">
        <f t="shared" si="151"/>
        <v>-5</v>
      </c>
      <c r="L1925" t="str">
        <f t="shared" si="152"/>
        <v>Yes</v>
      </c>
      <c r="M1925" t="str">
        <f t="shared" si="154"/>
        <v>Yes</v>
      </c>
      <c r="N1925" t="str">
        <f t="shared" si="153"/>
        <v>Yes</v>
      </c>
    </row>
    <row r="1926" spans="1:14" x14ac:dyDescent="0.3">
      <c r="A1926" s="2" t="s">
        <v>3869</v>
      </c>
      <c r="B1926" s="2" t="s">
        <v>3870</v>
      </c>
      <c r="C1926" s="2" t="s">
        <v>27</v>
      </c>
      <c r="D1926" s="3">
        <v>45951</v>
      </c>
      <c r="E1926" s="3">
        <v>45956</v>
      </c>
      <c r="F1926" s="3">
        <v>45964</v>
      </c>
      <c r="G1926" s="2" t="s">
        <v>22</v>
      </c>
      <c r="H1926" s="2">
        <v>25</v>
      </c>
      <c r="I1926" s="2">
        <v>25</v>
      </c>
      <c r="J1926">
        <f t="shared" si="150"/>
        <v>13</v>
      </c>
      <c r="K1926">
        <f t="shared" si="151"/>
        <v>8</v>
      </c>
      <c r="L1926" t="str">
        <f t="shared" si="152"/>
        <v>No</v>
      </c>
      <c r="M1926" t="str">
        <f t="shared" si="154"/>
        <v>Yes</v>
      </c>
      <c r="N1926" t="str">
        <f t="shared" si="153"/>
        <v>No</v>
      </c>
    </row>
    <row r="1927" spans="1:14" x14ac:dyDescent="0.3">
      <c r="A1927" s="4" t="s">
        <v>3871</v>
      </c>
      <c r="B1927" s="4" t="s">
        <v>3872</v>
      </c>
      <c r="C1927" s="4" t="s">
        <v>27</v>
      </c>
      <c r="D1927" s="5">
        <v>45950</v>
      </c>
      <c r="E1927" s="5">
        <v>45953</v>
      </c>
      <c r="F1927" s="5">
        <v>45963</v>
      </c>
      <c r="G1927" s="4" t="s">
        <v>15</v>
      </c>
      <c r="H1927" s="4">
        <v>14</v>
      </c>
      <c r="I1927" s="2">
        <v>15</v>
      </c>
      <c r="J1927">
        <f t="shared" si="150"/>
        <v>13</v>
      </c>
      <c r="K1927">
        <f t="shared" si="151"/>
        <v>10</v>
      </c>
      <c r="L1927" t="str">
        <f t="shared" si="152"/>
        <v>No</v>
      </c>
      <c r="M1927" t="str">
        <f t="shared" si="154"/>
        <v>No</v>
      </c>
      <c r="N1927" t="str">
        <f t="shared" si="153"/>
        <v>No</v>
      </c>
    </row>
    <row r="1928" spans="1:14" x14ac:dyDescent="0.3">
      <c r="A1928" s="2" t="s">
        <v>3873</v>
      </c>
      <c r="B1928" s="2" t="s">
        <v>3874</v>
      </c>
      <c r="C1928" s="2" t="s">
        <v>37</v>
      </c>
      <c r="D1928" s="3">
        <v>45951</v>
      </c>
      <c r="E1928" s="3">
        <v>45956</v>
      </c>
      <c r="F1928" s="3">
        <v>45968</v>
      </c>
      <c r="G1928" s="2" t="s">
        <v>18</v>
      </c>
      <c r="H1928" s="2">
        <v>23</v>
      </c>
      <c r="I1928" s="2">
        <v>23</v>
      </c>
      <c r="J1928">
        <f t="shared" si="150"/>
        <v>17</v>
      </c>
      <c r="K1928">
        <f t="shared" si="151"/>
        <v>12</v>
      </c>
      <c r="L1928" t="str">
        <f t="shared" si="152"/>
        <v>No</v>
      </c>
      <c r="M1928" t="str">
        <f t="shared" si="154"/>
        <v>Yes</v>
      </c>
      <c r="N1928" t="str">
        <f t="shared" si="153"/>
        <v>No</v>
      </c>
    </row>
    <row r="1929" spans="1:14" x14ac:dyDescent="0.3">
      <c r="A1929" s="4" t="s">
        <v>3875</v>
      </c>
      <c r="B1929" s="4" t="s">
        <v>3876</v>
      </c>
      <c r="C1929" s="4" t="s">
        <v>10</v>
      </c>
      <c r="D1929" s="5">
        <v>45950</v>
      </c>
      <c r="E1929" s="5">
        <v>45957</v>
      </c>
      <c r="F1929" s="5">
        <v>45956</v>
      </c>
      <c r="G1929" s="4" t="s">
        <v>22</v>
      </c>
      <c r="H1929" s="4">
        <v>14</v>
      </c>
      <c r="I1929" s="2">
        <v>14</v>
      </c>
      <c r="J1929">
        <f t="shared" si="150"/>
        <v>6</v>
      </c>
      <c r="K1929">
        <f t="shared" si="151"/>
        <v>-1</v>
      </c>
      <c r="L1929" t="str">
        <f t="shared" si="152"/>
        <v>Yes</v>
      </c>
      <c r="M1929" t="str">
        <f t="shared" si="154"/>
        <v>Yes</v>
      </c>
      <c r="N1929" t="str">
        <f t="shared" si="153"/>
        <v>Yes</v>
      </c>
    </row>
    <row r="1930" spans="1:14" x14ac:dyDescent="0.3">
      <c r="A1930" s="2" t="s">
        <v>3877</v>
      </c>
      <c r="B1930" s="2" t="s">
        <v>3878</v>
      </c>
      <c r="C1930" s="2" t="s">
        <v>72</v>
      </c>
      <c r="D1930" s="3">
        <v>45951</v>
      </c>
      <c r="E1930" s="3">
        <v>45960</v>
      </c>
      <c r="F1930" s="3">
        <v>45964</v>
      </c>
      <c r="G1930" s="2" t="s">
        <v>22</v>
      </c>
      <c r="H1930" s="2">
        <v>13</v>
      </c>
      <c r="I1930" s="2">
        <v>13</v>
      </c>
      <c r="J1930">
        <f t="shared" si="150"/>
        <v>13</v>
      </c>
      <c r="K1930">
        <f t="shared" si="151"/>
        <v>4</v>
      </c>
      <c r="L1930" t="str">
        <f t="shared" si="152"/>
        <v>No</v>
      </c>
      <c r="M1930" t="str">
        <f t="shared" si="154"/>
        <v>Yes</v>
      </c>
      <c r="N1930" t="str">
        <f t="shared" si="153"/>
        <v>No</v>
      </c>
    </row>
    <row r="1931" spans="1:14" x14ac:dyDescent="0.3">
      <c r="A1931" s="4" t="s">
        <v>3879</v>
      </c>
      <c r="B1931" s="4" t="s">
        <v>3880</v>
      </c>
      <c r="C1931" s="4" t="s">
        <v>14</v>
      </c>
      <c r="D1931" s="5">
        <v>45950</v>
      </c>
      <c r="E1931" s="5">
        <v>45959</v>
      </c>
      <c r="F1931" s="5">
        <v>45965</v>
      </c>
      <c r="G1931" s="4" t="s">
        <v>22</v>
      </c>
      <c r="H1931" s="4">
        <v>17</v>
      </c>
      <c r="I1931" s="2">
        <v>17</v>
      </c>
      <c r="J1931">
        <f t="shared" si="150"/>
        <v>15</v>
      </c>
      <c r="K1931">
        <f t="shared" si="151"/>
        <v>6</v>
      </c>
      <c r="L1931" t="str">
        <f t="shared" si="152"/>
        <v>No</v>
      </c>
      <c r="M1931" t="str">
        <f t="shared" si="154"/>
        <v>Yes</v>
      </c>
      <c r="N1931" t="str">
        <f t="shared" si="153"/>
        <v>No</v>
      </c>
    </row>
    <row r="1932" spans="1:14" x14ac:dyDescent="0.3">
      <c r="A1932" s="2" t="s">
        <v>3881</v>
      </c>
      <c r="B1932" s="2" t="s">
        <v>3882</v>
      </c>
      <c r="C1932" s="2" t="s">
        <v>72</v>
      </c>
      <c r="D1932" s="3">
        <v>45951</v>
      </c>
      <c r="E1932" s="3">
        <v>45957</v>
      </c>
      <c r="F1932" s="3">
        <v>45965</v>
      </c>
      <c r="G1932" s="2" t="s">
        <v>15</v>
      </c>
      <c r="H1932" s="2">
        <v>24</v>
      </c>
      <c r="I1932" s="2">
        <v>24</v>
      </c>
      <c r="J1932">
        <f t="shared" si="150"/>
        <v>14</v>
      </c>
      <c r="K1932">
        <f t="shared" si="151"/>
        <v>8</v>
      </c>
      <c r="L1932" t="str">
        <f t="shared" si="152"/>
        <v>No</v>
      </c>
      <c r="M1932" t="str">
        <f t="shared" si="154"/>
        <v>Yes</v>
      </c>
      <c r="N1932" t="str">
        <f t="shared" si="153"/>
        <v>No</v>
      </c>
    </row>
    <row r="1933" spans="1:14" x14ac:dyDescent="0.3">
      <c r="A1933" s="4" t="s">
        <v>3883</v>
      </c>
      <c r="B1933" s="4" t="s">
        <v>3884</v>
      </c>
      <c r="C1933" s="4" t="s">
        <v>59</v>
      </c>
      <c r="D1933" s="5">
        <v>45951</v>
      </c>
      <c r="E1933" s="5">
        <v>45958</v>
      </c>
      <c r="F1933" s="5">
        <v>45956</v>
      </c>
      <c r="G1933" s="4" t="s">
        <v>22</v>
      </c>
      <c r="H1933" s="4">
        <v>39</v>
      </c>
      <c r="I1933" s="2">
        <v>39</v>
      </c>
      <c r="J1933">
        <f t="shared" si="150"/>
        <v>5</v>
      </c>
      <c r="K1933">
        <f t="shared" si="151"/>
        <v>-2</v>
      </c>
      <c r="L1933" t="str">
        <f t="shared" si="152"/>
        <v>Yes</v>
      </c>
      <c r="M1933" t="str">
        <f t="shared" si="154"/>
        <v>Yes</v>
      </c>
      <c r="N1933" t="str">
        <f t="shared" si="153"/>
        <v>Yes</v>
      </c>
    </row>
    <row r="1934" spans="1:14" x14ac:dyDescent="0.3">
      <c r="A1934" s="2" t="s">
        <v>3885</v>
      </c>
      <c r="B1934" s="2" t="s">
        <v>3886</v>
      </c>
      <c r="C1934" s="2" t="s">
        <v>21</v>
      </c>
      <c r="D1934" s="3">
        <v>45951</v>
      </c>
      <c r="E1934" s="3">
        <v>45959</v>
      </c>
      <c r="F1934" s="3">
        <v>45956</v>
      </c>
      <c r="G1934" s="2" t="s">
        <v>11</v>
      </c>
      <c r="H1934" s="2">
        <v>35</v>
      </c>
      <c r="I1934" s="2">
        <v>43</v>
      </c>
      <c r="J1934">
        <f t="shared" si="150"/>
        <v>5</v>
      </c>
      <c r="K1934">
        <f t="shared" si="151"/>
        <v>-3</v>
      </c>
      <c r="L1934" t="str">
        <f t="shared" si="152"/>
        <v>Yes</v>
      </c>
      <c r="M1934" t="str">
        <f t="shared" si="154"/>
        <v>No</v>
      </c>
      <c r="N1934" t="str">
        <f t="shared" si="153"/>
        <v>No</v>
      </c>
    </row>
    <row r="1935" spans="1:14" x14ac:dyDescent="0.3">
      <c r="A1935" s="4" t="s">
        <v>3887</v>
      </c>
      <c r="B1935" s="4" t="s">
        <v>3888</v>
      </c>
      <c r="C1935" s="4" t="s">
        <v>27</v>
      </c>
      <c r="D1935" s="5">
        <v>45951</v>
      </c>
      <c r="E1935" s="5">
        <v>45958</v>
      </c>
      <c r="F1935" s="5">
        <v>45964</v>
      </c>
      <c r="G1935" s="4" t="s">
        <v>22</v>
      </c>
      <c r="H1935" s="4">
        <v>38</v>
      </c>
      <c r="I1935" s="2">
        <v>38</v>
      </c>
      <c r="J1935">
        <f t="shared" si="150"/>
        <v>13</v>
      </c>
      <c r="K1935">
        <f t="shared" si="151"/>
        <v>6</v>
      </c>
      <c r="L1935" t="str">
        <f t="shared" si="152"/>
        <v>No</v>
      </c>
      <c r="M1935" t="str">
        <f t="shared" si="154"/>
        <v>Yes</v>
      </c>
      <c r="N1935" t="str">
        <f t="shared" si="153"/>
        <v>No</v>
      </c>
    </row>
    <row r="1936" spans="1:14" x14ac:dyDescent="0.3">
      <c r="A1936" s="2" t="s">
        <v>3889</v>
      </c>
      <c r="B1936" s="2" t="s">
        <v>3890</v>
      </c>
      <c r="C1936" s="2" t="s">
        <v>27</v>
      </c>
      <c r="D1936" s="3">
        <v>45952</v>
      </c>
      <c r="E1936" s="3">
        <v>45958</v>
      </c>
      <c r="F1936" s="3">
        <v>45965</v>
      </c>
      <c r="G1936" s="2" t="s">
        <v>11</v>
      </c>
      <c r="H1936" s="2">
        <v>8</v>
      </c>
      <c r="I1936" s="2">
        <v>8</v>
      </c>
      <c r="J1936">
        <f t="shared" si="150"/>
        <v>13</v>
      </c>
      <c r="K1936">
        <f t="shared" si="151"/>
        <v>7</v>
      </c>
      <c r="L1936" t="str">
        <f t="shared" si="152"/>
        <v>No</v>
      </c>
      <c r="M1936" t="str">
        <f t="shared" si="154"/>
        <v>Yes</v>
      </c>
      <c r="N1936" t="str">
        <f t="shared" si="153"/>
        <v>No</v>
      </c>
    </row>
    <row r="1937" spans="1:14" x14ac:dyDescent="0.3">
      <c r="A1937" s="4" t="s">
        <v>3891</v>
      </c>
      <c r="B1937" s="4" t="s">
        <v>3892</v>
      </c>
      <c r="C1937" s="4" t="s">
        <v>34</v>
      </c>
      <c r="D1937" s="5">
        <v>45953</v>
      </c>
      <c r="E1937" s="5">
        <v>45960</v>
      </c>
      <c r="F1937" s="5">
        <v>45960</v>
      </c>
      <c r="G1937" s="4" t="s">
        <v>40</v>
      </c>
      <c r="H1937" s="4">
        <v>29</v>
      </c>
      <c r="I1937" s="2">
        <v>29</v>
      </c>
      <c r="J1937">
        <f t="shared" si="150"/>
        <v>7</v>
      </c>
      <c r="K1937">
        <f t="shared" si="151"/>
        <v>0</v>
      </c>
      <c r="L1937" t="str">
        <f t="shared" si="152"/>
        <v>Yes</v>
      </c>
      <c r="M1937" t="str">
        <f t="shared" si="154"/>
        <v>Yes</v>
      </c>
      <c r="N1937" t="str">
        <f t="shared" si="153"/>
        <v>Yes</v>
      </c>
    </row>
    <row r="1938" spans="1:14" x14ac:dyDescent="0.3">
      <c r="A1938" s="2" t="s">
        <v>3893</v>
      </c>
      <c r="B1938" s="2" t="s">
        <v>3894</v>
      </c>
      <c r="C1938" s="2" t="s">
        <v>37</v>
      </c>
      <c r="D1938" s="3">
        <v>45952</v>
      </c>
      <c r="E1938" s="3">
        <v>45956</v>
      </c>
      <c r="F1938" s="3">
        <v>45966</v>
      </c>
      <c r="G1938" s="2" t="s">
        <v>22</v>
      </c>
      <c r="H1938" s="2">
        <v>52</v>
      </c>
      <c r="I1938" s="2">
        <v>52</v>
      </c>
      <c r="J1938">
        <f t="shared" si="150"/>
        <v>14</v>
      </c>
      <c r="K1938">
        <f t="shared" si="151"/>
        <v>10</v>
      </c>
      <c r="L1938" t="str">
        <f t="shared" si="152"/>
        <v>No</v>
      </c>
      <c r="M1938" t="str">
        <f t="shared" si="154"/>
        <v>Yes</v>
      </c>
      <c r="N1938" t="str">
        <f t="shared" si="153"/>
        <v>No</v>
      </c>
    </row>
    <row r="1939" spans="1:14" x14ac:dyDescent="0.3">
      <c r="A1939" s="4" t="s">
        <v>3895</v>
      </c>
      <c r="B1939" s="4" t="s">
        <v>3896</v>
      </c>
      <c r="C1939" s="4" t="s">
        <v>59</v>
      </c>
      <c r="D1939" s="5">
        <v>45954</v>
      </c>
      <c r="E1939" s="5">
        <v>45960</v>
      </c>
      <c r="F1939" s="5">
        <v>45958</v>
      </c>
      <c r="G1939" s="4" t="s">
        <v>22</v>
      </c>
      <c r="H1939" s="4">
        <v>21</v>
      </c>
      <c r="I1939" s="2">
        <v>21</v>
      </c>
      <c r="J1939">
        <f t="shared" si="150"/>
        <v>4</v>
      </c>
      <c r="K1939">
        <f t="shared" si="151"/>
        <v>-2</v>
      </c>
      <c r="L1939" t="str">
        <f t="shared" si="152"/>
        <v>Yes</v>
      </c>
      <c r="M1939" t="str">
        <f t="shared" si="154"/>
        <v>Yes</v>
      </c>
      <c r="N1939" t="str">
        <f t="shared" si="153"/>
        <v>Yes</v>
      </c>
    </row>
    <row r="1940" spans="1:14" x14ac:dyDescent="0.3">
      <c r="A1940" s="2" t="s">
        <v>3897</v>
      </c>
      <c r="B1940" s="2" t="s">
        <v>3898</v>
      </c>
      <c r="C1940" s="2" t="s">
        <v>14</v>
      </c>
      <c r="D1940" s="3">
        <v>45952</v>
      </c>
      <c r="E1940" s="3">
        <v>45958</v>
      </c>
      <c r="F1940" s="3">
        <v>45971</v>
      </c>
      <c r="G1940" s="2" t="s">
        <v>11</v>
      </c>
      <c r="H1940" s="2">
        <v>78</v>
      </c>
      <c r="I1940" s="2">
        <v>78</v>
      </c>
      <c r="J1940">
        <f t="shared" si="150"/>
        <v>19</v>
      </c>
      <c r="K1940">
        <f t="shared" si="151"/>
        <v>13</v>
      </c>
      <c r="L1940" t="str">
        <f t="shared" si="152"/>
        <v>No</v>
      </c>
      <c r="M1940" t="str">
        <f t="shared" si="154"/>
        <v>Yes</v>
      </c>
      <c r="N1940" t="str">
        <f t="shared" si="153"/>
        <v>No</v>
      </c>
    </row>
    <row r="1941" spans="1:14" x14ac:dyDescent="0.3">
      <c r="A1941" s="4" t="s">
        <v>3899</v>
      </c>
      <c r="B1941" s="4" t="s">
        <v>3900</v>
      </c>
      <c r="C1941" s="4" t="s">
        <v>59</v>
      </c>
      <c r="D1941" s="5">
        <v>45952</v>
      </c>
      <c r="E1941" s="5">
        <v>45962</v>
      </c>
      <c r="F1941" s="5">
        <v>45958</v>
      </c>
      <c r="G1941" s="4" t="s">
        <v>11</v>
      </c>
      <c r="H1941" s="4">
        <v>40</v>
      </c>
      <c r="I1941" s="2">
        <v>46</v>
      </c>
      <c r="J1941">
        <f t="shared" si="150"/>
        <v>6</v>
      </c>
      <c r="K1941">
        <f t="shared" si="151"/>
        <v>-4</v>
      </c>
      <c r="L1941" t="str">
        <f t="shared" si="152"/>
        <v>Yes</v>
      </c>
      <c r="M1941" t="str">
        <f t="shared" si="154"/>
        <v>No</v>
      </c>
      <c r="N1941" t="str">
        <f t="shared" si="153"/>
        <v>No</v>
      </c>
    </row>
    <row r="1942" spans="1:14" x14ac:dyDescent="0.3">
      <c r="A1942" s="2" t="s">
        <v>3901</v>
      </c>
      <c r="B1942" s="2" t="s">
        <v>3902</v>
      </c>
      <c r="C1942" s="2" t="s">
        <v>21</v>
      </c>
      <c r="D1942" s="3">
        <v>45952</v>
      </c>
      <c r="E1942" s="3">
        <v>45958</v>
      </c>
      <c r="F1942" s="3">
        <v>45960</v>
      </c>
      <c r="G1942" s="2" t="s">
        <v>11</v>
      </c>
      <c r="H1942" s="2">
        <v>69</v>
      </c>
      <c r="I1942" s="2">
        <v>69</v>
      </c>
      <c r="J1942">
        <f t="shared" si="150"/>
        <v>8</v>
      </c>
      <c r="K1942">
        <f t="shared" si="151"/>
        <v>2</v>
      </c>
      <c r="L1942" t="str">
        <f t="shared" si="152"/>
        <v>No</v>
      </c>
      <c r="M1942" t="str">
        <f t="shared" si="154"/>
        <v>Yes</v>
      </c>
      <c r="N1942" t="str">
        <f t="shared" si="153"/>
        <v>No</v>
      </c>
    </row>
    <row r="1943" spans="1:14" x14ac:dyDescent="0.3">
      <c r="A1943" s="4" t="s">
        <v>3903</v>
      </c>
      <c r="B1943" s="4" t="s">
        <v>3904</v>
      </c>
      <c r="C1943" s="4" t="s">
        <v>21</v>
      </c>
      <c r="D1943" s="5">
        <v>45953</v>
      </c>
      <c r="E1943" s="5">
        <v>45961</v>
      </c>
      <c r="F1943" s="5">
        <v>45958</v>
      </c>
      <c r="G1943" s="4" t="s">
        <v>15</v>
      </c>
      <c r="H1943" s="4">
        <v>24</v>
      </c>
      <c r="I1943" s="2">
        <v>24</v>
      </c>
      <c r="J1943">
        <f t="shared" si="150"/>
        <v>5</v>
      </c>
      <c r="K1943">
        <f t="shared" si="151"/>
        <v>-3</v>
      </c>
      <c r="L1943" t="str">
        <f t="shared" si="152"/>
        <v>Yes</v>
      </c>
      <c r="M1943" t="str">
        <f t="shared" si="154"/>
        <v>Yes</v>
      </c>
      <c r="N1943" t="str">
        <f t="shared" si="153"/>
        <v>Yes</v>
      </c>
    </row>
    <row r="1944" spans="1:14" x14ac:dyDescent="0.3">
      <c r="A1944" s="2" t="s">
        <v>3905</v>
      </c>
      <c r="B1944" s="2" t="s">
        <v>3906</v>
      </c>
      <c r="C1944" s="2" t="s">
        <v>27</v>
      </c>
      <c r="D1944" s="3">
        <v>45953</v>
      </c>
      <c r="E1944" s="3">
        <v>45956</v>
      </c>
      <c r="F1944" s="3">
        <v>45965</v>
      </c>
      <c r="G1944" s="2" t="s">
        <v>11</v>
      </c>
      <c r="H1944" s="2">
        <v>11</v>
      </c>
      <c r="I1944" s="2">
        <v>11</v>
      </c>
      <c r="J1944">
        <f t="shared" si="150"/>
        <v>12</v>
      </c>
      <c r="K1944">
        <f t="shared" si="151"/>
        <v>9</v>
      </c>
      <c r="L1944" t="str">
        <f t="shared" si="152"/>
        <v>No</v>
      </c>
      <c r="M1944" t="str">
        <f t="shared" si="154"/>
        <v>Yes</v>
      </c>
      <c r="N1944" t="str">
        <f t="shared" si="153"/>
        <v>No</v>
      </c>
    </row>
    <row r="1945" spans="1:14" x14ac:dyDescent="0.3">
      <c r="A1945" s="4" t="s">
        <v>3907</v>
      </c>
      <c r="B1945" s="4" t="s">
        <v>3908</v>
      </c>
      <c r="C1945" s="4" t="s">
        <v>27</v>
      </c>
      <c r="D1945" s="5">
        <v>45953</v>
      </c>
      <c r="E1945" s="5">
        <v>45962</v>
      </c>
      <c r="F1945" s="5">
        <v>45966</v>
      </c>
      <c r="G1945" s="4" t="s">
        <v>40</v>
      </c>
      <c r="H1945" s="4">
        <v>10</v>
      </c>
      <c r="I1945" s="2">
        <v>10</v>
      </c>
      <c r="J1945">
        <f t="shared" si="150"/>
        <v>13</v>
      </c>
      <c r="K1945">
        <f t="shared" si="151"/>
        <v>4</v>
      </c>
      <c r="L1945" t="str">
        <f t="shared" si="152"/>
        <v>No</v>
      </c>
      <c r="M1945" t="str">
        <f t="shared" si="154"/>
        <v>Yes</v>
      </c>
      <c r="N1945" t="str">
        <f t="shared" si="153"/>
        <v>No</v>
      </c>
    </row>
    <row r="1946" spans="1:14" x14ac:dyDescent="0.3">
      <c r="A1946" s="2" t="s">
        <v>3909</v>
      </c>
      <c r="B1946" s="2" t="s">
        <v>3910</v>
      </c>
      <c r="C1946" s="2" t="s">
        <v>34</v>
      </c>
      <c r="D1946" s="3">
        <v>45955</v>
      </c>
      <c r="E1946" s="3">
        <v>45961</v>
      </c>
      <c r="F1946" s="3">
        <v>45962</v>
      </c>
      <c r="G1946" s="2" t="s">
        <v>22</v>
      </c>
      <c r="H1946" s="2">
        <v>29</v>
      </c>
      <c r="I1946" s="2">
        <v>29</v>
      </c>
      <c r="J1946">
        <f t="shared" si="150"/>
        <v>7</v>
      </c>
      <c r="K1946">
        <f t="shared" si="151"/>
        <v>1</v>
      </c>
      <c r="L1946" t="str">
        <f t="shared" si="152"/>
        <v>No</v>
      </c>
      <c r="M1946" t="str">
        <f t="shared" si="154"/>
        <v>Yes</v>
      </c>
      <c r="N1946" t="str">
        <f t="shared" si="153"/>
        <v>No</v>
      </c>
    </row>
    <row r="1947" spans="1:14" x14ac:dyDescent="0.3">
      <c r="A1947" s="4" t="s">
        <v>3911</v>
      </c>
      <c r="B1947" s="4" t="s">
        <v>3912</v>
      </c>
      <c r="C1947" s="4" t="s">
        <v>10</v>
      </c>
      <c r="D1947" s="5">
        <v>45955</v>
      </c>
      <c r="E1947" s="5">
        <v>45962</v>
      </c>
      <c r="F1947" s="5">
        <v>45960</v>
      </c>
      <c r="G1947" s="4" t="s">
        <v>22</v>
      </c>
      <c r="H1947" s="4">
        <v>66</v>
      </c>
      <c r="I1947" s="2">
        <v>66</v>
      </c>
      <c r="J1947">
        <f t="shared" si="150"/>
        <v>5</v>
      </c>
      <c r="K1947">
        <f t="shared" si="151"/>
        <v>-2</v>
      </c>
      <c r="L1947" t="str">
        <f t="shared" si="152"/>
        <v>Yes</v>
      </c>
      <c r="M1947" t="str">
        <f t="shared" si="154"/>
        <v>Yes</v>
      </c>
      <c r="N1947" t="str">
        <f t="shared" si="153"/>
        <v>Yes</v>
      </c>
    </row>
    <row r="1948" spans="1:14" x14ac:dyDescent="0.3">
      <c r="A1948" s="2" t="s">
        <v>3913</v>
      </c>
      <c r="B1948" s="2" t="s">
        <v>3914</v>
      </c>
      <c r="C1948" s="2" t="s">
        <v>14</v>
      </c>
      <c r="D1948" s="3">
        <v>45955</v>
      </c>
      <c r="E1948" s="3">
        <v>45957</v>
      </c>
      <c r="F1948" s="3">
        <v>45971</v>
      </c>
      <c r="G1948" s="2" t="s">
        <v>18</v>
      </c>
      <c r="H1948" s="2">
        <v>14</v>
      </c>
      <c r="I1948" s="2">
        <v>14</v>
      </c>
      <c r="J1948">
        <f t="shared" si="150"/>
        <v>16</v>
      </c>
      <c r="K1948">
        <f t="shared" si="151"/>
        <v>14</v>
      </c>
      <c r="L1948" t="str">
        <f t="shared" si="152"/>
        <v>No</v>
      </c>
      <c r="M1948" t="str">
        <f t="shared" si="154"/>
        <v>Yes</v>
      </c>
      <c r="N1948" t="str">
        <f t="shared" si="153"/>
        <v>No</v>
      </c>
    </row>
    <row r="1949" spans="1:14" x14ac:dyDescent="0.3">
      <c r="A1949" s="4" t="s">
        <v>3915</v>
      </c>
      <c r="B1949" s="4" t="s">
        <v>3916</v>
      </c>
      <c r="C1949" s="4" t="s">
        <v>14</v>
      </c>
      <c r="D1949" s="5">
        <v>45955</v>
      </c>
      <c r="E1949" s="5">
        <v>45957</v>
      </c>
      <c r="F1949" s="5">
        <v>45971</v>
      </c>
      <c r="G1949" s="4" t="s">
        <v>11</v>
      </c>
      <c r="H1949" s="4">
        <v>61</v>
      </c>
      <c r="I1949" s="2">
        <v>61</v>
      </c>
      <c r="J1949">
        <f t="shared" si="150"/>
        <v>16</v>
      </c>
      <c r="K1949">
        <f t="shared" si="151"/>
        <v>14</v>
      </c>
      <c r="L1949" t="str">
        <f t="shared" si="152"/>
        <v>No</v>
      </c>
      <c r="M1949" t="str">
        <f t="shared" si="154"/>
        <v>Yes</v>
      </c>
      <c r="N1949" t="str">
        <f t="shared" si="153"/>
        <v>No</v>
      </c>
    </row>
    <row r="1950" spans="1:14" x14ac:dyDescent="0.3">
      <c r="A1950" s="2" t="s">
        <v>3917</v>
      </c>
      <c r="B1950" s="2" t="s">
        <v>3918</v>
      </c>
      <c r="C1950" s="2" t="s">
        <v>21</v>
      </c>
      <c r="D1950" s="3">
        <v>45954</v>
      </c>
      <c r="E1950" s="3">
        <v>45961</v>
      </c>
      <c r="F1950" s="3">
        <v>45961</v>
      </c>
      <c r="G1950" s="2" t="s">
        <v>18</v>
      </c>
      <c r="H1950" s="2">
        <v>74</v>
      </c>
      <c r="I1950" s="2">
        <v>74</v>
      </c>
      <c r="J1950">
        <f t="shared" si="150"/>
        <v>7</v>
      </c>
      <c r="K1950">
        <f t="shared" si="151"/>
        <v>0</v>
      </c>
      <c r="L1950" t="str">
        <f t="shared" si="152"/>
        <v>Yes</v>
      </c>
      <c r="M1950" t="str">
        <f t="shared" si="154"/>
        <v>Yes</v>
      </c>
      <c r="N1950" t="str">
        <f t="shared" si="153"/>
        <v>Yes</v>
      </c>
    </row>
    <row r="1951" spans="1:14" x14ac:dyDescent="0.3">
      <c r="A1951" s="4" t="s">
        <v>3919</v>
      </c>
      <c r="B1951" s="4" t="s">
        <v>3920</v>
      </c>
      <c r="C1951" s="4" t="s">
        <v>21</v>
      </c>
      <c r="D1951" s="5">
        <v>45953</v>
      </c>
      <c r="E1951" s="5">
        <v>45956</v>
      </c>
      <c r="F1951" s="5">
        <v>45958</v>
      </c>
      <c r="G1951" s="4" t="s">
        <v>18</v>
      </c>
      <c r="H1951" s="4">
        <v>28</v>
      </c>
      <c r="I1951" s="2">
        <v>28</v>
      </c>
      <c r="J1951">
        <f t="shared" si="150"/>
        <v>5</v>
      </c>
      <c r="K1951">
        <f t="shared" si="151"/>
        <v>2</v>
      </c>
      <c r="L1951" t="str">
        <f t="shared" si="152"/>
        <v>No</v>
      </c>
      <c r="M1951" t="str">
        <f t="shared" si="154"/>
        <v>Yes</v>
      </c>
      <c r="N1951" t="str">
        <f t="shared" si="153"/>
        <v>No</v>
      </c>
    </row>
    <row r="1952" spans="1:14" x14ac:dyDescent="0.3">
      <c r="A1952" s="2" t="s">
        <v>3921</v>
      </c>
      <c r="B1952" s="2" t="s">
        <v>3922</v>
      </c>
      <c r="C1952" s="2" t="s">
        <v>27</v>
      </c>
      <c r="D1952" s="3">
        <v>45954</v>
      </c>
      <c r="E1952" s="3">
        <v>45959</v>
      </c>
      <c r="F1952" s="3">
        <v>45967</v>
      </c>
      <c r="G1952" s="2" t="s">
        <v>15</v>
      </c>
      <c r="H1952" s="2">
        <v>29</v>
      </c>
      <c r="I1952" s="2">
        <v>29</v>
      </c>
      <c r="J1952">
        <f t="shared" si="150"/>
        <v>13</v>
      </c>
      <c r="K1952">
        <f t="shared" si="151"/>
        <v>8</v>
      </c>
      <c r="L1952" t="str">
        <f t="shared" si="152"/>
        <v>No</v>
      </c>
      <c r="M1952" t="str">
        <f t="shared" si="154"/>
        <v>Yes</v>
      </c>
      <c r="N1952" t="str">
        <f t="shared" si="153"/>
        <v>No</v>
      </c>
    </row>
    <row r="1953" spans="1:14" x14ac:dyDescent="0.3">
      <c r="A1953" s="4" t="s">
        <v>3923</v>
      </c>
      <c r="B1953" s="4" t="s">
        <v>3924</v>
      </c>
      <c r="C1953" s="4" t="s">
        <v>27</v>
      </c>
      <c r="D1953" s="5">
        <v>45954</v>
      </c>
      <c r="E1953" s="5">
        <v>45962</v>
      </c>
      <c r="F1953" s="5">
        <v>45967</v>
      </c>
      <c r="G1953" s="4" t="s">
        <v>11</v>
      </c>
      <c r="H1953" s="4">
        <v>8</v>
      </c>
      <c r="I1953" s="2">
        <v>8</v>
      </c>
      <c r="J1953">
        <f t="shared" si="150"/>
        <v>13</v>
      </c>
      <c r="K1953">
        <f t="shared" si="151"/>
        <v>5</v>
      </c>
      <c r="L1953" t="str">
        <f t="shared" si="152"/>
        <v>No</v>
      </c>
      <c r="M1953" t="str">
        <f t="shared" si="154"/>
        <v>Yes</v>
      </c>
      <c r="N1953" t="str">
        <f t="shared" si="153"/>
        <v>No</v>
      </c>
    </row>
    <row r="1954" spans="1:14" x14ac:dyDescent="0.3">
      <c r="A1954" s="2" t="s">
        <v>3925</v>
      </c>
      <c r="B1954" s="2" t="s">
        <v>3926</v>
      </c>
      <c r="C1954" s="2" t="s">
        <v>27</v>
      </c>
      <c r="D1954" s="3">
        <v>45953</v>
      </c>
      <c r="E1954" s="3">
        <v>45958</v>
      </c>
      <c r="F1954" s="3">
        <v>45966</v>
      </c>
      <c r="G1954" s="2" t="s">
        <v>22</v>
      </c>
      <c r="H1954" s="2">
        <v>20</v>
      </c>
      <c r="I1954" s="2">
        <v>20</v>
      </c>
      <c r="J1954">
        <f t="shared" si="150"/>
        <v>13</v>
      </c>
      <c r="K1954">
        <f t="shared" si="151"/>
        <v>8</v>
      </c>
      <c r="L1954" t="str">
        <f t="shared" si="152"/>
        <v>No</v>
      </c>
      <c r="M1954" t="str">
        <f t="shared" si="154"/>
        <v>Yes</v>
      </c>
      <c r="N1954" t="str">
        <f t="shared" si="153"/>
        <v>No</v>
      </c>
    </row>
    <row r="1955" spans="1:14" x14ac:dyDescent="0.3">
      <c r="A1955" s="4" t="s">
        <v>3927</v>
      </c>
      <c r="B1955" s="4" t="s">
        <v>3928</v>
      </c>
      <c r="C1955" s="4" t="s">
        <v>34</v>
      </c>
      <c r="D1955" s="5">
        <v>45954</v>
      </c>
      <c r="E1955" s="5">
        <v>45960</v>
      </c>
      <c r="F1955" s="5">
        <v>45961</v>
      </c>
      <c r="G1955" s="4" t="s">
        <v>11</v>
      </c>
      <c r="H1955" s="4">
        <v>14</v>
      </c>
      <c r="I1955" s="2">
        <v>14</v>
      </c>
      <c r="J1955">
        <f t="shared" si="150"/>
        <v>7</v>
      </c>
      <c r="K1955">
        <f t="shared" si="151"/>
        <v>1</v>
      </c>
      <c r="L1955" t="str">
        <f t="shared" si="152"/>
        <v>No</v>
      </c>
      <c r="M1955" t="str">
        <f t="shared" si="154"/>
        <v>Yes</v>
      </c>
      <c r="N1955" t="str">
        <f t="shared" si="153"/>
        <v>No</v>
      </c>
    </row>
    <row r="1956" spans="1:14" x14ac:dyDescent="0.3">
      <c r="A1956" s="2" t="s">
        <v>3929</v>
      </c>
      <c r="B1956" s="2" t="s">
        <v>3930</v>
      </c>
      <c r="C1956" s="2" t="s">
        <v>72</v>
      </c>
      <c r="D1956" s="3">
        <v>45955</v>
      </c>
      <c r="E1956" s="3">
        <v>45962</v>
      </c>
      <c r="F1956" s="3">
        <v>45968</v>
      </c>
      <c r="G1956" s="2" t="s">
        <v>22</v>
      </c>
      <c r="H1956" s="2">
        <v>25</v>
      </c>
      <c r="I1956" s="2">
        <v>25</v>
      </c>
      <c r="J1956">
        <f t="shared" si="150"/>
        <v>13</v>
      </c>
      <c r="K1956">
        <f t="shared" si="151"/>
        <v>6</v>
      </c>
      <c r="L1956" t="str">
        <f t="shared" si="152"/>
        <v>No</v>
      </c>
      <c r="M1956" t="str">
        <f t="shared" si="154"/>
        <v>Yes</v>
      </c>
      <c r="N1956" t="str">
        <f t="shared" si="153"/>
        <v>No</v>
      </c>
    </row>
    <row r="1957" spans="1:14" x14ac:dyDescent="0.3">
      <c r="A1957" s="4" t="s">
        <v>3931</v>
      </c>
      <c r="B1957" s="4" t="s">
        <v>3932</v>
      </c>
      <c r="C1957" s="4" t="s">
        <v>72</v>
      </c>
      <c r="D1957" s="5">
        <v>45954</v>
      </c>
      <c r="E1957" s="5">
        <v>45959</v>
      </c>
      <c r="F1957" s="5">
        <v>45970</v>
      </c>
      <c r="G1957" s="4" t="s">
        <v>11</v>
      </c>
      <c r="H1957" s="4">
        <v>21</v>
      </c>
      <c r="I1957" s="2">
        <v>26</v>
      </c>
      <c r="J1957">
        <f t="shared" si="150"/>
        <v>16</v>
      </c>
      <c r="K1957">
        <f t="shared" si="151"/>
        <v>11</v>
      </c>
      <c r="L1957" t="str">
        <f t="shared" si="152"/>
        <v>No</v>
      </c>
      <c r="M1957" t="str">
        <f t="shared" si="154"/>
        <v>No</v>
      </c>
      <c r="N1957" t="str">
        <f t="shared" si="153"/>
        <v>No</v>
      </c>
    </row>
    <row r="1958" spans="1:14" x14ac:dyDescent="0.3">
      <c r="A1958" s="2" t="s">
        <v>3933</v>
      </c>
      <c r="B1958" s="2" t="s">
        <v>3934</v>
      </c>
      <c r="C1958" s="2" t="s">
        <v>21</v>
      </c>
      <c r="D1958" s="3">
        <v>45954</v>
      </c>
      <c r="E1958" s="3">
        <v>45960</v>
      </c>
      <c r="F1958" s="3">
        <v>45959</v>
      </c>
      <c r="G1958" s="2" t="s">
        <v>15</v>
      </c>
      <c r="H1958" s="2">
        <v>60</v>
      </c>
      <c r="I1958" s="2">
        <v>60</v>
      </c>
      <c r="J1958">
        <f t="shared" si="150"/>
        <v>5</v>
      </c>
      <c r="K1958">
        <f t="shared" si="151"/>
        <v>-1</v>
      </c>
      <c r="L1958" t="str">
        <f t="shared" si="152"/>
        <v>Yes</v>
      </c>
      <c r="M1958" t="str">
        <f t="shared" si="154"/>
        <v>Yes</v>
      </c>
      <c r="N1958" t="str">
        <f t="shared" si="153"/>
        <v>Yes</v>
      </c>
    </row>
    <row r="1959" spans="1:14" x14ac:dyDescent="0.3">
      <c r="A1959" s="4" t="s">
        <v>3935</v>
      </c>
      <c r="B1959" s="4" t="s">
        <v>3936</v>
      </c>
      <c r="C1959" s="4" t="s">
        <v>21</v>
      </c>
      <c r="D1959" s="5">
        <v>45954</v>
      </c>
      <c r="E1959" s="5">
        <v>45964</v>
      </c>
      <c r="F1959" s="5">
        <v>45960</v>
      </c>
      <c r="G1959" s="4" t="s">
        <v>22</v>
      </c>
      <c r="H1959" s="4">
        <v>31</v>
      </c>
      <c r="I1959" s="2">
        <v>39</v>
      </c>
      <c r="J1959">
        <f t="shared" si="150"/>
        <v>6</v>
      </c>
      <c r="K1959">
        <f t="shared" si="151"/>
        <v>-4</v>
      </c>
      <c r="L1959" t="str">
        <f t="shared" si="152"/>
        <v>Yes</v>
      </c>
      <c r="M1959" t="str">
        <f t="shared" si="154"/>
        <v>No</v>
      </c>
      <c r="N1959" t="str">
        <f t="shared" si="153"/>
        <v>No</v>
      </c>
    </row>
    <row r="1960" spans="1:14" x14ac:dyDescent="0.3">
      <c r="A1960" s="2" t="s">
        <v>3937</v>
      </c>
      <c r="B1960" s="2" t="s">
        <v>3938</v>
      </c>
      <c r="C1960" s="2" t="s">
        <v>27</v>
      </c>
      <c r="D1960" s="3">
        <v>45954</v>
      </c>
      <c r="E1960" s="3">
        <v>45961</v>
      </c>
      <c r="F1960" s="3">
        <v>45969</v>
      </c>
      <c r="G1960" s="2" t="s">
        <v>15</v>
      </c>
      <c r="H1960" s="2">
        <v>6</v>
      </c>
      <c r="I1960" s="2">
        <v>6</v>
      </c>
      <c r="J1960">
        <f t="shared" si="150"/>
        <v>15</v>
      </c>
      <c r="K1960">
        <f t="shared" si="151"/>
        <v>8</v>
      </c>
      <c r="L1960" t="str">
        <f t="shared" si="152"/>
        <v>No</v>
      </c>
      <c r="M1960" t="str">
        <f t="shared" si="154"/>
        <v>Yes</v>
      </c>
      <c r="N1960" t="str">
        <f t="shared" si="153"/>
        <v>No</v>
      </c>
    </row>
    <row r="1961" spans="1:14" x14ac:dyDescent="0.3">
      <c r="A1961" s="4" t="s">
        <v>3939</v>
      </c>
      <c r="B1961" s="4" t="s">
        <v>3940</v>
      </c>
      <c r="C1961" s="4" t="s">
        <v>34</v>
      </c>
      <c r="D1961" s="5">
        <v>45957</v>
      </c>
      <c r="E1961" s="5">
        <v>45963</v>
      </c>
      <c r="F1961" s="5">
        <v>45965</v>
      </c>
      <c r="G1961" s="4" t="s">
        <v>22</v>
      </c>
      <c r="H1961" s="4">
        <v>10</v>
      </c>
      <c r="I1961" s="2">
        <v>15</v>
      </c>
      <c r="J1961">
        <f t="shared" si="150"/>
        <v>8</v>
      </c>
      <c r="K1961">
        <f t="shared" si="151"/>
        <v>2</v>
      </c>
      <c r="L1961" t="str">
        <f t="shared" si="152"/>
        <v>No</v>
      </c>
      <c r="M1961" t="str">
        <f t="shared" si="154"/>
        <v>No</v>
      </c>
      <c r="N1961" t="str">
        <f t="shared" si="153"/>
        <v>No</v>
      </c>
    </row>
    <row r="1962" spans="1:14" x14ac:dyDescent="0.3">
      <c r="A1962" s="2" t="s">
        <v>3941</v>
      </c>
      <c r="B1962" s="2" t="s">
        <v>3942</v>
      </c>
      <c r="C1962" s="2" t="s">
        <v>72</v>
      </c>
      <c r="D1962" s="3">
        <v>45955</v>
      </c>
      <c r="E1962" s="3">
        <v>45961</v>
      </c>
      <c r="F1962" s="3">
        <v>45970</v>
      </c>
      <c r="G1962" s="2" t="s">
        <v>15</v>
      </c>
      <c r="H1962" s="2">
        <v>3</v>
      </c>
      <c r="I1962" s="2">
        <v>11</v>
      </c>
      <c r="J1962">
        <f t="shared" si="150"/>
        <v>15</v>
      </c>
      <c r="K1962">
        <f t="shared" si="151"/>
        <v>9</v>
      </c>
      <c r="L1962" t="str">
        <f t="shared" si="152"/>
        <v>No</v>
      </c>
      <c r="M1962" t="str">
        <f t="shared" si="154"/>
        <v>No</v>
      </c>
      <c r="N1962" t="str">
        <f t="shared" si="153"/>
        <v>No</v>
      </c>
    </row>
    <row r="1963" spans="1:14" x14ac:dyDescent="0.3">
      <c r="A1963" s="4" t="s">
        <v>3943</v>
      </c>
      <c r="B1963" s="4" t="s">
        <v>3944</v>
      </c>
      <c r="C1963" s="4" t="s">
        <v>59</v>
      </c>
      <c r="D1963" s="5">
        <v>45955</v>
      </c>
      <c r="E1963" s="5">
        <v>45959</v>
      </c>
      <c r="F1963" s="5">
        <v>45960</v>
      </c>
      <c r="G1963" s="4" t="s">
        <v>22</v>
      </c>
      <c r="H1963" s="4">
        <v>51</v>
      </c>
      <c r="I1963" s="2">
        <v>51</v>
      </c>
      <c r="J1963">
        <f t="shared" si="150"/>
        <v>5</v>
      </c>
      <c r="K1963">
        <f t="shared" si="151"/>
        <v>1</v>
      </c>
      <c r="L1963" t="str">
        <f t="shared" si="152"/>
        <v>No</v>
      </c>
      <c r="M1963" t="str">
        <f t="shared" si="154"/>
        <v>Yes</v>
      </c>
      <c r="N1963" t="str">
        <f t="shared" si="153"/>
        <v>No</v>
      </c>
    </row>
    <row r="1964" spans="1:14" x14ac:dyDescent="0.3">
      <c r="A1964" s="2" t="s">
        <v>3945</v>
      </c>
      <c r="B1964" s="2" t="s">
        <v>3946</v>
      </c>
      <c r="C1964" s="2" t="s">
        <v>21</v>
      </c>
      <c r="D1964" s="3">
        <v>45957</v>
      </c>
      <c r="E1964" s="3">
        <v>45962</v>
      </c>
      <c r="F1964" s="3">
        <v>45963</v>
      </c>
      <c r="G1964" s="2" t="s">
        <v>18</v>
      </c>
      <c r="H1964" s="2">
        <v>35</v>
      </c>
      <c r="I1964" s="2">
        <v>38</v>
      </c>
      <c r="J1964">
        <f t="shared" si="150"/>
        <v>6</v>
      </c>
      <c r="K1964">
        <f t="shared" si="151"/>
        <v>1</v>
      </c>
      <c r="L1964" t="str">
        <f t="shared" si="152"/>
        <v>No</v>
      </c>
      <c r="M1964" t="str">
        <f t="shared" si="154"/>
        <v>No</v>
      </c>
      <c r="N1964" t="str">
        <f t="shared" si="153"/>
        <v>No</v>
      </c>
    </row>
    <row r="1965" spans="1:14" x14ac:dyDescent="0.3">
      <c r="A1965" s="4" t="s">
        <v>3947</v>
      </c>
      <c r="B1965" s="4" t="s">
        <v>3948</v>
      </c>
      <c r="C1965" s="4" t="s">
        <v>21</v>
      </c>
      <c r="D1965" s="5">
        <v>45955</v>
      </c>
      <c r="E1965" s="5">
        <v>45965</v>
      </c>
      <c r="F1965" s="5">
        <v>45961</v>
      </c>
      <c r="G1965" s="4" t="s">
        <v>11</v>
      </c>
      <c r="H1965" s="4">
        <v>39</v>
      </c>
      <c r="I1965" s="2">
        <v>39</v>
      </c>
      <c r="J1965">
        <f t="shared" si="150"/>
        <v>6</v>
      </c>
      <c r="K1965">
        <f t="shared" si="151"/>
        <v>-4</v>
      </c>
      <c r="L1965" t="str">
        <f t="shared" si="152"/>
        <v>Yes</v>
      </c>
      <c r="M1965" t="str">
        <f t="shared" si="154"/>
        <v>Yes</v>
      </c>
      <c r="N1965" t="str">
        <f t="shared" si="153"/>
        <v>Yes</v>
      </c>
    </row>
    <row r="1966" spans="1:14" x14ac:dyDescent="0.3">
      <c r="A1966" s="2" t="s">
        <v>3949</v>
      </c>
      <c r="B1966" s="2" t="s">
        <v>3950</v>
      </c>
      <c r="C1966" s="2" t="s">
        <v>27</v>
      </c>
      <c r="D1966" s="3">
        <v>45957</v>
      </c>
      <c r="E1966" s="3">
        <v>45958</v>
      </c>
      <c r="F1966" s="3">
        <v>45970</v>
      </c>
      <c r="G1966" s="2" t="s">
        <v>40</v>
      </c>
      <c r="H1966" s="2">
        <v>17</v>
      </c>
      <c r="I1966" s="2">
        <v>17</v>
      </c>
      <c r="J1966">
        <f t="shared" si="150"/>
        <v>13</v>
      </c>
      <c r="K1966">
        <f t="shared" si="151"/>
        <v>12</v>
      </c>
      <c r="L1966" t="str">
        <f t="shared" si="152"/>
        <v>No</v>
      </c>
      <c r="M1966" t="str">
        <f t="shared" si="154"/>
        <v>Yes</v>
      </c>
      <c r="N1966" t="str">
        <f t="shared" si="153"/>
        <v>No</v>
      </c>
    </row>
    <row r="1967" spans="1:14" x14ac:dyDescent="0.3">
      <c r="A1967" s="4" t="s">
        <v>3951</v>
      </c>
      <c r="B1967" s="4" t="s">
        <v>3952</v>
      </c>
      <c r="C1967" s="4" t="s">
        <v>37</v>
      </c>
      <c r="D1967" s="5">
        <v>45957</v>
      </c>
      <c r="E1967" s="5">
        <v>45959</v>
      </c>
      <c r="F1967" s="5">
        <v>45971</v>
      </c>
      <c r="G1967" s="4" t="s">
        <v>11</v>
      </c>
      <c r="H1967" s="4">
        <v>26</v>
      </c>
      <c r="I1967" s="2">
        <v>26</v>
      </c>
      <c r="J1967">
        <f t="shared" si="150"/>
        <v>14</v>
      </c>
      <c r="K1967">
        <f t="shared" si="151"/>
        <v>12</v>
      </c>
      <c r="L1967" t="str">
        <f t="shared" si="152"/>
        <v>No</v>
      </c>
      <c r="M1967" t="str">
        <f t="shared" si="154"/>
        <v>Yes</v>
      </c>
      <c r="N1967" t="str">
        <f t="shared" si="153"/>
        <v>No</v>
      </c>
    </row>
    <row r="1968" spans="1:14" x14ac:dyDescent="0.3">
      <c r="A1968" s="2" t="s">
        <v>3953</v>
      </c>
      <c r="B1968" s="2" t="s">
        <v>3954</v>
      </c>
      <c r="C1968" s="2" t="s">
        <v>37</v>
      </c>
      <c r="D1968" s="3">
        <v>45956</v>
      </c>
      <c r="E1968" s="3">
        <v>45964</v>
      </c>
      <c r="F1968" s="3">
        <v>45969</v>
      </c>
      <c r="G1968" s="2" t="s">
        <v>15</v>
      </c>
      <c r="H1968" s="2">
        <v>57</v>
      </c>
      <c r="I1968" s="2">
        <v>62</v>
      </c>
      <c r="J1968">
        <f t="shared" si="150"/>
        <v>13</v>
      </c>
      <c r="K1968">
        <f t="shared" si="151"/>
        <v>5</v>
      </c>
      <c r="L1968" t="str">
        <f t="shared" si="152"/>
        <v>No</v>
      </c>
      <c r="M1968" t="str">
        <f t="shared" si="154"/>
        <v>No</v>
      </c>
      <c r="N1968" t="str">
        <f t="shared" si="153"/>
        <v>No</v>
      </c>
    </row>
    <row r="1969" spans="1:14" x14ac:dyDescent="0.3">
      <c r="A1969" s="4" t="s">
        <v>3955</v>
      </c>
      <c r="B1969" s="4" t="s">
        <v>3956</v>
      </c>
      <c r="C1969" s="4" t="s">
        <v>10</v>
      </c>
      <c r="D1969" s="5">
        <v>45956</v>
      </c>
      <c r="E1969" s="5">
        <v>45963</v>
      </c>
      <c r="F1969" s="5">
        <v>45961</v>
      </c>
      <c r="G1969" s="4" t="s">
        <v>22</v>
      </c>
      <c r="H1969" s="4">
        <v>35</v>
      </c>
      <c r="I1969" s="2">
        <v>35</v>
      </c>
      <c r="J1969">
        <f t="shared" si="150"/>
        <v>5</v>
      </c>
      <c r="K1969">
        <f t="shared" si="151"/>
        <v>-2</v>
      </c>
      <c r="L1969" t="str">
        <f t="shared" si="152"/>
        <v>Yes</v>
      </c>
      <c r="M1969" t="str">
        <f t="shared" si="154"/>
        <v>Yes</v>
      </c>
      <c r="N1969" t="str">
        <f t="shared" si="153"/>
        <v>Yes</v>
      </c>
    </row>
    <row r="1970" spans="1:14" x14ac:dyDescent="0.3">
      <c r="A1970" s="2" t="s">
        <v>3957</v>
      </c>
      <c r="B1970" s="2" t="s">
        <v>3958</v>
      </c>
      <c r="C1970" s="2" t="s">
        <v>10</v>
      </c>
      <c r="D1970" s="3">
        <v>45956</v>
      </c>
      <c r="E1970" s="3">
        <v>45964</v>
      </c>
      <c r="F1970" s="3">
        <v>45961</v>
      </c>
      <c r="G1970" s="2" t="s">
        <v>11</v>
      </c>
      <c r="H1970" s="2">
        <v>15</v>
      </c>
      <c r="I1970" s="2">
        <v>15</v>
      </c>
      <c r="J1970">
        <f t="shared" si="150"/>
        <v>5</v>
      </c>
      <c r="K1970">
        <f t="shared" si="151"/>
        <v>-3</v>
      </c>
      <c r="L1970" t="str">
        <f t="shared" si="152"/>
        <v>Yes</v>
      </c>
      <c r="M1970" t="str">
        <f t="shared" si="154"/>
        <v>Yes</v>
      </c>
      <c r="N1970" t="str">
        <f t="shared" si="153"/>
        <v>Yes</v>
      </c>
    </row>
    <row r="1971" spans="1:14" x14ac:dyDescent="0.3">
      <c r="A1971" s="4" t="s">
        <v>3959</v>
      </c>
      <c r="B1971" s="4" t="s">
        <v>3960</v>
      </c>
      <c r="C1971" s="4" t="s">
        <v>59</v>
      </c>
      <c r="D1971" s="5">
        <v>45957</v>
      </c>
      <c r="E1971" s="5">
        <v>45966</v>
      </c>
      <c r="F1971" s="5">
        <v>45965</v>
      </c>
      <c r="G1971" s="4" t="s">
        <v>40</v>
      </c>
      <c r="H1971" s="4">
        <v>27</v>
      </c>
      <c r="I1971" s="2">
        <v>27</v>
      </c>
      <c r="J1971">
        <f t="shared" si="150"/>
        <v>8</v>
      </c>
      <c r="K1971">
        <f t="shared" si="151"/>
        <v>-1</v>
      </c>
      <c r="L1971" t="str">
        <f t="shared" si="152"/>
        <v>Yes</v>
      </c>
      <c r="M1971" t="str">
        <f t="shared" si="154"/>
        <v>Yes</v>
      </c>
      <c r="N1971" t="str">
        <f t="shared" si="153"/>
        <v>Yes</v>
      </c>
    </row>
    <row r="1972" spans="1:14" x14ac:dyDescent="0.3">
      <c r="A1972" s="2" t="s">
        <v>3961</v>
      </c>
      <c r="B1972" s="2" t="s">
        <v>3962</v>
      </c>
      <c r="C1972" s="2" t="s">
        <v>21</v>
      </c>
      <c r="D1972" s="3">
        <v>45958</v>
      </c>
      <c r="E1972" s="3">
        <v>45964</v>
      </c>
      <c r="F1972" s="3">
        <v>45965</v>
      </c>
      <c r="G1972" s="2" t="s">
        <v>22</v>
      </c>
      <c r="H1972" s="2">
        <v>41</v>
      </c>
      <c r="I1972" s="2">
        <v>41</v>
      </c>
      <c r="J1972">
        <f t="shared" si="150"/>
        <v>7</v>
      </c>
      <c r="K1972">
        <f t="shared" si="151"/>
        <v>1</v>
      </c>
      <c r="L1972" t="str">
        <f t="shared" si="152"/>
        <v>No</v>
      </c>
      <c r="M1972" t="str">
        <f t="shared" si="154"/>
        <v>Yes</v>
      </c>
      <c r="N1972" t="str">
        <f t="shared" si="153"/>
        <v>No</v>
      </c>
    </row>
    <row r="1973" spans="1:14" x14ac:dyDescent="0.3">
      <c r="A1973" s="4" t="s">
        <v>3963</v>
      </c>
      <c r="B1973" s="4" t="s">
        <v>3964</v>
      </c>
      <c r="C1973" s="4" t="s">
        <v>21</v>
      </c>
      <c r="D1973" s="5">
        <v>45957</v>
      </c>
      <c r="E1973" s="5">
        <v>45962</v>
      </c>
      <c r="F1973" s="5">
        <v>45962</v>
      </c>
      <c r="G1973" s="4" t="s">
        <v>11</v>
      </c>
      <c r="H1973" s="4">
        <v>32</v>
      </c>
      <c r="I1973" s="2">
        <v>32</v>
      </c>
      <c r="J1973">
        <f t="shared" si="150"/>
        <v>5</v>
      </c>
      <c r="K1973">
        <f t="shared" si="151"/>
        <v>0</v>
      </c>
      <c r="L1973" t="str">
        <f t="shared" si="152"/>
        <v>Yes</v>
      </c>
      <c r="M1973" t="str">
        <f t="shared" si="154"/>
        <v>Yes</v>
      </c>
      <c r="N1973" t="str">
        <f t="shared" si="153"/>
        <v>Yes</v>
      </c>
    </row>
    <row r="1974" spans="1:14" x14ac:dyDescent="0.3">
      <c r="A1974" s="2" t="s">
        <v>3965</v>
      </c>
      <c r="B1974" s="2" t="s">
        <v>3966</v>
      </c>
      <c r="C1974" s="2" t="s">
        <v>27</v>
      </c>
      <c r="D1974" s="3">
        <v>45958</v>
      </c>
      <c r="E1974" s="3">
        <v>45964</v>
      </c>
      <c r="F1974" s="3">
        <v>45970</v>
      </c>
      <c r="G1974" s="2" t="s">
        <v>15</v>
      </c>
      <c r="H1974" s="2">
        <v>31</v>
      </c>
      <c r="I1974" s="2">
        <v>31</v>
      </c>
      <c r="J1974">
        <f t="shared" si="150"/>
        <v>12</v>
      </c>
      <c r="K1974">
        <f t="shared" si="151"/>
        <v>6</v>
      </c>
      <c r="L1974" t="str">
        <f t="shared" si="152"/>
        <v>No</v>
      </c>
      <c r="M1974" t="str">
        <f t="shared" si="154"/>
        <v>Yes</v>
      </c>
      <c r="N1974" t="str">
        <f t="shared" si="153"/>
        <v>No</v>
      </c>
    </row>
    <row r="1975" spans="1:14" x14ac:dyDescent="0.3">
      <c r="A1975" s="4" t="s">
        <v>3967</v>
      </c>
      <c r="B1975" s="4" t="s">
        <v>3968</v>
      </c>
      <c r="C1975" s="4" t="s">
        <v>27</v>
      </c>
      <c r="D1975" s="5">
        <v>45956</v>
      </c>
      <c r="E1975" s="5">
        <v>45960</v>
      </c>
      <c r="F1975" s="5">
        <v>45969</v>
      </c>
      <c r="G1975" s="4" t="s">
        <v>22</v>
      </c>
      <c r="H1975" s="4">
        <v>6</v>
      </c>
      <c r="I1975" s="2">
        <v>6</v>
      </c>
      <c r="J1975">
        <f t="shared" si="150"/>
        <v>13</v>
      </c>
      <c r="K1975">
        <f t="shared" si="151"/>
        <v>9</v>
      </c>
      <c r="L1975" t="str">
        <f t="shared" si="152"/>
        <v>No</v>
      </c>
      <c r="M1975" t="str">
        <f t="shared" si="154"/>
        <v>Yes</v>
      </c>
      <c r="N1975" t="str">
        <f t="shared" si="153"/>
        <v>No</v>
      </c>
    </row>
    <row r="1976" spans="1:14" x14ac:dyDescent="0.3">
      <c r="A1976" s="2" t="s">
        <v>3969</v>
      </c>
      <c r="B1976" s="2" t="s">
        <v>3970</v>
      </c>
      <c r="C1976" s="2" t="s">
        <v>27</v>
      </c>
      <c r="D1976" s="3">
        <v>45956</v>
      </c>
      <c r="E1976" s="3">
        <v>45962</v>
      </c>
      <c r="F1976" s="3">
        <v>45969</v>
      </c>
      <c r="G1976" s="2" t="s">
        <v>11</v>
      </c>
      <c r="H1976" s="2">
        <v>18</v>
      </c>
      <c r="I1976" s="2">
        <v>23</v>
      </c>
      <c r="J1976">
        <f t="shared" si="150"/>
        <v>13</v>
      </c>
      <c r="K1976">
        <f t="shared" si="151"/>
        <v>7</v>
      </c>
      <c r="L1976" t="str">
        <f t="shared" si="152"/>
        <v>No</v>
      </c>
      <c r="M1976" t="str">
        <f t="shared" si="154"/>
        <v>No</v>
      </c>
      <c r="N1976" t="str">
        <f t="shared" si="153"/>
        <v>No</v>
      </c>
    </row>
    <row r="1977" spans="1:14" x14ac:dyDescent="0.3">
      <c r="A1977" s="4" t="s">
        <v>3971</v>
      </c>
      <c r="B1977" s="4" t="s">
        <v>3972</v>
      </c>
      <c r="C1977" s="4" t="s">
        <v>37</v>
      </c>
      <c r="D1977" s="5">
        <v>45958</v>
      </c>
      <c r="E1977" s="5">
        <v>45965</v>
      </c>
      <c r="F1977" s="5">
        <v>45970</v>
      </c>
      <c r="G1977" s="4" t="s">
        <v>40</v>
      </c>
      <c r="H1977" s="4">
        <v>12</v>
      </c>
      <c r="I1977" s="2">
        <v>12</v>
      </c>
      <c r="J1977">
        <f t="shared" si="150"/>
        <v>12</v>
      </c>
      <c r="K1977">
        <f t="shared" si="151"/>
        <v>5</v>
      </c>
      <c r="L1977" t="str">
        <f t="shared" si="152"/>
        <v>No</v>
      </c>
      <c r="M1977" t="str">
        <f t="shared" si="154"/>
        <v>Yes</v>
      </c>
      <c r="N1977" t="str">
        <f t="shared" si="153"/>
        <v>No</v>
      </c>
    </row>
    <row r="1978" spans="1:14" x14ac:dyDescent="0.3">
      <c r="A1978" s="2" t="s">
        <v>3973</v>
      </c>
      <c r="B1978" s="2" t="s">
        <v>3974</v>
      </c>
      <c r="C1978" s="2" t="s">
        <v>10</v>
      </c>
      <c r="D1978" s="3">
        <v>45959</v>
      </c>
      <c r="E1978" s="3">
        <v>45962</v>
      </c>
      <c r="F1978" s="3">
        <v>45964</v>
      </c>
      <c r="G1978" s="2" t="s">
        <v>18</v>
      </c>
      <c r="H1978" s="2">
        <v>19</v>
      </c>
      <c r="I1978" s="2">
        <v>19</v>
      </c>
      <c r="J1978">
        <f t="shared" si="150"/>
        <v>5</v>
      </c>
      <c r="K1978">
        <f t="shared" si="151"/>
        <v>2</v>
      </c>
      <c r="L1978" t="str">
        <f t="shared" si="152"/>
        <v>No</v>
      </c>
      <c r="M1978" t="str">
        <f t="shared" si="154"/>
        <v>Yes</v>
      </c>
      <c r="N1978" t="str">
        <f t="shared" si="153"/>
        <v>No</v>
      </c>
    </row>
    <row r="1979" spans="1:14" x14ac:dyDescent="0.3">
      <c r="A1979" s="4" t="s">
        <v>3975</v>
      </c>
      <c r="B1979" s="4" t="s">
        <v>3976</v>
      </c>
      <c r="C1979" s="4" t="s">
        <v>72</v>
      </c>
      <c r="D1979" s="5">
        <v>45958</v>
      </c>
      <c r="E1979" s="5">
        <v>45962</v>
      </c>
      <c r="F1979" s="5">
        <v>45972</v>
      </c>
      <c r="G1979" s="4" t="s">
        <v>40</v>
      </c>
      <c r="H1979" s="4">
        <v>15</v>
      </c>
      <c r="I1979" s="2">
        <v>15</v>
      </c>
      <c r="J1979">
        <f t="shared" si="150"/>
        <v>14</v>
      </c>
      <c r="K1979">
        <f t="shared" si="151"/>
        <v>10</v>
      </c>
      <c r="L1979" t="str">
        <f t="shared" si="152"/>
        <v>No</v>
      </c>
      <c r="M1979" t="str">
        <f t="shared" si="154"/>
        <v>Yes</v>
      </c>
      <c r="N1979" t="str">
        <f t="shared" si="153"/>
        <v>No</v>
      </c>
    </row>
    <row r="1980" spans="1:14" x14ac:dyDescent="0.3">
      <c r="A1980" s="2" t="s">
        <v>3977</v>
      </c>
      <c r="B1980" s="2" t="s">
        <v>3978</v>
      </c>
      <c r="C1980" s="2" t="s">
        <v>59</v>
      </c>
      <c r="D1980" s="3">
        <v>45957</v>
      </c>
      <c r="E1980" s="3">
        <v>45963</v>
      </c>
      <c r="F1980" s="3">
        <v>45960</v>
      </c>
      <c r="G1980" s="2" t="s">
        <v>18</v>
      </c>
      <c r="H1980" s="2">
        <v>35</v>
      </c>
      <c r="I1980" s="2">
        <v>35</v>
      </c>
      <c r="J1980">
        <f t="shared" si="150"/>
        <v>3</v>
      </c>
      <c r="K1980">
        <f t="shared" si="151"/>
        <v>-3</v>
      </c>
      <c r="L1980" t="str">
        <f t="shared" si="152"/>
        <v>Yes</v>
      </c>
      <c r="M1980" t="str">
        <f t="shared" si="154"/>
        <v>Yes</v>
      </c>
      <c r="N1980" t="str">
        <f t="shared" si="153"/>
        <v>Yes</v>
      </c>
    </row>
    <row r="1981" spans="1:14" x14ac:dyDescent="0.3">
      <c r="A1981" s="4" t="s">
        <v>3979</v>
      </c>
      <c r="B1981" s="4" t="s">
        <v>3980</v>
      </c>
      <c r="C1981" s="4" t="s">
        <v>21</v>
      </c>
      <c r="D1981" s="5">
        <v>45957</v>
      </c>
      <c r="E1981" s="5">
        <v>45966</v>
      </c>
      <c r="F1981" s="5">
        <v>45963</v>
      </c>
      <c r="G1981" s="4" t="s">
        <v>11</v>
      </c>
      <c r="H1981" s="4">
        <v>27</v>
      </c>
      <c r="I1981" s="2">
        <v>27</v>
      </c>
      <c r="J1981">
        <f t="shared" si="150"/>
        <v>6</v>
      </c>
      <c r="K1981">
        <f t="shared" si="151"/>
        <v>-3</v>
      </c>
      <c r="L1981" t="str">
        <f t="shared" si="152"/>
        <v>Yes</v>
      </c>
      <c r="M1981" t="str">
        <f t="shared" si="154"/>
        <v>Yes</v>
      </c>
      <c r="N1981" t="str">
        <f t="shared" si="153"/>
        <v>Yes</v>
      </c>
    </row>
    <row r="1982" spans="1:14" x14ac:dyDescent="0.3">
      <c r="A1982" s="2" t="s">
        <v>3981</v>
      </c>
      <c r="B1982" s="2" t="s">
        <v>3982</v>
      </c>
      <c r="C1982" s="2" t="s">
        <v>27</v>
      </c>
      <c r="D1982" s="3">
        <v>45959</v>
      </c>
      <c r="E1982" s="3">
        <v>45961</v>
      </c>
      <c r="F1982" s="3">
        <v>45974</v>
      </c>
      <c r="G1982" s="2" t="s">
        <v>22</v>
      </c>
      <c r="H1982" s="2">
        <v>30</v>
      </c>
      <c r="I1982" s="2">
        <v>30</v>
      </c>
      <c r="J1982">
        <f t="shared" si="150"/>
        <v>15</v>
      </c>
      <c r="K1982">
        <f t="shared" si="151"/>
        <v>13</v>
      </c>
      <c r="L1982" t="str">
        <f t="shared" si="152"/>
        <v>No</v>
      </c>
      <c r="M1982" t="str">
        <f t="shared" si="154"/>
        <v>Yes</v>
      </c>
      <c r="N1982" t="str">
        <f t="shared" si="153"/>
        <v>No</v>
      </c>
    </row>
    <row r="1983" spans="1:14" x14ac:dyDescent="0.3">
      <c r="A1983" s="4" t="s">
        <v>3983</v>
      </c>
      <c r="B1983" s="4" t="s">
        <v>3984</v>
      </c>
      <c r="C1983" s="4" t="s">
        <v>27</v>
      </c>
      <c r="D1983" s="5">
        <v>45958</v>
      </c>
      <c r="E1983" s="5">
        <v>45961</v>
      </c>
      <c r="F1983" s="5">
        <v>45972</v>
      </c>
      <c r="G1983" s="4" t="s">
        <v>22</v>
      </c>
      <c r="H1983" s="4">
        <v>5</v>
      </c>
      <c r="I1983" s="2">
        <v>5</v>
      </c>
      <c r="J1983">
        <f t="shared" si="150"/>
        <v>14</v>
      </c>
      <c r="K1983">
        <f t="shared" si="151"/>
        <v>11</v>
      </c>
      <c r="L1983" t="str">
        <f t="shared" si="152"/>
        <v>No</v>
      </c>
      <c r="M1983" t="str">
        <f t="shared" si="154"/>
        <v>Yes</v>
      </c>
      <c r="N1983" t="str">
        <f t="shared" si="153"/>
        <v>No</v>
      </c>
    </row>
    <row r="1984" spans="1:14" x14ac:dyDescent="0.3">
      <c r="A1984" s="2" t="s">
        <v>3985</v>
      </c>
      <c r="B1984" s="2" t="s">
        <v>3986</v>
      </c>
      <c r="C1984" s="2" t="s">
        <v>27</v>
      </c>
      <c r="D1984" s="3">
        <v>45957</v>
      </c>
      <c r="E1984" s="3">
        <v>45963</v>
      </c>
      <c r="F1984" s="3">
        <v>45970</v>
      </c>
      <c r="G1984" s="2" t="s">
        <v>18</v>
      </c>
      <c r="H1984" s="2">
        <v>9</v>
      </c>
      <c r="I1984" s="2">
        <v>9</v>
      </c>
      <c r="J1984">
        <f t="shared" si="150"/>
        <v>13</v>
      </c>
      <c r="K1984">
        <f t="shared" si="151"/>
        <v>7</v>
      </c>
      <c r="L1984" t="str">
        <f t="shared" si="152"/>
        <v>No</v>
      </c>
      <c r="M1984" t="str">
        <f t="shared" si="154"/>
        <v>Yes</v>
      </c>
      <c r="N1984" t="str">
        <f t="shared" si="153"/>
        <v>No</v>
      </c>
    </row>
    <row r="1985" spans="1:14" x14ac:dyDescent="0.3">
      <c r="A1985" s="4" t="s">
        <v>3987</v>
      </c>
      <c r="B1985" s="4" t="s">
        <v>3988</v>
      </c>
      <c r="C1985" s="4" t="s">
        <v>34</v>
      </c>
      <c r="D1985" s="5">
        <v>45959</v>
      </c>
      <c r="E1985" s="5">
        <v>45964</v>
      </c>
      <c r="F1985" s="5">
        <v>45966</v>
      </c>
      <c r="G1985" s="4" t="s">
        <v>15</v>
      </c>
      <c r="H1985" s="4">
        <v>22</v>
      </c>
      <c r="I1985" s="2">
        <v>22</v>
      </c>
      <c r="J1985">
        <f t="shared" si="150"/>
        <v>7</v>
      </c>
      <c r="K1985">
        <f t="shared" si="151"/>
        <v>2</v>
      </c>
      <c r="L1985" t="str">
        <f t="shared" si="152"/>
        <v>No</v>
      </c>
      <c r="M1985" t="str">
        <f t="shared" si="154"/>
        <v>Yes</v>
      </c>
      <c r="N1985" t="str">
        <f t="shared" si="153"/>
        <v>No</v>
      </c>
    </row>
    <row r="1986" spans="1:14" x14ac:dyDescent="0.3">
      <c r="A1986" s="2" t="s">
        <v>3989</v>
      </c>
      <c r="B1986" s="2" t="s">
        <v>3990</v>
      </c>
      <c r="C1986" s="2" t="s">
        <v>37</v>
      </c>
      <c r="D1986" s="3">
        <v>45959</v>
      </c>
      <c r="E1986" s="3">
        <v>45967</v>
      </c>
      <c r="F1986" s="3">
        <v>45976</v>
      </c>
      <c r="G1986" s="2" t="s">
        <v>11</v>
      </c>
      <c r="H1986" s="2">
        <v>56</v>
      </c>
      <c r="I1986" s="2">
        <v>56</v>
      </c>
      <c r="J1986">
        <f t="shared" si="150"/>
        <v>17</v>
      </c>
      <c r="K1986">
        <f t="shared" si="151"/>
        <v>9</v>
      </c>
      <c r="L1986" t="str">
        <f t="shared" si="152"/>
        <v>No</v>
      </c>
      <c r="M1986" t="str">
        <f t="shared" si="154"/>
        <v>Yes</v>
      </c>
      <c r="N1986" t="str">
        <f t="shared" si="153"/>
        <v>No</v>
      </c>
    </row>
    <row r="1987" spans="1:14" x14ac:dyDescent="0.3">
      <c r="A1987" s="4" t="s">
        <v>3991</v>
      </c>
      <c r="B1987" s="4" t="s">
        <v>3992</v>
      </c>
      <c r="C1987" s="4" t="s">
        <v>72</v>
      </c>
      <c r="D1987" s="5">
        <v>45959</v>
      </c>
      <c r="E1987" s="5">
        <v>45963</v>
      </c>
      <c r="F1987" s="5">
        <v>45977</v>
      </c>
      <c r="G1987" s="4" t="s">
        <v>18</v>
      </c>
      <c r="H1987" s="4">
        <v>16</v>
      </c>
      <c r="I1987" s="2">
        <v>16</v>
      </c>
      <c r="J1987">
        <f t="shared" ref="J1987:J2050" si="155">F1987-D1987</f>
        <v>18</v>
      </c>
      <c r="K1987">
        <f t="shared" ref="K1987:K2050" si="156">F1987-E1987</f>
        <v>14</v>
      </c>
      <c r="L1987" t="str">
        <f t="shared" ref="L1987:L2050" si="157">IF(K1987&lt;=0,"Yes","No")</f>
        <v>No</v>
      </c>
      <c r="M1987" t="str">
        <f t="shared" si="154"/>
        <v>Yes</v>
      </c>
      <c r="N1987" t="str">
        <f t="shared" ref="N1987:N2050" si="158">IF(AND(L1987="Yes",M1987="Yes"),"Yes","No")</f>
        <v>No</v>
      </c>
    </row>
    <row r="1988" spans="1:14" x14ac:dyDescent="0.3">
      <c r="A1988" s="2" t="s">
        <v>3993</v>
      </c>
      <c r="B1988" s="2" t="s">
        <v>3994</v>
      </c>
      <c r="C1988" s="2" t="s">
        <v>72</v>
      </c>
      <c r="D1988" s="3">
        <v>45960</v>
      </c>
      <c r="E1988" s="3">
        <v>45962</v>
      </c>
      <c r="F1988" s="3">
        <v>45978</v>
      </c>
      <c r="G1988" s="2" t="s">
        <v>40</v>
      </c>
      <c r="H1988" s="2">
        <v>16</v>
      </c>
      <c r="I1988" s="2">
        <v>21</v>
      </c>
      <c r="J1988">
        <f t="shared" si="155"/>
        <v>18</v>
      </c>
      <c r="K1988">
        <f t="shared" si="156"/>
        <v>16</v>
      </c>
      <c r="L1988" t="str">
        <f t="shared" si="157"/>
        <v>No</v>
      </c>
      <c r="M1988" t="str">
        <f t="shared" ref="M1988:M2051" si="159">IF(H1988=I1988,"Yes","No")</f>
        <v>No</v>
      </c>
      <c r="N1988" t="str">
        <f t="shared" si="158"/>
        <v>No</v>
      </c>
    </row>
    <row r="1989" spans="1:14" x14ac:dyDescent="0.3">
      <c r="A1989" s="4" t="s">
        <v>3995</v>
      </c>
      <c r="B1989" s="4" t="s">
        <v>3996</v>
      </c>
      <c r="C1989" s="4" t="s">
        <v>59</v>
      </c>
      <c r="D1989" s="5">
        <v>45959</v>
      </c>
      <c r="E1989" s="5">
        <v>45968</v>
      </c>
      <c r="F1989" s="5">
        <v>45964</v>
      </c>
      <c r="G1989" s="4" t="s">
        <v>18</v>
      </c>
      <c r="H1989" s="4">
        <v>20</v>
      </c>
      <c r="I1989" s="2">
        <v>20</v>
      </c>
      <c r="J1989">
        <f t="shared" si="155"/>
        <v>5</v>
      </c>
      <c r="K1989">
        <f t="shared" si="156"/>
        <v>-4</v>
      </c>
      <c r="L1989" t="str">
        <f t="shared" si="157"/>
        <v>Yes</v>
      </c>
      <c r="M1989" t="str">
        <f t="shared" si="159"/>
        <v>Yes</v>
      </c>
      <c r="N1989" t="str">
        <f t="shared" si="158"/>
        <v>Yes</v>
      </c>
    </row>
    <row r="1990" spans="1:14" x14ac:dyDescent="0.3">
      <c r="A1990" s="2" t="s">
        <v>3997</v>
      </c>
      <c r="B1990" s="2" t="s">
        <v>3998</v>
      </c>
      <c r="C1990" s="2" t="s">
        <v>21</v>
      </c>
      <c r="D1990" s="3">
        <v>45960</v>
      </c>
      <c r="E1990" s="3">
        <v>45966</v>
      </c>
      <c r="F1990" s="3">
        <v>45966</v>
      </c>
      <c r="G1990" s="2" t="s">
        <v>40</v>
      </c>
      <c r="H1990" s="2">
        <v>68</v>
      </c>
      <c r="I1990" s="2">
        <v>68</v>
      </c>
      <c r="J1990">
        <f t="shared" si="155"/>
        <v>6</v>
      </c>
      <c r="K1990">
        <f t="shared" si="156"/>
        <v>0</v>
      </c>
      <c r="L1990" t="str">
        <f t="shared" si="157"/>
        <v>Yes</v>
      </c>
      <c r="M1990" t="str">
        <f t="shared" si="159"/>
        <v>Yes</v>
      </c>
      <c r="N1990" t="str">
        <f t="shared" si="158"/>
        <v>Yes</v>
      </c>
    </row>
    <row r="1991" spans="1:14" x14ac:dyDescent="0.3">
      <c r="A1991" s="4" t="s">
        <v>3999</v>
      </c>
      <c r="B1991" s="4" t="s">
        <v>4000</v>
      </c>
      <c r="C1991" s="4" t="s">
        <v>21</v>
      </c>
      <c r="D1991" s="5">
        <v>45958</v>
      </c>
      <c r="E1991" s="5">
        <v>45965</v>
      </c>
      <c r="F1991" s="5">
        <v>45964</v>
      </c>
      <c r="G1991" s="4" t="s">
        <v>15</v>
      </c>
      <c r="H1991" s="4">
        <v>28</v>
      </c>
      <c r="I1991" s="2">
        <v>29</v>
      </c>
      <c r="J1991">
        <f t="shared" si="155"/>
        <v>6</v>
      </c>
      <c r="K1991">
        <f t="shared" si="156"/>
        <v>-1</v>
      </c>
      <c r="L1991" t="str">
        <f t="shared" si="157"/>
        <v>Yes</v>
      </c>
      <c r="M1991" t="str">
        <f t="shared" si="159"/>
        <v>No</v>
      </c>
      <c r="N1991" t="str">
        <f t="shared" si="158"/>
        <v>No</v>
      </c>
    </row>
    <row r="1992" spans="1:14" x14ac:dyDescent="0.3">
      <c r="A1992" s="2" t="s">
        <v>4001</v>
      </c>
      <c r="B1992" s="2" t="s">
        <v>4002</v>
      </c>
      <c r="C1992" s="2" t="s">
        <v>21</v>
      </c>
      <c r="D1992" s="3">
        <v>45959</v>
      </c>
      <c r="E1992" s="3">
        <v>45968</v>
      </c>
      <c r="F1992" s="3">
        <v>45965</v>
      </c>
      <c r="G1992" s="2" t="s">
        <v>15</v>
      </c>
      <c r="H1992" s="2">
        <v>41</v>
      </c>
      <c r="I1992" s="2">
        <v>41</v>
      </c>
      <c r="J1992">
        <f t="shared" si="155"/>
        <v>6</v>
      </c>
      <c r="K1992">
        <f t="shared" si="156"/>
        <v>-3</v>
      </c>
      <c r="L1992" t="str">
        <f t="shared" si="157"/>
        <v>Yes</v>
      </c>
      <c r="M1992" t="str">
        <f t="shared" si="159"/>
        <v>Yes</v>
      </c>
      <c r="N1992" t="str">
        <f t="shared" si="158"/>
        <v>Yes</v>
      </c>
    </row>
    <row r="1993" spans="1:14" x14ac:dyDescent="0.3">
      <c r="A1993" s="4" t="s">
        <v>4003</v>
      </c>
      <c r="B1993" s="4" t="s">
        <v>4004</v>
      </c>
      <c r="C1993" s="4" t="s">
        <v>27</v>
      </c>
      <c r="D1993" s="5">
        <v>45959</v>
      </c>
      <c r="E1993" s="5">
        <v>45962</v>
      </c>
      <c r="F1993" s="5">
        <v>45972</v>
      </c>
      <c r="G1993" s="4" t="s">
        <v>22</v>
      </c>
      <c r="H1993" s="4">
        <v>47</v>
      </c>
      <c r="I1993" s="2">
        <v>47</v>
      </c>
      <c r="J1993">
        <f t="shared" si="155"/>
        <v>13</v>
      </c>
      <c r="K1993">
        <f t="shared" si="156"/>
        <v>10</v>
      </c>
      <c r="L1993" t="str">
        <f t="shared" si="157"/>
        <v>No</v>
      </c>
      <c r="M1993" t="str">
        <f t="shared" si="159"/>
        <v>Yes</v>
      </c>
      <c r="N1993" t="str">
        <f t="shared" si="158"/>
        <v>No</v>
      </c>
    </row>
    <row r="1994" spans="1:14" x14ac:dyDescent="0.3">
      <c r="A1994" s="2" t="s">
        <v>4005</v>
      </c>
      <c r="B1994" s="2" t="s">
        <v>4006</v>
      </c>
      <c r="C1994" s="2" t="s">
        <v>27</v>
      </c>
      <c r="D1994" s="3">
        <v>45959</v>
      </c>
      <c r="E1994" s="3">
        <v>45967</v>
      </c>
      <c r="F1994" s="3">
        <v>45972</v>
      </c>
      <c r="G1994" s="2" t="s">
        <v>22</v>
      </c>
      <c r="H1994" s="2">
        <v>9</v>
      </c>
      <c r="I1994" s="2">
        <v>9</v>
      </c>
      <c r="J1994">
        <f t="shared" si="155"/>
        <v>13</v>
      </c>
      <c r="K1994">
        <f t="shared" si="156"/>
        <v>5</v>
      </c>
      <c r="L1994" t="str">
        <f t="shared" si="157"/>
        <v>No</v>
      </c>
      <c r="M1994" t="str">
        <f t="shared" si="159"/>
        <v>Yes</v>
      </c>
      <c r="N1994" t="str">
        <f t="shared" si="158"/>
        <v>No</v>
      </c>
    </row>
    <row r="1995" spans="1:14" x14ac:dyDescent="0.3">
      <c r="A1995" s="4" t="s">
        <v>4007</v>
      </c>
      <c r="B1995" s="4" t="s">
        <v>4008</v>
      </c>
      <c r="C1995" s="4" t="s">
        <v>37</v>
      </c>
      <c r="D1995" s="5">
        <v>45960</v>
      </c>
      <c r="E1995" s="5">
        <v>45966</v>
      </c>
      <c r="F1995" s="5">
        <v>45975</v>
      </c>
      <c r="G1995" s="4" t="s">
        <v>11</v>
      </c>
      <c r="H1995" s="4">
        <v>14</v>
      </c>
      <c r="I1995" s="2">
        <v>14</v>
      </c>
      <c r="J1995">
        <f t="shared" si="155"/>
        <v>15</v>
      </c>
      <c r="K1995">
        <f t="shared" si="156"/>
        <v>9</v>
      </c>
      <c r="L1995" t="str">
        <f t="shared" si="157"/>
        <v>No</v>
      </c>
      <c r="M1995" t="str">
        <f t="shared" si="159"/>
        <v>Yes</v>
      </c>
      <c r="N1995" t="str">
        <f t="shared" si="158"/>
        <v>No</v>
      </c>
    </row>
    <row r="1996" spans="1:14" x14ac:dyDescent="0.3">
      <c r="A1996" s="2" t="s">
        <v>4009</v>
      </c>
      <c r="B1996" s="2" t="s">
        <v>4010</v>
      </c>
      <c r="C1996" s="2" t="s">
        <v>37</v>
      </c>
      <c r="D1996" s="3">
        <v>45959</v>
      </c>
      <c r="E1996" s="3">
        <v>45963</v>
      </c>
      <c r="F1996" s="3">
        <v>45972</v>
      </c>
      <c r="G1996" s="2" t="s">
        <v>22</v>
      </c>
      <c r="H1996" s="2">
        <v>67</v>
      </c>
      <c r="I1996" s="2">
        <v>67</v>
      </c>
      <c r="J1996">
        <f t="shared" si="155"/>
        <v>13</v>
      </c>
      <c r="K1996">
        <f t="shared" si="156"/>
        <v>9</v>
      </c>
      <c r="L1996" t="str">
        <f t="shared" si="157"/>
        <v>No</v>
      </c>
      <c r="M1996" t="str">
        <f t="shared" si="159"/>
        <v>Yes</v>
      </c>
      <c r="N1996" t="str">
        <f t="shared" si="158"/>
        <v>No</v>
      </c>
    </row>
    <row r="1997" spans="1:14" x14ac:dyDescent="0.3">
      <c r="A1997" s="4" t="s">
        <v>4011</v>
      </c>
      <c r="B1997" s="4" t="s">
        <v>4012</v>
      </c>
      <c r="C1997" s="4" t="s">
        <v>14</v>
      </c>
      <c r="D1997" s="5">
        <v>45959</v>
      </c>
      <c r="E1997" s="5">
        <v>45968</v>
      </c>
      <c r="F1997" s="5">
        <v>45974</v>
      </c>
      <c r="G1997" s="4" t="s">
        <v>18</v>
      </c>
      <c r="H1997" s="4">
        <v>2</v>
      </c>
      <c r="I1997" s="2">
        <v>2</v>
      </c>
      <c r="J1997">
        <f t="shared" si="155"/>
        <v>15</v>
      </c>
      <c r="K1997">
        <f t="shared" si="156"/>
        <v>6</v>
      </c>
      <c r="L1997" t="str">
        <f t="shared" si="157"/>
        <v>No</v>
      </c>
      <c r="M1997" t="str">
        <f t="shared" si="159"/>
        <v>Yes</v>
      </c>
      <c r="N1997" t="str">
        <f t="shared" si="158"/>
        <v>No</v>
      </c>
    </row>
    <row r="1998" spans="1:14" x14ac:dyDescent="0.3">
      <c r="A1998" s="2" t="s">
        <v>4013</v>
      </c>
      <c r="B1998" s="2" t="s">
        <v>4014</v>
      </c>
      <c r="C1998" s="2" t="s">
        <v>59</v>
      </c>
      <c r="D1998" s="3">
        <v>45961</v>
      </c>
      <c r="E1998" s="3">
        <v>45968</v>
      </c>
      <c r="F1998" s="3">
        <v>45966</v>
      </c>
      <c r="G1998" s="2" t="s">
        <v>11</v>
      </c>
      <c r="H1998" s="2">
        <v>55</v>
      </c>
      <c r="I1998" s="2">
        <v>55</v>
      </c>
      <c r="J1998">
        <f t="shared" si="155"/>
        <v>5</v>
      </c>
      <c r="K1998">
        <f t="shared" si="156"/>
        <v>-2</v>
      </c>
      <c r="L1998" t="str">
        <f t="shared" si="157"/>
        <v>Yes</v>
      </c>
      <c r="M1998" t="str">
        <f t="shared" si="159"/>
        <v>Yes</v>
      </c>
      <c r="N1998" t="str">
        <f t="shared" si="158"/>
        <v>Yes</v>
      </c>
    </row>
    <row r="1999" spans="1:14" x14ac:dyDescent="0.3">
      <c r="A1999" s="4" t="s">
        <v>4015</v>
      </c>
      <c r="B1999" s="4" t="s">
        <v>4016</v>
      </c>
      <c r="C1999" s="4" t="s">
        <v>14</v>
      </c>
      <c r="D1999" s="5">
        <v>45960</v>
      </c>
      <c r="E1999" s="5">
        <v>45963</v>
      </c>
      <c r="F1999" s="5">
        <v>45975</v>
      </c>
      <c r="G1999" s="4" t="s">
        <v>15</v>
      </c>
      <c r="H1999" s="4">
        <v>11</v>
      </c>
      <c r="I1999" s="2">
        <v>11</v>
      </c>
      <c r="J1999">
        <f t="shared" si="155"/>
        <v>15</v>
      </c>
      <c r="K1999">
        <f t="shared" si="156"/>
        <v>12</v>
      </c>
      <c r="L1999" t="str">
        <f t="shared" si="157"/>
        <v>No</v>
      </c>
      <c r="M1999" t="str">
        <f t="shared" si="159"/>
        <v>Yes</v>
      </c>
      <c r="N1999" t="str">
        <f t="shared" si="158"/>
        <v>No</v>
      </c>
    </row>
    <row r="2000" spans="1:14" x14ac:dyDescent="0.3">
      <c r="A2000" s="2" t="s">
        <v>4017</v>
      </c>
      <c r="B2000" s="2" t="s">
        <v>4018</v>
      </c>
      <c r="C2000" s="2" t="s">
        <v>21</v>
      </c>
      <c r="D2000" s="3">
        <v>45960</v>
      </c>
      <c r="E2000" s="3">
        <v>45968</v>
      </c>
      <c r="F2000" s="3">
        <v>45970</v>
      </c>
      <c r="G2000" s="2" t="s">
        <v>22</v>
      </c>
      <c r="H2000" s="2">
        <v>49</v>
      </c>
      <c r="I2000" s="2">
        <v>49</v>
      </c>
      <c r="J2000">
        <f t="shared" si="155"/>
        <v>10</v>
      </c>
      <c r="K2000">
        <f t="shared" si="156"/>
        <v>2</v>
      </c>
      <c r="L2000" t="str">
        <f t="shared" si="157"/>
        <v>No</v>
      </c>
      <c r="M2000" t="str">
        <f t="shared" si="159"/>
        <v>Yes</v>
      </c>
      <c r="N2000" t="str">
        <f t="shared" si="158"/>
        <v>No</v>
      </c>
    </row>
    <row r="2001" spans="1:14" x14ac:dyDescent="0.3">
      <c r="A2001" s="4" t="s">
        <v>4019</v>
      </c>
      <c r="B2001" s="4" t="s">
        <v>4020</v>
      </c>
      <c r="C2001" s="4" t="s">
        <v>21</v>
      </c>
      <c r="D2001" s="5">
        <v>45961</v>
      </c>
      <c r="E2001" s="5">
        <v>45969</v>
      </c>
      <c r="F2001" s="5">
        <v>45967</v>
      </c>
      <c r="G2001" s="4" t="s">
        <v>40</v>
      </c>
      <c r="H2001" s="4">
        <v>22</v>
      </c>
      <c r="I2001" s="2">
        <v>22</v>
      </c>
      <c r="J2001">
        <f t="shared" si="155"/>
        <v>6</v>
      </c>
      <c r="K2001">
        <f t="shared" si="156"/>
        <v>-2</v>
      </c>
      <c r="L2001" t="str">
        <f t="shared" si="157"/>
        <v>Yes</v>
      </c>
      <c r="M2001" t="str">
        <f t="shared" si="159"/>
        <v>Yes</v>
      </c>
      <c r="N2001" t="str">
        <f t="shared" si="158"/>
        <v>Yes</v>
      </c>
    </row>
    <row r="2002" spans="1:14" x14ac:dyDescent="0.3">
      <c r="A2002" s="2" t="s">
        <v>4021</v>
      </c>
      <c r="B2002" s="2" t="s">
        <v>4022</v>
      </c>
      <c r="C2002" s="2" t="s">
        <v>34</v>
      </c>
      <c r="D2002" s="3">
        <v>45960</v>
      </c>
      <c r="E2002" s="3">
        <v>45968</v>
      </c>
      <c r="F2002" s="3">
        <v>45967</v>
      </c>
      <c r="G2002" s="2" t="s">
        <v>22</v>
      </c>
      <c r="H2002" s="2">
        <v>41</v>
      </c>
      <c r="I2002" s="2">
        <v>41</v>
      </c>
      <c r="J2002">
        <f t="shared" si="155"/>
        <v>7</v>
      </c>
      <c r="K2002">
        <f t="shared" si="156"/>
        <v>-1</v>
      </c>
      <c r="L2002" t="str">
        <f t="shared" si="157"/>
        <v>Yes</v>
      </c>
      <c r="M2002" t="str">
        <f t="shared" si="159"/>
        <v>Yes</v>
      </c>
      <c r="N2002" t="str">
        <f t="shared" si="158"/>
        <v>Yes</v>
      </c>
    </row>
    <row r="2003" spans="1:14" x14ac:dyDescent="0.3">
      <c r="A2003" s="4" t="s">
        <v>4023</v>
      </c>
      <c r="B2003" s="4" t="s">
        <v>4024</v>
      </c>
      <c r="C2003" s="4" t="s">
        <v>59</v>
      </c>
      <c r="D2003" s="5">
        <v>45961</v>
      </c>
      <c r="E2003" s="5">
        <v>45968</v>
      </c>
      <c r="F2003" s="5">
        <v>45964</v>
      </c>
      <c r="G2003" s="4" t="s">
        <v>40</v>
      </c>
      <c r="H2003" s="4">
        <v>48</v>
      </c>
      <c r="I2003" s="2">
        <v>48</v>
      </c>
      <c r="J2003">
        <f t="shared" si="155"/>
        <v>3</v>
      </c>
      <c r="K2003">
        <f t="shared" si="156"/>
        <v>-4</v>
      </c>
      <c r="L2003" t="str">
        <f t="shared" si="157"/>
        <v>Yes</v>
      </c>
      <c r="M2003" t="str">
        <f t="shared" si="159"/>
        <v>Yes</v>
      </c>
      <c r="N2003" t="str">
        <f t="shared" si="158"/>
        <v>Yes</v>
      </c>
    </row>
    <row r="2004" spans="1:14" x14ac:dyDescent="0.3">
      <c r="A2004" s="2" t="s">
        <v>4025</v>
      </c>
      <c r="B2004" s="2" t="s">
        <v>4026</v>
      </c>
      <c r="C2004" s="2" t="s">
        <v>14</v>
      </c>
      <c r="D2004" s="3">
        <v>45960</v>
      </c>
      <c r="E2004" s="3">
        <v>45967</v>
      </c>
      <c r="F2004" s="3">
        <v>45977</v>
      </c>
      <c r="G2004" s="2" t="s">
        <v>40</v>
      </c>
      <c r="H2004" s="2">
        <v>26</v>
      </c>
      <c r="I2004" s="2">
        <v>26</v>
      </c>
      <c r="J2004">
        <f t="shared" si="155"/>
        <v>17</v>
      </c>
      <c r="K2004">
        <f t="shared" si="156"/>
        <v>10</v>
      </c>
      <c r="L2004" t="str">
        <f t="shared" si="157"/>
        <v>No</v>
      </c>
      <c r="M2004" t="str">
        <f t="shared" si="159"/>
        <v>Yes</v>
      </c>
      <c r="N2004" t="str">
        <f t="shared" si="158"/>
        <v>No</v>
      </c>
    </row>
    <row r="2005" spans="1:14" x14ac:dyDescent="0.3">
      <c r="A2005" s="4" t="s">
        <v>4027</v>
      </c>
      <c r="B2005" s="4" t="s">
        <v>4028</v>
      </c>
      <c r="C2005" s="4" t="s">
        <v>21</v>
      </c>
      <c r="D2005" s="5">
        <v>45962</v>
      </c>
      <c r="E2005" s="5">
        <v>45968</v>
      </c>
      <c r="F2005" s="5">
        <v>45967</v>
      </c>
      <c r="G2005" s="4" t="s">
        <v>11</v>
      </c>
      <c r="H2005" s="4">
        <v>33</v>
      </c>
      <c r="I2005" s="2">
        <v>33</v>
      </c>
      <c r="J2005">
        <f t="shared" si="155"/>
        <v>5</v>
      </c>
      <c r="K2005">
        <f t="shared" si="156"/>
        <v>-1</v>
      </c>
      <c r="L2005" t="str">
        <f t="shared" si="157"/>
        <v>Yes</v>
      </c>
      <c r="M2005" t="str">
        <f t="shared" si="159"/>
        <v>Yes</v>
      </c>
      <c r="N2005" t="str">
        <f t="shared" si="158"/>
        <v>Yes</v>
      </c>
    </row>
    <row r="2006" spans="1:14" x14ac:dyDescent="0.3">
      <c r="A2006" s="2" t="s">
        <v>4029</v>
      </c>
      <c r="B2006" s="2" t="s">
        <v>4030</v>
      </c>
      <c r="C2006" s="2" t="s">
        <v>27</v>
      </c>
      <c r="D2006" s="3">
        <v>45961</v>
      </c>
      <c r="E2006" s="3">
        <v>45968</v>
      </c>
      <c r="F2006" s="3">
        <v>45974</v>
      </c>
      <c r="G2006" s="2" t="s">
        <v>18</v>
      </c>
      <c r="H2006" s="2">
        <v>27</v>
      </c>
      <c r="I2006" s="2">
        <v>27</v>
      </c>
      <c r="J2006">
        <f t="shared" si="155"/>
        <v>13</v>
      </c>
      <c r="K2006">
        <f t="shared" si="156"/>
        <v>6</v>
      </c>
      <c r="L2006" t="str">
        <f t="shared" si="157"/>
        <v>No</v>
      </c>
      <c r="M2006" t="str">
        <f t="shared" si="159"/>
        <v>Yes</v>
      </c>
      <c r="N2006" t="str">
        <f t="shared" si="158"/>
        <v>No</v>
      </c>
    </row>
    <row r="2007" spans="1:14" x14ac:dyDescent="0.3">
      <c r="A2007" s="4" t="s">
        <v>4031</v>
      </c>
      <c r="B2007" s="4" t="s">
        <v>4032</v>
      </c>
      <c r="C2007" s="4" t="s">
        <v>27</v>
      </c>
      <c r="D2007" s="5">
        <v>45961</v>
      </c>
      <c r="E2007" s="5">
        <v>45967</v>
      </c>
      <c r="F2007" s="5">
        <v>45974</v>
      </c>
      <c r="G2007" s="4" t="s">
        <v>18</v>
      </c>
      <c r="H2007" s="4">
        <v>8</v>
      </c>
      <c r="I2007" s="2">
        <v>8</v>
      </c>
      <c r="J2007">
        <f t="shared" si="155"/>
        <v>13</v>
      </c>
      <c r="K2007">
        <f t="shared" si="156"/>
        <v>7</v>
      </c>
      <c r="L2007" t="str">
        <f t="shared" si="157"/>
        <v>No</v>
      </c>
      <c r="M2007" t="str">
        <f t="shared" si="159"/>
        <v>Yes</v>
      </c>
      <c r="N2007" t="str">
        <f t="shared" si="158"/>
        <v>No</v>
      </c>
    </row>
    <row r="2008" spans="1:14" x14ac:dyDescent="0.3">
      <c r="A2008" s="2" t="s">
        <v>4033</v>
      </c>
      <c r="B2008" s="2" t="s">
        <v>4034</v>
      </c>
      <c r="C2008" s="2" t="s">
        <v>34</v>
      </c>
      <c r="D2008" s="3">
        <v>45961</v>
      </c>
      <c r="E2008" s="3">
        <v>45970</v>
      </c>
      <c r="F2008" s="3">
        <v>45968</v>
      </c>
      <c r="G2008" s="2" t="s">
        <v>11</v>
      </c>
      <c r="H2008" s="2">
        <v>32</v>
      </c>
      <c r="I2008" s="2">
        <v>32</v>
      </c>
      <c r="J2008">
        <f t="shared" si="155"/>
        <v>7</v>
      </c>
      <c r="K2008">
        <f t="shared" si="156"/>
        <v>-2</v>
      </c>
      <c r="L2008" t="str">
        <f t="shared" si="157"/>
        <v>Yes</v>
      </c>
      <c r="M2008" t="str">
        <f t="shared" si="159"/>
        <v>Yes</v>
      </c>
      <c r="N2008" t="str">
        <f t="shared" si="158"/>
        <v>Yes</v>
      </c>
    </row>
    <row r="2009" spans="1:14" x14ac:dyDescent="0.3">
      <c r="A2009" s="4" t="s">
        <v>4035</v>
      </c>
      <c r="B2009" s="4" t="s">
        <v>4036</v>
      </c>
      <c r="C2009" s="4" t="s">
        <v>72</v>
      </c>
      <c r="D2009" s="5">
        <v>45961</v>
      </c>
      <c r="E2009" s="5">
        <v>45971</v>
      </c>
      <c r="F2009" s="5">
        <v>45975</v>
      </c>
      <c r="G2009" s="4" t="s">
        <v>40</v>
      </c>
      <c r="H2009" s="4">
        <v>17</v>
      </c>
      <c r="I2009" s="2">
        <v>17</v>
      </c>
      <c r="J2009">
        <f t="shared" si="155"/>
        <v>14</v>
      </c>
      <c r="K2009">
        <f t="shared" si="156"/>
        <v>4</v>
      </c>
      <c r="L2009" t="str">
        <f t="shared" si="157"/>
        <v>No</v>
      </c>
      <c r="M2009" t="str">
        <f t="shared" si="159"/>
        <v>Yes</v>
      </c>
      <c r="N2009" t="str">
        <f t="shared" si="158"/>
        <v>No</v>
      </c>
    </row>
    <row r="2010" spans="1:14" x14ac:dyDescent="0.3">
      <c r="A2010" s="2" t="s">
        <v>4037</v>
      </c>
      <c r="B2010" s="2" t="s">
        <v>4038</v>
      </c>
      <c r="C2010" s="2" t="s">
        <v>10</v>
      </c>
      <c r="D2010" s="3">
        <v>45963</v>
      </c>
      <c r="E2010" s="3">
        <v>45968</v>
      </c>
      <c r="F2010" s="3">
        <v>45968</v>
      </c>
      <c r="G2010" s="2" t="s">
        <v>11</v>
      </c>
      <c r="H2010" s="2">
        <v>23</v>
      </c>
      <c r="I2010" s="2">
        <v>23</v>
      </c>
      <c r="J2010">
        <f t="shared" si="155"/>
        <v>5</v>
      </c>
      <c r="K2010">
        <f t="shared" si="156"/>
        <v>0</v>
      </c>
      <c r="L2010" t="str">
        <f t="shared" si="157"/>
        <v>Yes</v>
      </c>
      <c r="M2010" t="str">
        <f t="shared" si="159"/>
        <v>Yes</v>
      </c>
      <c r="N2010" t="str">
        <f t="shared" si="158"/>
        <v>Yes</v>
      </c>
    </row>
    <row r="2011" spans="1:14" x14ac:dyDescent="0.3">
      <c r="A2011" s="4" t="s">
        <v>4039</v>
      </c>
      <c r="B2011" s="4" t="s">
        <v>4040</v>
      </c>
      <c r="C2011" s="4" t="s">
        <v>14</v>
      </c>
      <c r="D2011" s="5">
        <v>45962</v>
      </c>
      <c r="E2011" s="5">
        <v>45965</v>
      </c>
      <c r="F2011" s="5">
        <v>45977</v>
      </c>
      <c r="G2011" s="4" t="s">
        <v>22</v>
      </c>
      <c r="H2011" s="4">
        <v>22</v>
      </c>
      <c r="I2011" s="2">
        <v>22</v>
      </c>
      <c r="J2011">
        <f t="shared" si="155"/>
        <v>15</v>
      </c>
      <c r="K2011">
        <f t="shared" si="156"/>
        <v>12</v>
      </c>
      <c r="L2011" t="str">
        <f t="shared" si="157"/>
        <v>No</v>
      </c>
      <c r="M2011" t="str">
        <f t="shared" si="159"/>
        <v>Yes</v>
      </c>
      <c r="N2011" t="str">
        <f t="shared" si="158"/>
        <v>No</v>
      </c>
    </row>
    <row r="2012" spans="1:14" x14ac:dyDescent="0.3">
      <c r="A2012" s="2" t="s">
        <v>4041</v>
      </c>
      <c r="B2012" s="2" t="s">
        <v>4042</v>
      </c>
      <c r="C2012" s="2" t="s">
        <v>14</v>
      </c>
      <c r="D2012" s="3">
        <v>45963</v>
      </c>
      <c r="E2012" s="3">
        <v>45970</v>
      </c>
      <c r="F2012" s="3">
        <v>45979</v>
      </c>
      <c r="G2012" s="2" t="s">
        <v>40</v>
      </c>
      <c r="H2012" s="2">
        <v>21</v>
      </c>
      <c r="I2012" s="2">
        <v>21</v>
      </c>
      <c r="J2012">
        <f t="shared" si="155"/>
        <v>16</v>
      </c>
      <c r="K2012">
        <f t="shared" si="156"/>
        <v>9</v>
      </c>
      <c r="L2012" t="str">
        <f t="shared" si="157"/>
        <v>No</v>
      </c>
      <c r="M2012" t="str">
        <f t="shared" si="159"/>
        <v>Yes</v>
      </c>
      <c r="N2012" t="str">
        <f t="shared" si="158"/>
        <v>No</v>
      </c>
    </row>
    <row r="2013" spans="1:14" x14ac:dyDescent="0.3">
      <c r="A2013" s="4" t="s">
        <v>4043</v>
      </c>
      <c r="B2013" s="4" t="s">
        <v>4044</v>
      </c>
      <c r="C2013" s="4" t="s">
        <v>21</v>
      </c>
      <c r="D2013" s="5">
        <v>45961</v>
      </c>
      <c r="E2013" s="5">
        <v>45970</v>
      </c>
      <c r="F2013" s="5">
        <v>45966</v>
      </c>
      <c r="G2013" s="4" t="s">
        <v>40</v>
      </c>
      <c r="H2013" s="4">
        <v>28</v>
      </c>
      <c r="I2013" s="2">
        <v>28</v>
      </c>
      <c r="J2013">
        <f t="shared" si="155"/>
        <v>5</v>
      </c>
      <c r="K2013">
        <f t="shared" si="156"/>
        <v>-4</v>
      </c>
      <c r="L2013" t="str">
        <f t="shared" si="157"/>
        <v>Yes</v>
      </c>
      <c r="M2013" t="str">
        <f t="shared" si="159"/>
        <v>Yes</v>
      </c>
      <c r="N2013" t="str">
        <f t="shared" si="158"/>
        <v>Yes</v>
      </c>
    </row>
    <row r="2014" spans="1:14" x14ac:dyDescent="0.3">
      <c r="A2014" s="2" t="s">
        <v>4045</v>
      </c>
      <c r="B2014" s="2" t="s">
        <v>4046</v>
      </c>
      <c r="C2014" s="2" t="s">
        <v>27</v>
      </c>
      <c r="D2014" s="3">
        <v>45962</v>
      </c>
      <c r="E2014" s="3">
        <v>45967</v>
      </c>
      <c r="F2014" s="3">
        <v>45975</v>
      </c>
      <c r="G2014" s="2" t="s">
        <v>18</v>
      </c>
      <c r="H2014" s="2">
        <v>8</v>
      </c>
      <c r="I2014" s="2">
        <v>8</v>
      </c>
      <c r="J2014">
        <f t="shared" si="155"/>
        <v>13</v>
      </c>
      <c r="K2014">
        <f t="shared" si="156"/>
        <v>8</v>
      </c>
      <c r="L2014" t="str">
        <f t="shared" si="157"/>
        <v>No</v>
      </c>
      <c r="M2014" t="str">
        <f t="shared" si="159"/>
        <v>Yes</v>
      </c>
      <c r="N2014" t="str">
        <f t="shared" si="158"/>
        <v>No</v>
      </c>
    </row>
    <row r="2015" spans="1:14" x14ac:dyDescent="0.3">
      <c r="A2015" s="4" t="s">
        <v>4047</v>
      </c>
      <c r="B2015" s="4" t="s">
        <v>4048</v>
      </c>
      <c r="C2015" s="4" t="s">
        <v>37</v>
      </c>
      <c r="D2015" s="5">
        <v>45963</v>
      </c>
      <c r="E2015" s="5">
        <v>45972</v>
      </c>
      <c r="F2015" s="5">
        <v>45976</v>
      </c>
      <c r="G2015" s="4" t="s">
        <v>40</v>
      </c>
      <c r="H2015" s="4">
        <v>63</v>
      </c>
      <c r="I2015" s="2">
        <v>68</v>
      </c>
      <c r="J2015">
        <f t="shared" si="155"/>
        <v>13</v>
      </c>
      <c r="K2015">
        <f t="shared" si="156"/>
        <v>4</v>
      </c>
      <c r="L2015" t="str">
        <f t="shared" si="157"/>
        <v>No</v>
      </c>
      <c r="M2015" t="str">
        <f t="shared" si="159"/>
        <v>No</v>
      </c>
      <c r="N2015" t="str">
        <f t="shared" si="158"/>
        <v>No</v>
      </c>
    </row>
    <row r="2016" spans="1:14" x14ac:dyDescent="0.3">
      <c r="A2016" s="2" t="s">
        <v>4049</v>
      </c>
      <c r="B2016" s="2" t="s">
        <v>4050</v>
      </c>
      <c r="C2016" s="2" t="s">
        <v>37</v>
      </c>
      <c r="D2016" s="3">
        <v>45962</v>
      </c>
      <c r="E2016" s="3">
        <v>45968</v>
      </c>
      <c r="F2016" s="3">
        <v>45974</v>
      </c>
      <c r="G2016" s="2" t="s">
        <v>15</v>
      </c>
      <c r="H2016" s="2">
        <v>23</v>
      </c>
      <c r="I2016" s="2">
        <v>23</v>
      </c>
      <c r="J2016">
        <f t="shared" si="155"/>
        <v>12</v>
      </c>
      <c r="K2016">
        <f t="shared" si="156"/>
        <v>6</v>
      </c>
      <c r="L2016" t="str">
        <f t="shared" si="157"/>
        <v>No</v>
      </c>
      <c r="M2016" t="str">
        <f t="shared" si="159"/>
        <v>Yes</v>
      </c>
      <c r="N2016" t="str">
        <f t="shared" si="158"/>
        <v>No</v>
      </c>
    </row>
    <row r="2017" spans="1:14" x14ac:dyDescent="0.3">
      <c r="A2017" s="4" t="s">
        <v>4051</v>
      </c>
      <c r="B2017" s="4" t="s">
        <v>4052</v>
      </c>
      <c r="C2017" s="4" t="s">
        <v>34</v>
      </c>
      <c r="D2017" s="5">
        <v>45964</v>
      </c>
      <c r="E2017" s="5">
        <v>45965</v>
      </c>
      <c r="F2017" s="5">
        <v>45975</v>
      </c>
      <c r="G2017" s="4" t="s">
        <v>11</v>
      </c>
      <c r="H2017" s="4">
        <v>64</v>
      </c>
      <c r="I2017" s="2">
        <v>66</v>
      </c>
      <c r="J2017">
        <f t="shared" si="155"/>
        <v>11</v>
      </c>
      <c r="K2017">
        <f t="shared" si="156"/>
        <v>10</v>
      </c>
      <c r="L2017" t="str">
        <f t="shared" si="157"/>
        <v>No</v>
      </c>
      <c r="M2017" t="str">
        <f t="shared" si="159"/>
        <v>No</v>
      </c>
      <c r="N2017" t="str">
        <f t="shared" si="158"/>
        <v>No</v>
      </c>
    </row>
    <row r="2018" spans="1:14" x14ac:dyDescent="0.3">
      <c r="A2018" s="2" t="s">
        <v>4053</v>
      </c>
      <c r="B2018" s="2" t="s">
        <v>4054</v>
      </c>
      <c r="C2018" s="2" t="s">
        <v>10</v>
      </c>
      <c r="D2018" s="3">
        <v>45964</v>
      </c>
      <c r="E2018" s="3">
        <v>45971</v>
      </c>
      <c r="F2018" s="3">
        <v>45969</v>
      </c>
      <c r="G2018" s="2" t="s">
        <v>15</v>
      </c>
      <c r="H2018" s="2">
        <v>19</v>
      </c>
      <c r="I2018" s="2">
        <v>19</v>
      </c>
      <c r="J2018">
        <f t="shared" si="155"/>
        <v>5</v>
      </c>
      <c r="K2018">
        <f t="shared" si="156"/>
        <v>-2</v>
      </c>
      <c r="L2018" t="str">
        <f t="shared" si="157"/>
        <v>Yes</v>
      </c>
      <c r="M2018" t="str">
        <f t="shared" si="159"/>
        <v>Yes</v>
      </c>
      <c r="N2018" t="str">
        <f t="shared" si="158"/>
        <v>Yes</v>
      </c>
    </row>
    <row r="2019" spans="1:14" x14ac:dyDescent="0.3">
      <c r="A2019" s="4" t="s">
        <v>4055</v>
      </c>
      <c r="B2019" s="4" t="s">
        <v>4056</v>
      </c>
      <c r="C2019" s="4" t="s">
        <v>27</v>
      </c>
      <c r="D2019" s="5">
        <v>45963</v>
      </c>
      <c r="E2019" s="5">
        <v>45970</v>
      </c>
      <c r="F2019" s="5">
        <v>45980</v>
      </c>
      <c r="G2019" s="4" t="s">
        <v>22</v>
      </c>
      <c r="H2019" s="4">
        <v>27</v>
      </c>
      <c r="I2019" s="2">
        <v>27</v>
      </c>
      <c r="J2019">
        <f t="shared" si="155"/>
        <v>17</v>
      </c>
      <c r="K2019">
        <f t="shared" si="156"/>
        <v>10</v>
      </c>
      <c r="L2019" t="str">
        <f t="shared" si="157"/>
        <v>No</v>
      </c>
      <c r="M2019" t="str">
        <f t="shared" si="159"/>
        <v>Yes</v>
      </c>
      <c r="N2019" t="str">
        <f t="shared" si="158"/>
        <v>No</v>
      </c>
    </row>
    <row r="2020" spans="1:14" x14ac:dyDescent="0.3">
      <c r="A2020" s="2" t="s">
        <v>4057</v>
      </c>
      <c r="B2020" s="2" t="s">
        <v>4058</v>
      </c>
      <c r="C2020" s="2" t="s">
        <v>27</v>
      </c>
      <c r="D2020" s="3">
        <v>45962</v>
      </c>
      <c r="E2020" s="3">
        <v>45967</v>
      </c>
      <c r="F2020" s="3">
        <v>45975</v>
      </c>
      <c r="G2020" s="2" t="s">
        <v>22</v>
      </c>
      <c r="H2020" s="2">
        <v>3</v>
      </c>
      <c r="I2020" s="2">
        <v>3</v>
      </c>
      <c r="J2020">
        <f t="shared" si="155"/>
        <v>13</v>
      </c>
      <c r="K2020">
        <f t="shared" si="156"/>
        <v>8</v>
      </c>
      <c r="L2020" t="str">
        <f t="shared" si="157"/>
        <v>No</v>
      </c>
      <c r="M2020" t="str">
        <f t="shared" si="159"/>
        <v>Yes</v>
      </c>
      <c r="N2020" t="str">
        <f t="shared" si="158"/>
        <v>No</v>
      </c>
    </row>
    <row r="2021" spans="1:14" x14ac:dyDescent="0.3">
      <c r="A2021" s="4" t="s">
        <v>4059</v>
      </c>
      <c r="B2021" s="4" t="s">
        <v>4060</v>
      </c>
      <c r="C2021" s="4" t="s">
        <v>37</v>
      </c>
      <c r="D2021" s="5">
        <v>45963</v>
      </c>
      <c r="E2021" s="5">
        <v>45973</v>
      </c>
      <c r="F2021" s="5">
        <v>45980</v>
      </c>
      <c r="G2021" s="4" t="s">
        <v>40</v>
      </c>
      <c r="H2021" s="4">
        <v>36</v>
      </c>
      <c r="I2021" s="2">
        <v>36</v>
      </c>
      <c r="J2021">
        <f t="shared" si="155"/>
        <v>17</v>
      </c>
      <c r="K2021">
        <f t="shared" si="156"/>
        <v>7</v>
      </c>
      <c r="L2021" t="str">
        <f t="shared" si="157"/>
        <v>No</v>
      </c>
      <c r="M2021" t="str">
        <f t="shared" si="159"/>
        <v>Yes</v>
      </c>
      <c r="N2021" t="str">
        <f t="shared" si="158"/>
        <v>No</v>
      </c>
    </row>
    <row r="2022" spans="1:14" x14ac:dyDescent="0.3">
      <c r="A2022" s="2" t="s">
        <v>4061</v>
      </c>
      <c r="B2022" s="2" t="s">
        <v>4062</v>
      </c>
      <c r="C2022" s="2" t="s">
        <v>37</v>
      </c>
      <c r="D2022" s="3">
        <v>45964</v>
      </c>
      <c r="E2022" s="3">
        <v>45971</v>
      </c>
      <c r="F2022" s="3">
        <v>45978</v>
      </c>
      <c r="G2022" s="2" t="s">
        <v>11</v>
      </c>
      <c r="H2022" s="2">
        <v>49</v>
      </c>
      <c r="I2022" s="2">
        <v>49</v>
      </c>
      <c r="J2022">
        <f t="shared" si="155"/>
        <v>14</v>
      </c>
      <c r="K2022">
        <f t="shared" si="156"/>
        <v>7</v>
      </c>
      <c r="L2022" t="str">
        <f t="shared" si="157"/>
        <v>No</v>
      </c>
      <c r="M2022" t="str">
        <f t="shared" si="159"/>
        <v>Yes</v>
      </c>
      <c r="N2022" t="str">
        <f t="shared" si="158"/>
        <v>No</v>
      </c>
    </row>
    <row r="2023" spans="1:14" x14ac:dyDescent="0.3">
      <c r="A2023" s="4" t="s">
        <v>4063</v>
      </c>
      <c r="B2023" s="4" t="s">
        <v>4064</v>
      </c>
      <c r="C2023" s="4" t="s">
        <v>10</v>
      </c>
      <c r="D2023" s="5">
        <v>45963</v>
      </c>
      <c r="E2023" s="5">
        <v>45973</v>
      </c>
      <c r="F2023" s="5">
        <v>45968</v>
      </c>
      <c r="G2023" s="4" t="s">
        <v>18</v>
      </c>
      <c r="H2023" s="4">
        <v>11</v>
      </c>
      <c r="I2023" s="2">
        <v>13</v>
      </c>
      <c r="J2023">
        <f t="shared" si="155"/>
        <v>5</v>
      </c>
      <c r="K2023">
        <f t="shared" si="156"/>
        <v>-5</v>
      </c>
      <c r="L2023" t="str">
        <f t="shared" si="157"/>
        <v>Yes</v>
      </c>
      <c r="M2023" t="str">
        <f t="shared" si="159"/>
        <v>No</v>
      </c>
      <c r="N2023" t="str">
        <f t="shared" si="158"/>
        <v>No</v>
      </c>
    </row>
    <row r="2024" spans="1:14" x14ac:dyDescent="0.3">
      <c r="A2024" s="2" t="s">
        <v>4065</v>
      </c>
      <c r="B2024" s="2" t="s">
        <v>4066</v>
      </c>
      <c r="C2024" s="2" t="s">
        <v>59</v>
      </c>
      <c r="D2024" s="3">
        <v>45963</v>
      </c>
      <c r="E2024" s="3">
        <v>45973</v>
      </c>
      <c r="F2024" s="3">
        <v>45968</v>
      </c>
      <c r="G2024" s="2" t="s">
        <v>40</v>
      </c>
      <c r="H2024" s="2">
        <v>18</v>
      </c>
      <c r="I2024" s="2">
        <v>18</v>
      </c>
      <c r="J2024">
        <f t="shared" si="155"/>
        <v>5</v>
      </c>
      <c r="K2024">
        <f t="shared" si="156"/>
        <v>-5</v>
      </c>
      <c r="L2024" t="str">
        <f t="shared" si="157"/>
        <v>Yes</v>
      </c>
      <c r="M2024" t="str">
        <f t="shared" si="159"/>
        <v>Yes</v>
      </c>
      <c r="N2024" t="str">
        <f t="shared" si="158"/>
        <v>Yes</v>
      </c>
    </row>
    <row r="2025" spans="1:14" x14ac:dyDescent="0.3">
      <c r="A2025" s="4" t="s">
        <v>4067</v>
      </c>
      <c r="B2025" s="4" t="s">
        <v>4068</v>
      </c>
      <c r="C2025" s="4" t="s">
        <v>21</v>
      </c>
      <c r="D2025" s="5">
        <v>45964</v>
      </c>
      <c r="E2025" s="5">
        <v>45971</v>
      </c>
      <c r="F2025" s="5">
        <v>45971</v>
      </c>
      <c r="G2025" s="4" t="s">
        <v>18</v>
      </c>
      <c r="H2025" s="4">
        <v>48</v>
      </c>
      <c r="I2025" s="2">
        <v>48</v>
      </c>
      <c r="J2025">
        <f t="shared" si="155"/>
        <v>7</v>
      </c>
      <c r="K2025">
        <f t="shared" si="156"/>
        <v>0</v>
      </c>
      <c r="L2025" t="str">
        <f t="shared" si="157"/>
        <v>Yes</v>
      </c>
      <c r="M2025" t="str">
        <f t="shared" si="159"/>
        <v>Yes</v>
      </c>
      <c r="N2025" t="str">
        <f t="shared" si="158"/>
        <v>Yes</v>
      </c>
    </row>
    <row r="2026" spans="1:14" x14ac:dyDescent="0.3">
      <c r="A2026" s="2" t="s">
        <v>4069</v>
      </c>
      <c r="B2026" s="2" t="s">
        <v>4070</v>
      </c>
      <c r="C2026" s="2" t="s">
        <v>72</v>
      </c>
      <c r="D2026" s="3">
        <v>45964</v>
      </c>
      <c r="E2026" s="3">
        <v>45971</v>
      </c>
      <c r="F2026" s="3">
        <v>45979</v>
      </c>
      <c r="G2026" s="2" t="s">
        <v>22</v>
      </c>
      <c r="H2026" s="2">
        <v>19</v>
      </c>
      <c r="I2026" s="2">
        <v>20</v>
      </c>
      <c r="J2026">
        <f t="shared" si="155"/>
        <v>15</v>
      </c>
      <c r="K2026">
        <f t="shared" si="156"/>
        <v>8</v>
      </c>
      <c r="L2026" t="str">
        <f t="shared" si="157"/>
        <v>No</v>
      </c>
      <c r="M2026" t="str">
        <f t="shared" si="159"/>
        <v>No</v>
      </c>
      <c r="N2026" t="str">
        <f t="shared" si="158"/>
        <v>No</v>
      </c>
    </row>
    <row r="2027" spans="1:14" x14ac:dyDescent="0.3">
      <c r="A2027" s="4" t="s">
        <v>4071</v>
      </c>
      <c r="B2027" s="4" t="s">
        <v>4072</v>
      </c>
      <c r="C2027" s="4" t="s">
        <v>59</v>
      </c>
      <c r="D2027" s="5">
        <v>45966</v>
      </c>
      <c r="E2027" s="5">
        <v>45972</v>
      </c>
      <c r="F2027" s="5">
        <v>45971</v>
      </c>
      <c r="G2027" s="4" t="s">
        <v>15</v>
      </c>
      <c r="H2027" s="4">
        <v>27</v>
      </c>
      <c r="I2027" s="2">
        <v>27</v>
      </c>
      <c r="J2027">
        <f t="shared" si="155"/>
        <v>5</v>
      </c>
      <c r="K2027">
        <f t="shared" si="156"/>
        <v>-1</v>
      </c>
      <c r="L2027" t="str">
        <f t="shared" si="157"/>
        <v>Yes</v>
      </c>
      <c r="M2027" t="str">
        <f t="shared" si="159"/>
        <v>Yes</v>
      </c>
      <c r="N2027" t="str">
        <f t="shared" si="158"/>
        <v>Yes</v>
      </c>
    </row>
    <row r="2028" spans="1:14" x14ac:dyDescent="0.3">
      <c r="A2028" s="2" t="s">
        <v>4073</v>
      </c>
      <c r="B2028" s="2" t="s">
        <v>4074</v>
      </c>
      <c r="C2028" s="2" t="s">
        <v>21</v>
      </c>
      <c r="D2028" s="3">
        <v>45965</v>
      </c>
      <c r="E2028" s="3">
        <v>45968</v>
      </c>
      <c r="F2028" s="3">
        <v>45971</v>
      </c>
      <c r="G2028" s="2" t="s">
        <v>11</v>
      </c>
      <c r="H2028" s="2">
        <v>82</v>
      </c>
      <c r="I2028" s="2">
        <v>82</v>
      </c>
      <c r="J2028">
        <f t="shared" si="155"/>
        <v>6</v>
      </c>
      <c r="K2028">
        <f t="shared" si="156"/>
        <v>3</v>
      </c>
      <c r="L2028" t="str">
        <f t="shared" si="157"/>
        <v>No</v>
      </c>
      <c r="M2028" t="str">
        <f t="shared" si="159"/>
        <v>Yes</v>
      </c>
      <c r="N2028" t="str">
        <f t="shared" si="158"/>
        <v>No</v>
      </c>
    </row>
    <row r="2029" spans="1:14" x14ac:dyDescent="0.3">
      <c r="A2029" s="4" t="s">
        <v>4075</v>
      </c>
      <c r="B2029" s="4" t="s">
        <v>4076</v>
      </c>
      <c r="C2029" s="4" t="s">
        <v>27</v>
      </c>
      <c r="D2029" s="5">
        <v>45966</v>
      </c>
      <c r="E2029" s="5">
        <v>45969</v>
      </c>
      <c r="F2029" s="5">
        <v>45981</v>
      </c>
      <c r="G2029" s="4" t="s">
        <v>15</v>
      </c>
      <c r="H2029" s="4">
        <v>13</v>
      </c>
      <c r="I2029" s="2">
        <v>13</v>
      </c>
      <c r="J2029">
        <f t="shared" si="155"/>
        <v>15</v>
      </c>
      <c r="K2029">
        <f t="shared" si="156"/>
        <v>12</v>
      </c>
      <c r="L2029" t="str">
        <f t="shared" si="157"/>
        <v>No</v>
      </c>
      <c r="M2029" t="str">
        <f t="shared" si="159"/>
        <v>Yes</v>
      </c>
      <c r="N2029" t="str">
        <f t="shared" si="158"/>
        <v>No</v>
      </c>
    </row>
    <row r="2030" spans="1:14" x14ac:dyDescent="0.3">
      <c r="A2030" s="2" t="s">
        <v>4077</v>
      </c>
      <c r="B2030" s="2" t="s">
        <v>4078</v>
      </c>
      <c r="C2030" s="2" t="s">
        <v>37</v>
      </c>
      <c r="D2030" s="3">
        <v>45967</v>
      </c>
      <c r="E2030" s="3">
        <v>45974</v>
      </c>
      <c r="F2030" s="3">
        <v>45982</v>
      </c>
      <c r="G2030" s="2" t="s">
        <v>18</v>
      </c>
      <c r="H2030" s="2">
        <v>36</v>
      </c>
      <c r="I2030" s="2">
        <v>36</v>
      </c>
      <c r="J2030">
        <f t="shared" si="155"/>
        <v>15</v>
      </c>
      <c r="K2030">
        <f t="shared" si="156"/>
        <v>8</v>
      </c>
      <c r="L2030" t="str">
        <f t="shared" si="157"/>
        <v>No</v>
      </c>
      <c r="M2030" t="str">
        <f t="shared" si="159"/>
        <v>Yes</v>
      </c>
      <c r="N2030" t="str">
        <f t="shared" si="158"/>
        <v>No</v>
      </c>
    </row>
    <row r="2031" spans="1:14" x14ac:dyDescent="0.3">
      <c r="A2031" s="4" t="s">
        <v>4079</v>
      </c>
      <c r="B2031" s="4" t="s">
        <v>4080</v>
      </c>
      <c r="C2031" s="4" t="s">
        <v>72</v>
      </c>
      <c r="D2031" s="5">
        <v>45965</v>
      </c>
      <c r="E2031" s="5">
        <v>45973</v>
      </c>
      <c r="F2031" s="5">
        <v>45981</v>
      </c>
      <c r="G2031" s="4" t="s">
        <v>18</v>
      </c>
      <c r="H2031" s="4">
        <v>25</v>
      </c>
      <c r="I2031" s="2">
        <v>25</v>
      </c>
      <c r="J2031">
        <f t="shared" si="155"/>
        <v>16</v>
      </c>
      <c r="K2031">
        <f t="shared" si="156"/>
        <v>8</v>
      </c>
      <c r="L2031" t="str">
        <f t="shared" si="157"/>
        <v>No</v>
      </c>
      <c r="M2031" t="str">
        <f t="shared" si="159"/>
        <v>Yes</v>
      </c>
      <c r="N2031" t="str">
        <f t="shared" si="158"/>
        <v>No</v>
      </c>
    </row>
    <row r="2032" spans="1:14" x14ac:dyDescent="0.3">
      <c r="A2032" s="2" t="s">
        <v>4081</v>
      </c>
      <c r="B2032" s="2" t="s">
        <v>4082</v>
      </c>
      <c r="C2032" s="2" t="s">
        <v>10</v>
      </c>
      <c r="D2032" s="3">
        <v>45965</v>
      </c>
      <c r="E2032" s="3">
        <v>45972</v>
      </c>
      <c r="F2032" s="3">
        <v>45969</v>
      </c>
      <c r="G2032" s="2" t="s">
        <v>11</v>
      </c>
      <c r="H2032" s="2">
        <v>39</v>
      </c>
      <c r="I2032" s="2">
        <v>39</v>
      </c>
      <c r="J2032">
        <f t="shared" si="155"/>
        <v>4</v>
      </c>
      <c r="K2032">
        <f t="shared" si="156"/>
        <v>-3</v>
      </c>
      <c r="L2032" t="str">
        <f t="shared" si="157"/>
        <v>Yes</v>
      </c>
      <c r="M2032" t="str">
        <f t="shared" si="159"/>
        <v>Yes</v>
      </c>
      <c r="N2032" t="str">
        <f t="shared" si="158"/>
        <v>Yes</v>
      </c>
    </row>
    <row r="2033" spans="1:14" x14ac:dyDescent="0.3">
      <c r="A2033" s="4" t="s">
        <v>4083</v>
      </c>
      <c r="B2033" s="4" t="s">
        <v>4084</v>
      </c>
      <c r="C2033" s="4" t="s">
        <v>10</v>
      </c>
      <c r="D2033" s="5">
        <v>45965</v>
      </c>
      <c r="E2033" s="5">
        <v>45974</v>
      </c>
      <c r="F2033" s="5">
        <v>45972</v>
      </c>
      <c r="G2033" s="4" t="s">
        <v>15</v>
      </c>
      <c r="H2033" s="4">
        <v>23</v>
      </c>
      <c r="I2033" s="2">
        <v>23</v>
      </c>
      <c r="J2033">
        <f t="shared" si="155"/>
        <v>7</v>
      </c>
      <c r="K2033">
        <f t="shared" si="156"/>
        <v>-2</v>
      </c>
      <c r="L2033" t="str">
        <f t="shared" si="157"/>
        <v>Yes</v>
      </c>
      <c r="M2033" t="str">
        <f t="shared" si="159"/>
        <v>Yes</v>
      </c>
      <c r="N2033" t="str">
        <f t="shared" si="158"/>
        <v>Yes</v>
      </c>
    </row>
    <row r="2034" spans="1:14" x14ac:dyDescent="0.3">
      <c r="A2034" s="2" t="s">
        <v>4085</v>
      </c>
      <c r="B2034" s="2" t="s">
        <v>4086</v>
      </c>
      <c r="C2034" s="2" t="s">
        <v>14</v>
      </c>
      <c r="D2034" s="3">
        <v>45966</v>
      </c>
      <c r="E2034" s="3">
        <v>45975</v>
      </c>
      <c r="F2034" s="3">
        <v>45985</v>
      </c>
      <c r="G2034" s="2" t="s">
        <v>22</v>
      </c>
      <c r="H2034" s="2">
        <v>15</v>
      </c>
      <c r="I2034" s="2">
        <v>15</v>
      </c>
      <c r="J2034">
        <f t="shared" si="155"/>
        <v>19</v>
      </c>
      <c r="K2034">
        <f t="shared" si="156"/>
        <v>10</v>
      </c>
      <c r="L2034" t="str">
        <f t="shared" si="157"/>
        <v>No</v>
      </c>
      <c r="M2034" t="str">
        <f t="shared" si="159"/>
        <v>Yes</v>
      </c>
      <c r="N2034" t="str">
        <f t="shared" si="158"/>
        <v>No</v>
      </c>
    </row>
    <row r="2035" spans="1:14" x14ac:dyDescent="0.3">
      <c r="A2035" s="4" t="s">
        <v>4087</v>
      </c>
      <c r="B2035" s="4" t="s">
        <v>4088</v>
      </c>
      <c r="C2035" s="4" t="s">
        <v>14</v>
      </c>
      <c r="D2035" s="5">
        <v>45966</v>
      </c>
      <c r="E2035" s="5">
        <v>45968</v>
      </c>
      <c r="F2035" s="5">
        <v>45981</v>
      </c>
      <c r="G2035" s="4" t="s">
        <v>11</v>
      </c>
      <c r="H2035" s="4">
        <v>21</v>
      </c>
      <c r="I2035" s="2">
        <v>21</v>
      </c>
      <c r="J2035">
        <f t="shared" si="155"/>
        <v>15</v>
      </c>
      <c r="K2035">
        <f t="shared" si="156"/>
        <v>13</v>
      </c>
      <c r="L2035" t="str">
        <f t="shared" si="157"/>
        <v>No</v>
      </c>
      <c r="M2035" t="str">
        <f t="shared" si="159"/>
        <v>Yes</v>
      </c>
      <c r="N2035" t="str">
        <f t="shared" si="158"/>
        <v>No</v>
      </c>
    </row>
    <row r="2036" spans="1:14" x14ac:dyDescent="0.3">
      <c r="A2036" s="2" t="s">
        <v>4089</v>
      </c>
      <c r="B2036" s="2" t="s">
        <v>4090</v>
      </c>
      <c r="C2036" s="2" t="s">
        <v>21</v>
      </c>
      <c r="D2036" s="3">
        <v>45966</v>
      </c>
      <c r="E2036" s="3">
        <v>45968</v>
      </c>
      <c r="F2036" s="3">
        <v>45971</v>
      </c>
      <c r="G2036" s="2" t="s">
        <v>22</v>
      </c>
      <c r="H2036" s="2">
        <v>96</v>
      </c>
      <c r="I2036" s="2">
        <v>96</v>
      </c>
      <c r="J2036">
        <f t="shared" si="155"/>
        <v>5</v>
      </c>
      <c r="K2036">
        <f t="shared" si="156"/>
        <v>3</v>
      </c>
      <c r="L2036" t="str">
        <f t="shared" si="157"/>
        <v>No</v>
      </c>
      <c r="M2036" t="str">
        <f t="shared" si="159"/>
        <v>Yes</v>
      </c>
      <c r="N2036" t="str">
        <f t="shared" si="158"/>
        <v>No</v>
      </c>
    </row>
    <row r="2037" spans="1:14" x14ac:dyDescent="0.3">
      <c r="A2037" s="4" t="s">
        <v>4091</v>
      </c>
      <c r="B2037" s="4" t="s">
        <v>4092</v>
      </c>
      <c r="C2037" s="4" t="s">
        <v>21</v>
      </c>
      <c r="D2037" s="5">
        <v>45966</v>
      </c>
      <c r="E2037" s="5">
        <v>45968</v>
      </c>
      <c r="F2037" s="5">
        <v>45972</v>
      </c>
      <c r="G2037" s="4" t="s">
        <v>22</v>
      </c>
      <c r="H2037" s="4">
        <v>33</v>
      </c>
      <c r="I2037" s="2">
        <v>33</v>
      </c>
      <c r="J2037">
        <f t="shared" si="155"/>
        <v>6</v>
      </c>
      <c r="K2037">
        <f t="shared" si="156"/>
        <v>4</v>
      </c>
      <c r="L2037" t="str">
        <f t="shared" si="157"/>
        <v>No</v>
      </c>
      <c r="M2037" t="str">
        <f t="shared" si="159"/>
        <v>Yes</v>
      </c>
      <c r="N2037" t="str">
        <f t="shared" si="158"/>
        <v>No</v>
      </c>
    </row>
    <row r="2038" spans="1:14" x14ac:dyDescent="0.3">
      <c r="A2038" s="2" t="s">
        <v>4093</v>
      </c>
      <c r="B2038" s="2" t="s">
        <v>4094</v>
      </c>
      <c r="C2038" s="2" t="s">
        <v>27</v>
      </c>
      <c r="D2038" s="3">
        <v>45967</v>
      </c>
      <c r="E2038" s="3">
        <v>45971</v>
      </c>
      <c r="F2038" s="3">
        <v>45980</v>
      </c>
      <c r="G2038" s="2" t="s">
        <v>15</v>
      </c>
      <c r="H2038" s="2">
        <v>9</v>
      </c>
      <c r="I2038" s="2">
        <v>9</v>
      </c>
      <c r="J2038">
        <f t="shared" si="155"/>
        <v>13</v>
      </c>
      <c r="K2038">
        <f t="shared" si="156"/>
        <v>9</v>
      </c>
      <c r="L2038" t="str">
        <f t="shared" si="157"/>
        <v>No</v>
      </c>
      <c r="M2038" t="str">
        <f t="shared" si="159"/>
        <v>Yes</v>
      </c>
      <c r="N2038" t="str">
        <f t="shared" si="158"/>
        <v>No</v>
      </c>
    </row>
    <row r="2039" spans="1:14" x14ac:dyDescent="0.3">
      <c r="A2039" s="4" t="s">
        <v>4095</v>
      </c>
      <c r="B2039" s="4" t="s">
        <v>4096</v>
      </c>
      <c r="C2039" s="4" t="s">
        <v>14</v>
      </c>
      <c r="D2039" s="5">
        <v>45968</v>
      </c>
      <c r="E2039" s="5">
        <v>45971</v>
      </c>
      <c r="F2039" s="5">
        <v>45983</v>
      </c>
      <c r="G2039" s="4" t="s">
        <v>11</v>
      </c>
      <c r="H2039" s="4">
        <v>42</v>
      </c>
      <c r="I2039" s="2">
        <v>42</v>
      </c>
      <c r="J2039">
        <f t="shared" si="155"/>
        <v>15</v>
      </c>
      <c r="K2039">
        <f t="shared" si="156"/>
        <v>12</v>
      </c>
      <c r="L2039" t="str">
        <f t="shared" si="157"/>
        <v>No</v>
      </c>
      <c r="M2039" t="str">
        <f t="shared" si="159"/>
        <v>Yes</v>
      </c>
      <c r="N2039" t="str">
        <f t="shared" si="158"/>
        <v>No</v>
      </c>
    </row>
    <row r="2040" spans="1:14" x14ac:dyDescent="0.3">
      <c r="A2040" s="2" t="s">
        <v>4097</v>
      </c>
      <c r="B2040" s="2" t="s">
        <v>4098</v>
      </c>
      <c r="C2040" s="2" t="s">
        <v>27</v>
      </c>
      <c r="D2040" s="3">
        <v>45968</v>
      </c>
      <c r="E2040" s="3">
        <v>45970</v>
      </c>
      <c r="F2040" s="3">
        <v>45981</v>
      </c>
      <c r="G2040" s="2" t="s">
        <v>15</v>
      </c>
      <c r="H2040" s="2">
        <v>56</v>
      </c>
      <c r="I2040" s="2">
        <v>56</v>
      </c>
      <c r="J2040">
        <f t="shared" si="155"/>
        <v>13</v>
      </c>
      <c r="K2040">
        <f t="shared" si="156"/>
        <v>11</v>
      </c>
      <c r="L2040" t="str">
        <f t="shared" si="157"/>
        <v>No</v>
      </c>
      <c r="M2040" t="str">
        <f t="shared" si="159"/>
        <v>Yes</v>
      </c>
      <c r="N2040" t="str">
        <f t="shared" si="158"/>
        <v>No</v>
      </c>
    </row>
    <row r="2041" spans="1:14" x14ac:dyDescent="0.3">
      <c r="A2041" s="4" t="s">
        <v>4099</v>
      </c>
      <c r="B2041" s="4" t="s">
        <v>4100</v>
      </c>
      <c r="C2041" s="4" t="s">
        <v>27</v>
      </c>
      <c r="D2041" s="5">
        <v>45966</v>
      </c>
      <c r="E2041" s="5">
        <v>45970</v>
      </c>
      <c r="F2041" s="5">
        <v>45978</v>
      </c>
      <c r="G2041" s="4" t="s">
        <v>40</v>
      </c>
      <c r="H2041" s="4">
        <v>7</v>
      </c>
      <c r="I2041" s="2">
        <v>7</v>
      </c>
      <c r="J2041">
        <f t="shared" si="155"/>
        <v>12</v>
      </c>
      <c r="K2041">
        <f t="shared" si="156"/>
        <v>8</v>
      </c>
      <c r="L2041" t="str">
        <f t="shared" si="157"/>
        <v>No</v>
      </c>
      <c r="M2041" t="str">
        <f t="shared" si="159"/>
        <v>Yes</v>
      </c>
      <c r="N2041" t="str">
        <f t="shared" si="158"/>
        <v>No</v>
      </c>
    </row>
    <row r="2042" spans="1:14" x14ac:dyDescent="0.3">
      <c r="A2042" s="2" t="s">
        <v>4101</v>
      </c>
      <c r="B2042" s="2" t="s">
        <v>4102</v>
      </c>
      <c r="C2042" s="2" t="s">
        <v>59</v>
      </c>
      <c r="D2042" s="3">
        <v>45969</v>
      </c>
      <c r="E2042" s="3">
        <v>45971</v>
      </c>
      <c r="F2042" s="3">
        <v>45975</v>
      </c>
      <c r="G2042" s="2" t="s">
        <v>18</v>
      </c>
      <c r="H2042" s="2">
        <v>14</v>
      </c>
      <c r="I2042" s="2">
        <v>14</v>
      </c>
      <c r="J2042">
        <f t="shared" si="155"/>
        <v>6</v>
      </c>
      <c r="K2042">
        <f t="shared" si="156"/>
        <v>4</v>
      </c>
      <c r="L2042" t="str">
        <f t="shared" si="157"/>
        <v>No</v>
      </c>
      <c r="M2042" t="str">
        <f t="shared" si="159"/>
        <v>Yes</v>
      </c>
      <c r="N2042" t="str">
        <f t="shared" si="158"/>
        <v>No</v>
      </c>
    </row>
    <row r="2043" spans="1:14" x14ac:dyDescent="0.3">
      <c r="A2043" s="4" t="s">
        <v>4103</v>
      </c>
      <c r="B2043" s="4" t="s">
        <v>4104</v>
      </c>
      <c r="C2043" s="4" t="s">
        <v>59</v>
      </c>
      <c r="D2043" s="5">
        <v>45968</v>
      </c>
      <c r="E2043" s="5">
        <v>45973</v>
      </c>
      <c r="F2043" s="5">
        <v>45974</v>
      </c>
      <c r="G2043" s="4" t="s">
        <v>40</v>
      </c>
      <c r="H2043" s="4">
        <v>52</v>
      </c>
      <c r="I2043" s="2">
        <v>53</v>
      </c>
      <c r="J2043">
        <f t="shared" si="155"/>
        <v>6</v>
      </c>
      <c r="K2043">
        <f t="shared" si="156"/>
        <v>1</v>
      </c>
      <c r="L2043" t="str">
        <f t="shared" si="157"/>
        <v>No</v>
      </c>
      <c r="M2043" t="str">
        <f t="shared" si="159"/>
        <v>No</v>
      </c>
      <c r="N2043" t="str">
        <f t="shared" si="158"/>
        <v>No</v>
      </c>
    </row>
    <row r="2044" spans="1:14" x14ac:dyDescent="0.3">
      <c r="A2044" s="2" t="s">
        <v>4105</v>
      </c>
      <c r="B2044" s="2" t="s">
        <v>4106</v>
      </c>
      <c r="C2044" s="2" t="s">
        <v>21</v>
      </c>
      <c r="D2044" s="3">
        <v>45967</v>
      </c>
      <c r="E2044" s="3">
        <v>45977</v>
      </c>
      <c r="F2044" s="3">
        <v>45972</v>
      </c>
      <c r="G2044" s="2" t="s">
        <v>15</v>
      </c>
      <c r="H2044" s="2">
        <v>91</v>
      </c>
      <c r="I2044" s="2">
        <v>91</v>
      </c>
      <c r="J2044">
        <f t="shared" si="155"/>
        <v>5</v>
      </c>
      <c r="K2044">
        <f t="shared" si="156"/>
        <v>-5</v>
      </c>
      <c r="L2044" t="str">
        <f t="shared" si="157"/>
        <v>Yes</v>
      </c>
      <c r="M2044" t="str">
        <f t="shared" si="159"/>
        <v>Yes</v>
      </c>
      <c r="N2044" t="str">
        <f t="shared" si="158"/>
        <v>Yes</v>
      </c>
    </row>
    <row r="2045" spans="1:14" x14ac:dyDescent="0.3">
      <c r="A2045" s="4" t="s">
        <v>4107</v>
      </c>
      <c r="B2045" s="4" t="s">
        <v>4108</v>
      </c>
      <c r="C2045" s="4" t="s">
        <v>21</v>
      </c>
      <c r="D2045" s="5">
        <v>45969</v>
      </c>
      <c r="E2045" s="5">
        <v>45975</v>
      </c>
      <c r="F2045" s="5">
        <v>45976</v>
      </c>
      <c r="G2045" s="4" t="s">
        <v>15</v>
      </c>
      <c r="H2045" s="4">
        <v>44</v>
      </c>
      <c r="I2045" s="2">
        <v>44</v>
      </c>
      <c r="J2045">
        <f t="shared" si="155"/>
        <v>7</v>
      </c>
      <c r="K2045">
        <f t="shared" si="156"/>
        <v>1</v>
      </c>
      <c r="L2045" t="str">
        <f t="shared" si="157"/>
        <v>No</v>
      </c>
      <c r="M2045" t="str">
        <f t="shared" si="159"/>
        <v>Yes</v>
      </c>
      <c r="N2045" t="str">
        <f t="shared" si="158"/>
        <v>No</v>
      </c>
    </row>
    <row r="2046" spans="1:14" x14ac:dyDescent="0.3">
      <c r="A2046" s="2" t="s">
        <v>4109</v>
      </c>
      <c r="B2046" s="2" t="s">
        <v>4110</v>
      </c>
      <c r="C2046" s="2" t="s">
        <v>27</v>
      </c>
      <c r="D2046" s="3">
        <v>45968</v>
      </c>
      <c r="E2046" s="3">
        <v>45974</v>
      </c>
      <c r="F2046" s="3">
        <v>45983</v>
      </c>
      <c r="G2046" s="2" t="s">
        <v>15</v>
      </c>
      <c r="H2046" s="2">
        <v>15</v>
      </c>
      <c r="I2046" s="2">
        <v>15</v>
      </c>
      <c r="J2046">
        <f t="shared" si="155"/>
        <v>15</v>
      </c>
      <c r="K2046">
        <f t="shared" si="156"/>
        <v>9</v>
      </c>
      <c r="L2046" t="str">
        <f t="shared" si="157"/>
        <v>No</v>
      </c>
      <c r="M2046" t="str">
        <f t="shared" si="159"/>
        <v>Yes</v>
      </c>
      <c r="N2046" t="str">
        <f t="shared" si="158"/>
        <v>No</v>
      </c>
    </row>
    <row r="2047" spans="1:14" x14ac:dyDescent="0.3">
      <c r="A2047" s="4" t="s">
        <v>4111</v>
      </c>
      <c r="B2047" s="4" t="s">
        <v>4112</v>
      </c>
      <c r="C2047" s="4" t="s">
        <v>37</v>
      </c>
      <c r="D2047" s="5">
        <v>45969</v>
      </c>
      <c r="E2047" s="5">
        <v>45977</v>
      </c>
      <c r="F2047" s="5">
        <v>45982</v>
      </c>
      <c r="G2047" s="4" t="s">
        <v>15</v>
      </c>
      <c r="H2047" s="4">
        <v>56</v>
      </c>
      <c r="I2047" s="2">
        <v>60</v>
      </c>
      <c r="J2047">
        <f t="shared" si="155"/>
        <v>13</v>
      </c>
      <c r="K2047">
        <f t="shared" si="156"/>
        <v>5</v>
      </c>
      <c r="L2047" t="str">
        <f t="shared" si="157"/>
        <v>No</v>
      </c>
      <c r="M2047" t="str">
        <f t="shared" si="159"/>
        <v>No</v>
      </c>
      <c r="N2047" t="str">
        <f t="shared" si="158"/>
        <v>No</v>
      </c>
    </row>
    <row r="2048" spans="1:14" x14ac:dyDescent="0.3">
      <c r="A2048" s="2" t="s">
        <v>4113</v>
      </c>
      <c r="B2048" s="2" t="s">
        <v>4114</v>
      </c>
      <c r="C2048" s="2" t="s">
        <v>37</v>
      </c>
      <c r="D2048" s="3">
        <v>45970</v>
      </c>
      <c r="E2048" s="3">
        <v>45977</v>
      </c>
      <c r="F2048" s="3">
        <v>45983</v>
      </c>
      <c r="G2048" s="2" t="s">
        <v>22</v>
      </c>
      <c r="H2048" s="2">
        <v>29</v>
      </c>
      <c r="I2048" s="2">
        <v>29</v>
      </c>
      <c r="J2048">
        <f t="shared" si="155"/>
        <v>13</v>
      </c>
      <c r="K2048">
        <f t="shared" si="156"/>
        <v>6</v>
      </c>
      <c r="L2048" t="str">
        <f t="shared" si="157"/>
        <v>No</v>
      </c>
      <c r="M2048" t="str">
        <f t="shared" si="159"/>
        <v>Yes</v>
      </c>
      <c r="N2048" t="str">
        <f t="shared" si="158"/>
        <v>No</v>
      </c>
    </row>
    <row r="2049" spans="1:14" x14ac:dyDescent="0.3">
      <c r="A2049" s="4" t="s">
        <v>4115</v>
      </c>
      <c r="B2049" s="4" t="s">
        <v>4116</v>
      </c>
      <c r="C2049" s="4" t="s">
        <v>59</v>
      </c>
      <c r="D2049" s="5">
        <v>45969</v>
      </c>
      <c r="E2049" s="5">
        <v>45972</v>
      </c>
      <c r="F2049" s="5">
        <v>45977</v>
      </c>
      <c r="G2049" s="4" t="s">
        <v>11</v>
      </c>
      <c r="H2049" s="4">
        <v>64</v>
      </c>
      <c r="I2049" s="2">
        <v>64</v>
      </c>
      <c r="J2049">
        <f t="shared" si="155"/>
        <v>8</v>
      </c>
      <c r="K2049">
        <f t="shared" si="156"/>
        <v>5</v>
      </c>
      <c r="L2049" t="str">
        <f t="shared" si="157"/>
        <v>No</v>
      </c>
      <c r="M2049" t="str">
        <f t="shared" si="159"/>
        <v>Yes</v>
      </c>
      <c r="N2049" t="str">
        <f t="shared" si="158"/>
        <v>No</v>
      </c>
    </row>
    <row r="2050" spans="1:14" x14ac:dyDescent="0.3">
      <c r="A2050" s="2" t="s">
        <v>4117</v>
      </c>
      <c r="B2050" s="2" t="s">
        <v>4118</v>
      </c>
      <c r="C2050" s="2" t="s">
        <v>21</v>
      </c>
      <c r="D2050" s="3">
        <v>45969</v>
      </c>
      <c r="E2050" s="3">
        <v>45971</v>
      </c>
      <c r="F2050" s="3">
        <v>45975</v>
      </c>
      <c r="G2050" s="2" t="s">
        <v>22</v>
      </c>
      <c r="H2050" s="2">
        <v>30</v>
      </c>
      <c r="I2050" s="2">
        <v>30</v>
      </c>
      <c r="J2050">
        <f t="shared" si="155"/>
        <v>6</v>
      </c>
      <c r="K2050">
        <f t="shared" si="156"/>
        <v>4</v>
      </c>
      <c r="L2050" t="str">
        <f t="shared" si="157"/>
        <v>No</v>
      </c>
      <c r="M2050" t="str">
        <f t="shared" si="159"/>
        <v>Yes</v>
      </c>
      <c r="N2050" t="str">
        <f t="shared" si="158"/>
        <v>No</v>
      </c>
    </row>
    <row r="2051" spans="1:14" x14ac:dyDescent="0.3">
      <c r="A2051" s="4" t="s">
        <v>4119</v>
      </c>
      <c r="B2051" s="4" t="s">
        <v>4120</v>
      </c>
      <c r="C2051" s="4" t="s">
        <v>27</v>
      </c>
      <c r="D2051" s="5">
        <v>45969</v>
      </c>
      <c r="E2051" s="5">
        <v>45976</v>
      </c>
      <c r="F2051" s="5">
        <v>45986</v>
      </c>
      <c r="G2051" s="4" t="s">
        <v>40</v>
      </c>
      <c r="H2051" s="4">
        <v>8</v>
      </c>
      <c r="I2051" s="2">
        <v>13</v>
      </c>
      <c r="J2051">
        <f t="shared" ref="J2051:J2114" si="160">F2051-D2051</f>
        <v>17</v>
      </c>
      <c r="K2051">
        <f t="shared" ref="K2051:K2114" si="161">F2051-E2051</f>
        <v>10</v>
      </c>
      <c r="L2051" t="str">
        <f t="shared" ref="L2051:L2114" si="162">IF(K2051&lt;=0,"Yes","No")</f>
        <v>No</v>
      </c>
      <c r="M2051" t="str">
        <f t="shared" si="159"/>
        <v>No</v>
      </c>
      <c r="N2051" t="str">
        <f t="shared" ref="N2051:N2114" si="163">IF(AND(L2051="Yes",M2051="Yes"),"Yes","No")</f>
        <v>No</v>
      </c>
    </row>
    <row r="2052" spans="1:14" x14ac:dyDescent="0.3">
      <c r="A2052" s="2" t="s">
        <v>4121</v>
      </c>
      <c r="B2052" s="2" t="s">
        <v>4122</v>
      </c>
      <c r="C2052" s="2" t="s">
        <v>37</v>
      </c>
      <c r="D2052" s="3">
        <v>45969</v>
      </c>
      <c r="E2052" s="3">
        <v>45977</v>
      </c>
      <c r="F2052" s="3">
        <v>45981</v>
      </c>
      <c r="G2052" s="2" t="s">
        <v>40</v>
      </c>
      <c r="H2052" s="2">
        <v>36</v>
      </c>
      <c r="I2052" s="2">
        <v>36</v>
      </c>
      <c r="J2052">
        <f t="shared" si="160"/>
        <v>12</v>
      </c>
      <c r="K2052">
        <f t="shared" si="161"/>
        <v>4</v>
      </c>
      <c r="L2052" t="str">
        <f t="shared" si="162"/>
        <v>No</v>
      </c>
      <c r="M2052" t="str">
        <f t="shared" ref="M2052:M2115" si="164">IF(H2052=I2052,"Yes","No")</f>
        <v>Yes</v>
      </c>
      <c r="N2052" t="str">
        <f t="shared" si="163"/>
        <v>No</v>
      </c>
    </row>
    <row r="2053" spans="1:14" x14ac:dyDescent="0.3">
      <c r="A2053" s="4" t="s">
        <v>4123</v>
      </c>
      <c r="B2053" s="4" t="s">
        <v>4124</v>
      </c>
      <c r="C2053" s="4" t="s">
        <v>72</v>
      </c>
      <c r="D2053" s="5">
        <v>45970</v>
      </c>
      <c r="E2053" s="5">
        <v>45978</v>
      </c>
      <c r="F2053" s="5">
        <v>45988</v>
      </c>
      <c r="G2053" s="4" t="s">
        <v>18</v>
      </c>
      <c r="H2053" s="4">
        <v>13</v>
      </c>
      <c r="I2053" s="2">
        <v>13</v>
      </c>
      <c r="J2053">
        <f t="shared" si="160"/>
        <v>18</v>
      </c>
      <c r="K2053">
        <f t="shared" si="161"/>
        <v>10</v>
      </c>
      <c r="L2053" t="str">
        <f t="shared" si="162"/>
        <v>No</v>
      </c>
      <c r="M2053" t="str">
        <f t="shared" si="164"/>
        <v>Yes</v>
      </c>
      <c r="N2053" t="str">
        <f t="shared" si="163"/>
        <v>No</v>
      </c>
    </row>
    <row r="2054" spans="1:14" x14ac:dyDescent="0.3">
      <c r="A2054" s="2" t="s">
        <v>4125</v>
      </c>
      <c r="B2054" s="2" t="s">
        <v>4126</v>
      </c>
      <c r="C2054" s="2" t="s">
        <v>59</v>
      </c>
      <c r="D2054" s="3">
        <v>45969</v>
      </c>
      <c r="E2054" s="3">
        <v>45977</v>
      </c>
      <c r="F2054" s="3">
        <v>45975</v>
      </c>
      <c r="G2054" s="2" t="s">
        <v>40</v>
      </c>
      <c r="H2054" s="2">
        <v>52</v>
      </c>
      <c r="I2054" s="2">
        <v>52</v>
      </c>
      <c r="J2054">
        <f t="shared" si="160"/>
        <v>6</v>
      </c>
      <c r="K2054">
        <f t="shared" si="161"/>
        <v>-2</v>
      </c>
      <c r="L2054" t="str">
        <f t="shared" si="162"/>
        <v>Yes</v>
      </c>
      <c r="M2054" t="str">
        <f t="shared" si="164"/>
        <v>Yes</v>
      </c>
      <c r="N2054" t="str">
        <f t="shared" si="163"/>
        <v>Yes</v>
      </c>
    </row>
    <row r="2055" spans="1:14" x14ac:dyDescent="0.3">
      <c r="A2055" s="4" t="s">
        <v>4127</v>
      </c>
      <c r="B2055" s="4" t="s">
        <v>4128</v>
      </c>
      <c r="C2055" s="4" t="s">
        <v>21</v>
      </c>
      <c r="D2055" s="5">
        <v>45970</v>
      </c>
      <c r="E2055" s="5">
        <v>45978</v>
      </c>
      <c r="F2055" s="5">
        <v>45976</v>
      </c>
      <c r="G2055" s="4" t="s">
        <v>18</v>
      </c>
      <c r="H2055" s="4">
        <v>78</v>
      </c>
      <c r="I2055" s="2">
        <v>78</v>
      </c>
      <c r="J2055">
        <f t="shared" si="160"/>
        <v>6</v>
      </c>
      <c r="K2055">
        <f t="shared" si="161"/>
        <v>-2</v>
      </c>
      <c r="L2055" t="str">
        <f t="shared" si="162"/>
        <v>Yes</v>
      </c>
      <c r="M2055" t="str">
        <f t="shared" si="164"/>
        <v>Yes</v>
      </c>
      <c r="N2055" t="str">
        <f t="shared" si="163"/>
        <v>Yes</v>
      </c>
    </row>
    <row r="2056" spans="1:14" x14ac:dyDescent="0.3">
      <c r="A2056" s="2" t="s">
        <v>4129</v>
      </c>
      <c r="B2056" s="2" t="s">
        <v>4130</v>
      </c>
      <c r="C2056" s="2" t="s">
        <v>21</v>
      </c>
      <c r="D2056" s="3">
        <v>45970</v>
      </c>
      <c r="E2056" s="3">
        <v>45978</v>
      </c>
      <c r="F2056" s="3">
        <v>45977</v>
      </c>
      <c r="G2056" s="2" t="s">
        <v>15</v>
      </c>
      <c r="H2056" s="2">
        <v>48</v>
      </c>
      <c r="I2056" s="2">
        <v>48</v>
      </c>
      <c r="J2056">
        <f t="shared" si="160"/>
        <v>7</v>
      </c>
      <c r="K2056">
        <f t="shared" si="161"/>
        <v>-1</v>
      </c>
      <c r="L2056" t="str">
        <f t="shared" si="162"/>
        <v>Yes</v>
      </c>
      <c r="M2056" t="str">
        <f t="shared" si="164"/>
        <v>Yes</v>
      </c>
      <c r="N2056" t="str">
        <f t="shared" si="163"/>
        <v>Yes</v>
      </c>
    </row>
    <row r="2057" spans="1:14" x14ac:dyDescent="0.3">
      <c r="A2057" s="4" t="s">
        <v>4131</v>
      </c>
      <c r="B2057" s="4" t="s">
        <v>4132</v>
      </c>
      <c r="C2057" s="4" t="s">
        <v>21</v>
      </c>
      <c r="D2057" s="5">
        <v>45969</v>
      </c>
      <c r="E2057" s="5">
        <v>45976</v>
      </c>
      <c r="F2057" s="5">
        <v>45975</v>
      </c>
      <c r="G2057" s="4" t="s">
        <v>40</v>
      </c>
      <c r="H2057" s="4">
        <v>49</v>
      </c>
      <c r="I2057" s="2">
        <v>49</v>
      </c>
      <c r="J2057">
        <f t="shared" si="160"/>
        <v>6</v>
      </c>
      <c r="K2057">
        <f t="shared" si="161"/>
        <v>-1</v>
      </c>
      <c r="L2057" t="str">
        <f t="shared" si="162"/>
        <v>Yes</v>
      </c>
      <c r="M2057" t="str">
        <f t="shared" si="164"/>
        <v>Yes</v>
      </c>
      <c r="N2057" t="str">
        <f t="shared" si="163"/>
        <v>Yes</v>
      </c>
    </row>
    <row r="2058" spans="1:14" x14ac:dyDescent="0.3">
      <c r="A2058" s="2" t="s">
        <v>4133</v>
      </c>
      <c r="B2058" s="2" t="s">
        <v>4134</v>
      </c>
      <c r="C2058" s="2" t="s">
        <v>27</v>
      </c>
      <c r="D2058" s="3">
        <v>45970</v>
      </c>
      <c r="E2058" s="3">
        <v>45975</v>
      </c>
      <c r="F2058" s="3">
        <v>45983</v>
      </c>
      <c r="G2058" s="2" t="s">
        <v>11</v>
      </c>
      <c r="H2058" s="2">
        <v>24</v>
      </c>
      <c r="I2058" s="2">
        <v>24</v>
      </c>
      <c r="J2058">
        <f t="shared" si="160"/>
        <v>13</v>
      </c>
      <c r="K2058">
        <f t="shared" si="161"/>
        <v>8</v>
      </c>
      <c r="L2058" t="str">
        <f t="shared" si="162"/>
        <v>No</v>
      </c>
      <c r="M2058" t="str">
        <f t="shared" si="164"/>
        <v>Yes</v>
      </c>
      <c r="N2058" t="str">
        <f t="shared" si="163"/>
        <v>No</v>
      </c>
    </row>
    <row r="2059" spans="1:14" x14ac:dyDescent="0.3">
      <c r="A2059" s="4" t="s">
        <v>4135</v>
      </c>
      <c r="B2059" s="4" t="s">
        <v>4136</v>
      </c>
      <c r="C2059" s="4" t="s">
        <v>27</v>
      </c>
      <c r="D2059" s="5">
        <v>45971</v>
      </c>
      <c r="E2059" s="5">
        <v>45972</v>
      </c>
      <c r="F2059" s="5">
        <v>45984</v>
      </c>
      <c r="G2059" s="4" t="s">
        <v>11</v>
      </c>
      <c r="H2059" s="4">
        <v>7</v>
      </c>
      <c r="I2059" s="2">
        <v>9</v>
      </c>
      <c r="J2059">
        <f t="shared" si="160"/>
        <v>13</v>
      </c>
      <c r="K2059">
        <f t="shared" si="161"/>
        <v>12</v>
      </c>
      <c r="L2059" t="str">
        <f t="shared" si="162"/>
        <v>No</v>
      </c>
      <c r="M2059" t="str">
        <f t="shared" si="164"/>
        <v>No</v>
      </c>
      <c r="N2059" t="str">
        <f t="shared" si="163"/>
        <v>No</v>
      </c>
    </row>
    <row r="2060" spans="1:14" x14ac:dyDescent="0.3">
      <c r="A2060" s="2" t="s">
        <v>4137</v>
      </c>
      <c r="B2060" s="2" t="s">
        <v>4138</v>
      </c>
      <c r="C2060" s="2" t="s">
        <v>27</v>
      </c>
      <c r="D2060" s="3">
        <v>45970</v>
      </c>
      <c r="E2060" s="3">
        <v>45975</v>
      </c>
      <c r="F2060" s="3">
        <v>45987</v>
      </c>
      <c r="G2060" s="2" t="s">
        <v>15</v>
      </c>
      <c r="H2060" s="2">
        <v>11</v>
      </c>
      <c r="I2060" s="2">
        <v>11</v>
      </c>
      <c r="J2060">
        <f t="shared" si="160"/>
        <v>17</v>
      </c>
      <c r="K2060">
        <f t="shared" si="161"/>
        <v>12</v>
      </c>
      <c r="L2060" t="str">
        <f t="shared" si="162"/>
        <v>No</v>
      </c>
      <c r="M2060" t="str">
        <f t="shared" si="164"/>
        <v>Yes</v>
      </c>
      <c r="N2060" t="str">
        <f t="shared" si="163"/>
        <v>No</v>
      </c>
    </row>
    <row r="2061" spans="1:14" x14ac:dyDescent="0.3">
      <c r="A2061" s="4" t="s">
        <v>4139</v>
      </c>
      <c r="B2061" s="4" t="s">
        <v>4140</v>
      </c>
      <c r="C2061" s="4" t="s">
        <v>34</v>
      </c>
      <c r="D2061" s="5">
        <v>45971</v>
      </c>
      <c r="E2061" s="5">
        <v>45980</v>
      </c>
      <c r="F2061" s="5">
        <v>45978</v>
      </c>
      <c r="G2061" s="4" t="s">
        <v>40</v>
      </c>
      <c r="H2061" s="4">
        <v>34</v>
      </c>
      <c r="I2061" s="2">
        <v>34</v>
      </c>
      <c r="J2061">
        <f t="shared" si="160"/>
        <v>7</v>
      </c>
      <c r="K2061">
        <f t="shared" si="161"/>
        <v>-2</v>
      </c>
      <c r="L2061" t="str">
        <f t="shared" si="162"/>
        <v>Yes</v>
      </c>
      <c r="M2061" t="str">
        <f t="shared" si="164"/>
        <v>Yes</v>
      </c>
      <c r="N2061" t="str">
        <f t="shared" si="163"/>
        <v>Yes</v>
      </c>
    </row>
    <row r="2062" spans="1:14" x14ac:dyDescent="0.3">
      <c r="A2062" s="2" t="s">
        <v>4141</v>
      </c>
      <c r="B2062" s="2" t="s">
        <v>4142</v>
      </c>
      <c r="C2062" s="2" t="s">
        <v>34</v>
      </c>
      <c r="D2062" s="3">
        <v>45970</v>
      </c>
      <c r="E2062" s="3">
        <v>45979</v>
      </c>
      <c r="F2062" s="3">
        <v>45981</v>
      </c>
      <c r="G2062" s="2" t="s">
        <v>11</v>
      </c>
      <c r="H2062" s="2">
        <v>39</v>
      </c>
      <c r="I2062" s="2">
        <v>42</v>
      </c>
      <c r="J2062">
        <f t="shared" si="160"/>
        <v>11</v>
      </c>
      <c r="K2062">
        <f t="shared" si="161"/>
        <v>2</v>
      </c>
      <c r="L2062" t="str">
        <f t="shared" si="162"/>
        <v>No</v>
      </c>
      <c r="M2062" t="str">
        <f t="shared" si="164"/>
        <v>No</v>
      </c>
      <c r="N2062" t="str">
        <f t="shared" si="163"/>
        <v>No</v>
      </c>
    </row>
    <row r="2063" spans="1:14" x14ac:dyDescent="0.3">
      <c r="A2063" s="4" t="s">
        <v>4143</v>
      </c>
      <c r="B2063" s="4" t="s">
        <v>4144</v>
      </c>
      <c r="C2063" s="4" t="s">
        <v>72</v>
      </c>
      <c r="D2063" s="5">
        <v>45971</v>
      </c>
      <c r="E2063" s="5">
        <v>45977</v>
      </c>
      <c r="F2063" s="5">
        <v>45985</v>
      </c>
      <c r="G2063" s="4" t="s">
        <v>40</v>
      </c>
      <c r="H2063" s="4">
        <v>2</v>
      </c>
      <c r="I2063" s="2">
        <v>2</v>
      </c>
      <c r="J2063">
        <f t="shared" si="160"/>
        <v>14</v>
      </c>
      <c r="K2063">
        <f t="shared" si="161"/>
        <v>8</v>
      </c>
      <c r="L2063" t="str">
        <f t="shared" si="162"/>
        <v>No</v>
      </c>
      <c r="M2063" t="str">
        <f t="shared" si="164"/>
        <v>Yes</v>
      </c>
      <c r="N2063" t="str">
        <f t="shared" si="163"/>
        <v>No</v>
      </c>
    </row>
    <row r="2064" spans="1:14" x14ac:dyDescent="0.3">
      <c r="A2064" s="2" t="s">
        <v>4145</v>
      </c>
      <c r="B2064" s="2" t="s">
        <v>4146</v>
      </c>
      <c r="C2064" s="2" t="s">
        <v>72</v>
      </c>
      <c r="D2064" s="3">
        <v>45971</v>
      </c>
      <c r="E2064" s="3">
        <v>45974</v>
      </c>
      <c r="F2064" s="3">
        <v>45987</v>
      </c>
      <c r="G2064" s="2" t="s">
        <v>15</v>
      </c>
      <c r="H2064" s="2">
        <v>40</v>
      </c>
      <c r="I2064" s="2">
        <v>40</v>
      </c>
      <c r="J2064">
        <f t="shared" si="160"/>
        <v>16</v>
      </c>
      <c r="K2064">
        <f t="shared" si="161"/>
        <v>13</v>
      </c>
      <c r="L2064" t="str">
        <f t="shared" si="162"/>
        <v>No</v>
      </c>
      <c r="M2064" t="str">
        <f t="shared" si="164"/>
        <v>Yes</v>
      </c>
      <c r="N2064" t="str">
        <f t="shared" si="163"/>
        <v>No</v>
      </c>
    </row>
    <row r="2065" spans="1:14" x14ac:dyDescent="0.3">
      <c r="A2065" s="4" t="s">
        <v>4147</v>
      </c>
      <c r="B2065" s="4" t="s">
        <v>4148</v>
      </c>
      <c r="C2065" s="4" t="s">
        <v>72</v>
      </c>
      <c r="D2065" s="5">
        <v>45971</v>
      </c>
      <c r="E2065" s="5">
        <v>45973</v>
      </c>
      <c r="F2065" s="5">
        <v>45985</v>
      </c>
      <c r="G2065" s="4" t="s">
        <v>18</v>
      </c>
      <c r="H2065" s="4">
        <v>14</v>
      </c>
      <c r="I2065" s="2">
        <v>14</v>
      </c>
      <c r="J2065">
        <f t="shared" si="160"/>
        <v>14</v>
      </c>
      <c r="K2065">
        <f t="shared" si="161"/>
        <v>12</v>
      </c>
      <c r="L2065" t="str">
        <f t="shared" si="162"/>
        <v>No</v>
      </c>
      <c r="M2065" t="str">
        <f t="shared" si="164"/>
        <v>Yes</v>
      </c>
      <c r="N2065" t="str">
        <f t="shared" si="163"/>
        <v>No</v>
      </c>
    </row>
    <row r="2066" spans="1:14" x14ac:dyDescent="0.3">
      <c r="A2066" s="2" t="s">
        <v>4149</v>
      </c>
      <c r="B2066" s="2" t="s">
        <v>4150</v>
      </c>
      <c r="C2066" s="2" t="s">
        <v>14</v>
      </c>
      <c r="D2066" s="3">
        <v>45972</v>
      </c>
      <c r="E2066" s="3">
        <v>45975</v>
      </c>
      <c r="F2066" s="3">
        <v>45987</v>
      </c>
      <c r="G2066" s="2" t="s">
        <v>18</v>
      </c>
      <c r="H2066" s="2">
        <v>13</v>
      </c>
      <c r="I2066" s="2">
        <v>18</v>
      </c>
      <c r="J2066">
        <f t="shared" si="160"/>
        <v>15</v>
      </c>
      <c r="K2066">
        <f t="shared" si="161"/>
        <v>12</v>
      </c>
      <c r="L2066" t="str">
        <f t="shared" si="162"/>
        <v>No</v>
      </c>
      <c r="M2066" t="str">
        <f t="shared" si="164"/>
        <v>No</v>
      </c>
      <c r="N2066" t="str">
        <f t="shared" si="163"/>
        <v>No</v>
      </c>
    </row>
    <row r="2067" spans="1:14" x14ac:dyDescent="0.3">
      <c r="A2067" s="4" t="s">
        <v>4151</v>
      </c>
      <c r="B2067" s="4" t="s">
        <v>4152</v>
      </c>
      <c r="C2067" s="4" t="s">
        <v>14</v>
      </c>
      <c r="D2067" s="5">
        <v>45972</v>
      </c>
      <c r="E2067" s="5">
        <v>45978</v>
      </c>
      <c r="F2067" s="5">
        <v>45987</v>
      </c>
      <c r="G2067" s="4" t="s">
        <v>22</v>
      </c>
      <c r="H2067" s="4">
        <v>83</v>
      </c>
      <c r="I2067" s="2">
        <v>83</v>
      </c>
      <c r="J2067">
        <f t="shared" si="160"/>
        <v>15</v>
      </c>
      <c r="K2067">
        <f t="shared" si="161"/>
        <v>9</v>
      </c>
      <c r="L2067" t="str">
        <f t="shared" si="162"/>
        <v>No</v>
      </c>
      <c r="M2067" t="str">
        <f t="shared" si="164"/>
        <v>Yes</v>
      </c>
      <c r="N2067" t="str">
        <f t="shared" si="163"/>
        <v>No</v>
      </c>
    </row>
    <row r="2068" spans="1:14" x14ac:dyDescent="0.3">
      <c r="A2068" s="2" t="s">
        <v>4153</v>
      </c>
      <c r="B2068" s="2" t="s">
        <v>4154</v>
      </c>
      <c r="C2068" s="2" t="s">
        <v>14</v>
      </c>
      <c r="D2068" s="3">
        <v>45971</v>
      </c>
      <c r="E2068" s="3">
        <v>45976</v>
      </c>
      <c r="F2068" s="3">
        <v>45988</v>
      </c>
      <c r="G2068" s="2" t="s">
        <v>15</v>
      </c>
      <c r="H2068" s="2">
        <v>24</v>
      </c>
      <c r="I2068" s="2">
        <v>25</v>
      </c>
      <c r="J2068">
        <f t="shared" si="160"/>
        <v>17</v>
      </c>
      <c r="K2068">
        <f t="shared" si="161"/>
        <v>12</v>
      </c>
      <c r="L2068" t="str">
        <f t="shared" si="162"/>
        <v>No</v>
      </c>
      <c r="M2068" t="str">
        <f t="shared" si="164"/>
        <v>No</v>
      </c>
      <c r="N2068" t="str">
        <f t="shared" si="163"/>
        <v>No</v>
      </c>
    </row>
    <row r="2069" spans="1:14" x14ac:dyDescent="0.3">
      <c r="A2069" s="4" t="s">
        <v>4155</v>
      </c>
      <c r="B2069" s="4" t="s">
        <v>4156</v>
      </c>
      <c r="C2069" s="4" t="s">
        <v>21</v>
      </c>
      <c r="D2069" s="5">
        <v>45972</v>
      </c>
      <c r="E2069" s="5">
        <v>45973</v>
      </c>
      <c r="F2069" s="5">
        <v>45978</v>
      </c>
      <c r="G2069" s="4" t="s">
        <v>18</v>
      </c>
      <c r="H2069" s="4">
        <v>23</v>
      </c>
      <c r="I2069" s="2">
        <v>23</v>
      </c>
      <c r="J2069">
        <f t="shared" si="160"/>
        <v>6</v>
      </c>
      <c r="K2069">
        <f t="shared" si="161"/>
        <v>5</v>
      </c>
      <c r="L2069" t="str">
        <f t="shared" si="162"/>
        <v>No</v>
      </c>
      <c r="M2069" t="str">
        <f t="shared" si="164"/>
        <v>Yes</v>
      </c>
      <c r="N2069" t="str">
        <f t="shared" si="163"/>
        <v>No</v>
      </c>
    </row>
    <row r="2070" spans="1:14" x14ac:dyDescent="0.3">
      <c r="A2070" s="2" t="s">
        <v>4157</v>
      </c>
      <c r="B2070" s="2" t="s">
        <v>4158</v>
      </c>
      <c r="C2070" s="2" t="s">
        <v>27</v>
      </c>
      <c r="D2070" s="3">
        <v>45970</v>
      </c>
      <c r="E2070" s="3">
        <v>45973</v>
      </c>
      <c r="F2070" s="3">
        <v>45983</v>
      </c>
      <c r="G2070" s="2" t="s">
        <v>22</v>
      </c>
      <c r="H2070" s="2">
        <v>38</v>
      </c>
      <c r="I2070" s="2">
        <v>38</v>
      </c>
      <c r="J2070">
        <f t="shared" si="160"/>
        <v>13</v>
      </c>
      <c r="K2070">
        <f t="shared" si="161"/>
        <v>10</v>
      </c>
      <c r="L2070" t="str">
        <f t="shared" si="162"/>
        <v>No</v>
      </c>
      <c r="M2070" t="str">
        <f t="shared" si="164"/>
        <v>Yes</v>
      </c>
      <c r="N2070" t="str">
        <f t="shared" si="163"/>
        <v>No</v>
      </c>
    </row>
    <row r="2071" spans="1:14" x14ac:dyDescent="0.3">
      <c r="A2071" s="4" t="s">
        <v>4159</v>
      </c>
      <c r="B2071" s="4" t="s">
        <v>4160</v>
      </c>
      <c r="C2071" s="4" t="s">
        <v>27</v>
      </c>
      <c r="D2071" s="5">
        <v>45970</v>
      </c>
      <c r="E2071" s="5">
        <v>45977</v>
      </c>
      <c r="F2071" s="5">
        <v>45987</v>
      </c>
      <c r="G2071" s="4" t="s">
        <v>15</v>
      </c>
      <c r="H2071" s="4">
        <v>10</v>
      </c>
      <c r="I2071" s="2">
        <v>10</v>
      </c>
      <c r="J2071">
        <f t="shared" si="160"/>
        <v>17</v>
      </c>
      <c r="K2071">
        <f t="shared" si="161"/>
        <v>10</v>
      </c>
      <c r="L2071" t="str">
        <f t="shared" si="162"/>
        <v>No</v>
      </c>
      <c r="M2071" t="str">
        <f t="shared" si="164"/>
        <v>Yes</v>
      </c>
      <c r="N2071" t="str">
        <f t="shared" si="163"/>
        <v>No</v>
      </c>
    </row>
    <row r="2072" spans="1:14" x14ac:dyDescent="0.3">
      <c r="A2072" s="2" t="s">
        <v>4161</v>
      </c>
      <c r="B2072" s="2" t="s">
        <v>4162</v>
      </c>
      <c r="C2072" s="2" t="s">
        <v>27</v>
      </c>
      <c r="D2072" s="3">
        <v>45970</v>
      </c>
      <c r="E2072" s="3">
        <v>45980</v>
      </c>
      <c r="F2072" s="3">
        <v>45984</v>
      </c>
      <c r="G2072" s="2" t="s">
        <v>11</v>
      </c>
      <c r="H2072" s="2">
        <v>8</v>
      </c>
      <c r="I2072" s="2">
        <v>8</v>
      </c>
      <c r="J2072">
        <f t="shared" si="160"/>
        <v>14</v>
      </c>
      <c r="K2072">
        <f t="shared" si="161"/>
        <v>4</v>
      </c>
      <c r="L2072" t="str">
        <f t="shared" si="162"/>
        <v>No</v>
      </c>
      <c r="M2072" t="str">
        <f t="shared" si="164"/>
        <v>Yes</v>
      </c>
      <c r="N2072" t="str">
        <f t="shared" si="163"/>
        <v>No</v>
      </c>
    </row>
    <row r="2073" spans="1:14" x14ac:dyDescent="0.3">
      <c r="A2073" s="4" t="s">
        <v>4163</v>
      </c>
      <c r="B2073" s="4" t="s">
        <v>4164</v>
      </c>
      <c r="C2073" s="4" t="s">
        <v>37</v>
      </c>
      <c r="D2073" s="5">
        <v>45973</v>
      </c>
      <c r="E2073" s="5">
        <v>45977</v>
      </c>
      <c r="F2073" s="5">
        <v>45986</v>
      </c>
      <c r="G2073" s="4" t="s">
        <v>40</v>
      </c>
      <c r="H2073" s="4">
        <v>32</v>
      </c>
      <c r="I2073" s="2">
        <v>32</v>
      </c>
      <c r="J2073">
        <f t="shared" si="160"/>
        <v>13</v>
      </c>
      <c r="K2073">
        <f t="shared" si="161"/>
        <v>9</v>
      </c>
      <c r="L2073" t="str">
        <f t="shared" si="162"/>
        <v>No</v>
      </c>
      <c r="M2073" t="str">
        <f t="shared" si="164"/>
        <v>Yes</v>
      </c>
      <c r="N2073" t="str">
        <f t="shared" si="163"/>
        <v>No</v>
      </c>
    </row>
    <row r="2074" spans="1:14" x14ac:dyDescent="0.3">
      <c r="A2074" s="2" t="s">
        <v>4165</v>
      </c>
      <c r="B2074" s="2" t="s">
        <v>4166</v>
      </c>
      <c r="C2074" s="2" t="s">
        <v>34</v>
      </c>
      <c r="D2074" s="3">
        <v>45973</v>
      </c>
      <c r="E2074" s="3">
        <v>45975</v>
      </c>
      <c r="F2074" s="3">
        <v>45980</v>
      </c>
      <c r="G2074" s="2" t="s">
        <v>22</v>
      </c>
      <c r="H2074" s="2">
        <v>49</v>
      </c>
      <c r="I2074" s="2">
        <v>49</v>
      </c>
      <c r="J2074">
        <f t="shared" si="160"/>
        <v>7</v>
      </c>
      <c r="K2074">
        <f t="shared" si="161"/>
        <v>5</v>
      </c>
      <c r="L2074" t="str">
        <f t="shared" si="162"/>
        <v>No</v>
      </c>
      <c r="M2074" t="str">
        <f t="shared" si="164"/>
        <v>Yes</v>
      </c>
      <c r="N2074" t="str">
        <f t="shared" si="163"/>
        <v>No</v>
      </c>
    </row>
    <row r="2075" spans="1:14" x14ac:dyDescent="0.3">
      <c r="A2075" s="4" t="s">
        <v>4167</v>
      </c>
      <c r="B2075" s="4" t="s">
        <v>4168</v>
      </c>
      <c r="C2075" s="4" t="s">
        <v>10</v>
      </c>
      <c r="D2075" s="5">
        <v>45973</v>
      </c>
      <c r="E2075" s="5">
        <v>45979</v>
      </c>
      <c r="F2075" s="5">
        <v>45977</v>
      </c>
      <c r="G2075" s="4" t="s">
        <v>11</v>
      </c>
      <c r="H2075" s="4">
        <v>33</v>
      </c>
      <c r="I2075" s="2">
        <v>33</v>
      </c>
      <c r="J2075">
        <f t="shared" si="160"/>
        <v>4</v>
      </c>
      <c r="K2075">
        <f t="shared" si="161"/>
        <v>-2</v>
      </c>
      <c r="L2075" t="str">
        <f t="shared" si="162"/>
        <v>Yes</v>
      </c>
      <c r="M2075" t="str">
        <f t="shared" si="164"/>
        <v>Yes</v>
      </c>
      <c r="N2075" t="str">
        <f t="shared" si="163"/>
        <v>Yes</v>
      </c>
    </row>
    <row r="2076" spans="1:14" x14ac:dyDescent="0.3">
      <c r="A2076" s="2" t="s">
        <v>4169</v>
      </c>
      <c r="B2076" s="2" t="s">
        <v>4170</v>
      </c>
      <c r="C2076" s="2" t="s">
        <v>10</v>
      </c>
      <c r="D2076" s="3">
        <v>45971</v>
      </c>
      <c r="E2076" s="3">
        <v>45980</v>
      </c>
      <c r="F2076" s="3">
        <v>45976</v>
      </c>
      <c r="G2076" s="2" t="s">
        <v>11</v>
      </c>
      <c r="H2076" s="2">
        <v>20</v>
      </c>
      <c r="I2076" s="2">
        <v>20</v>
      </c>
      <c r="J2076">
        <f t="shared" si="160"/>
        <v>5</v>
      </c>
      <c r="K2076">
        <f t="shared" si="161"/>
        <v>-4</v>
      </c>
      <c r="L2076" t="str">
        <f t="shared" si="162"/>
        <v>Yes</v>
      </c>
      <c r="M2076" t="str">
        <f t="shared" si="164"/>
        <v>Yes</v>
      </c>
      <c r="N2076" t="str">
        <f t="shared" si="163"/>
        <v>Yes</v>
      </c>
    </row>
    <row r="2077" spans="1:14" x14ac:dyDescent="0.3">
      <c r="A2077" s="4" t="s">
        <v>4171</v>
      </c>
      <c r="B2077" s="4" t="s">
        <v>4172</v>
      </c>
      <c r="C2077" s="4" t="s">
        <v>14</v>
      </c>
      <c r="D2077" s="5">
        <v>45972</v>
      </c>
      <c r="E2077" s="5">
        <v>45977</v>
      </c>
      <c r="F2077" s="5">
        <v>45988</v>
      </c>
      <c r="G2077" s="4" t="s">
        <v>22</v>
      </c>
      <c r="H2077" s="4">
        <v>28</v>
      </c>
      <c r="I2077" s="2">
        <v>28</v>
      </c>
      <c r="J2077">
        <f t="shared" si="160"/>
        <v>16</v>
      </c>
      <c r="K2077">
        <f t="shared" si="161"/>
        <v>11</v>
      </c>
      <c r="L2077" t="str">
        <f t="shared" si="162"/>
        <v>No</v>
      </c>
      <c r="M2077" t="str">
        <f t="shared" si="164"/>
        <v>Yes</v>
      </c>
      <c r="N2077" t="str">
        <f t="shared" si="163"/>
        <v>No</v>
      </c>
    </row>
    <row r="2078" spans="1:14" x14ac:dyDescent="0.3">
      <c r="A2078" s="2" t="s">
        <v>4173</v>
      </c>
      <c r="B2078" s="2" t="s">
        <v>4174</v>
      </c>
      <c r="C2078" s="2" t="s">
        <v>21</v>
      </c>
      <c r="D2078" s="3">
        <v>45972</v>
      </c>
      <c r="E2078" s="3">
        <v>45980</v>
      </c>
      <c r="F2078" s="3">
        <v>45978</v>
      </c>
      <c r="G2078" s="2" t="s">
        <v>15</v>
      </c>
      <c r="H2078" s="2">
        <v>26</v>
      </c>
      <c r="I2078" s="2">
        <v>26</v>
      </c>
      <c r="J2078">
        <f t="shared" si="160"/>
        <v>6</v>
      </c>
      <c r="K2078">
        <f t="shared" si="161"/>
        <v>-2</v>
      </c>
      <c r="L2078" t="str">
        <f t="shared" si="162"/>
        <v>Yes</v>
      </c>
      <c r="M2078" t="str">
        <f t="shared" si="164"/>
        <v>Yes</v>
      </c>
      <c r="N2078" t="str">
        <f t="shared" si="163"/>
        <v>Yes</v>
      </c>
    </row>
    <row r="2079" spans="1:14" x14ac:dyDescent="0.3">
      <c r="A2079" s="4" t="s">
        <v>4175</v>
      </c>
      <c r="B2079" s="4" t="s">
        <v>4176</v>
      </c>
      <c r="C2079" s="4" t="s">
        <v>21</v>
      </c>
      <c r="D2079" s="5">
        <v>45972</v>
      </c>
      <c r="E2079" s="5">
        <v>45977</v>
      </c>
      <c r="F2079" s="5">
        <v>45977</v>
      </c>
      <c r="G2079" s="4" t="s">
        <v>11</v>
      </c>
      <c r="H2079" s="4">
        <v>12</v>
      </c>
      <c r="I2079" s="2">
        <v>12</v>
      </c>
      <c r="J2079">
        <f t="shared" si="160"/>
        <v>5</v>
      </c>
      <c r="K2079">
        <f t="shared" si="161"/>
        <v>0</v>
      </c>
      <c r="L2079" t="str">
        <f t="shared" si="162"/>
        <v>Yes</v>
      </c>
      <c r="M2079" t="str">
        <f t="shared" si="164"/>
        <v>Yes</v>
      </c>
      <c r="N2079" t="str">
        <f t="shared" si="163"/>
        <v>Yes</v>
      </c>
    </row>
    <row r="2080" spans="1:14" x14ac:dyDescent="0.3">
      <c r="A2080" s="2" t="s">
        <v>4177</v>
      </c>
      <c r="B2080" s="2" t="s">
        <v>4178</v>
      </c>
      <c r="C2080" s="2" t="s">
        <v>27</v>
      </c>
      <c r="D2080" s="3">
        <v>45972</v>
      </c>
      <c r="E2080" s="3">
        <v>45976</v>
      </c>
      <c r="F2080" s="3">
        <v>45984</v>
      </c>
      <c r="G2080" s="2" t="s">
        <v>18</v>
      </c>
      <c r="H2080" s="2">
        <v>11</v>
      </c>
      <c r="I2080" s="2">
        <v>11</v>
      </c>
      <c r="J2080">
        <f t="shared" si="160"/>
        <v>12</v>
      </c>
      <c r="K2080">
        <f t="shared" si="161"/>
        <v>8</v>
      </c>
      <c r="L2080" t="str">
        <f t="shared" si="162"/>
        <v>No</v>
      </c>
      <c r="M2080" t="str">
        <f t="shared" si="164"/>
        <v>Yes</v>
      </c>
      <c r="N2080" t="str">
        <f t="shared" si="163"/>
        <v>No</v>
      </c>
    </row>
    <row r="2081" spans="1:14" x14ac:dyDescent="0.3">
      <c r="A2081" s="4" t="s">
        <v>4179</v>
      </c>
      <c r="B2081" s="4" t="s">
        <v>4180</v>
      </c>
      <c r="C2081" s="4" t="s">
        <v>27</v>
      </c>
      <c r="D2081" s="5">
        <v>45971</v>
      </c>
      <c r="E2081" s="5">
        <v>45978</v>
      </c>
      <c r="F2081" s="5">
        <v>45984</v>
      </c>
      <c r="G2081" s="4" t="s">
        <v>40</v>
      </c>
      <c r="H2081" s="4">
        <v>10</v>
      </c>
      <c r="I2081" s="2">
        <v>10</v>
      </c>
      <c r="J2081">
        <f t="shared" si="160"/>
        <v>13</v>
      </c>
      <c r="K2081">
        <f t="shared" si="161"/>
        <v>6</v>
      </c>
      <c r="L2081" t="str">
        <f t="shared" si="162"/>
        <v>No</v>
      </c>
      <c r="M2081" t="str">
        <f t="shared" si="164"/>
        <v>Yes</v>
      </c>
      <c r="N2081" t="str">
        <f t="shared" si="163"/>
        <v>No</v>
      </c>
    </row>
    <row r="2082" spans="1:14" x14ac:dyDescent="0.3">
      <c r="A2082" s="2" t="s">
        <v>4181</v>
      </c>
      <c r="B2082" s="2" t="s">
        <v>4182</v>
      </c>
      <c r="C2082" s="2" t="s">
        <v>37</v>
      </c>
      <c r="D2082" s="3">
        <v>45972</v>
      </c>
      <c r="E2082" s="3">
        <v>45975</v>
      </c>
      <c r="F2082" s="3">
        <v>45985</v>
      </c>
      <c r="G2082" s="2" t="s">
        <v>40</v>
      </c>
      <c r="H2082" s="2">
        <v>21</v>
      </c>
      <c r="I2082" s="2">
        <v>21</v>
      </c>
      <c r="J2082">
        <f t="shared" si="160"/>
        <v>13</v>
      </c>
      <c r="K2082">
        <f t="shared" si="161"/>
        <v>10</v>
      </c>
      <c r="L2082" t="str">
        <f t="shared" si="162"/>
        <v>No</v>
      </c>
      <c r="M2082" t="str">
        <f t="shared" si="164"/>
        <v>Yes</v>
      </c>
      <c r="N2082" t="str">
        <f t="shared" si="163"/>
        <v>No</v>
      </c>
    </row>
    <row r="2083" spans="1:14" x14ac:dyDescent="0.3">
      <c r="A2083" s="4" t="s">
        <v>4183</v>
      </c>
      <c r="B2083" s="4" t="s">
        <v>4184</v>
      </c>
      <c r="C2083" s="4" t="s">
        <v>37</v>
      </c>
      <c r="D2083" s="5">
        <v>45974</v>
      </c>
      <c r="E2083" s="5">
        <v>45982</v>
      </c>
      <c r="F2083" s="5">
        <v>45989</v>
      </c>
      <c r="G2083" s="4" t="s">
        <v>11</v>
      </c>
      <c r="H2083" s="4">
        <v>53</v>
      </c>
      <c r="I2083" s="2">
        <v>53</v>
      </c>
      <c r="J2083">
        <f t="shared" si="160"/>
        <v>15</v>
      </c>
      <c r="K2083">
        <f t="shared" si="161"/>
        <v>7</v>
      </c>
      <c r="L2083" t="str">
        <f t="shared" si="162"/>
        <v>No</v>
      </c>
      <c r="M2083" t="str">
        <f t="shared" si="164"/>
        <v>Yes</v>
      </c>
      <c r="N2083" t="str">
        <f t="shared" si="163"/>
        <v>No</v>
      </c>
    </row>
    <row r="2084" spans="1:14" x14ac:dyDescent="0.3">
      <c r="A2084" s="2" t="s">
        <v>4185</v>
      </c>
      <c r="B2084" s="2" t="s">
        <v>4186</v>
      </c>
      <c r="C2084" s="2" t="s">
        <v>10</v>
      </c>
      <c r="D2084" s="3">
        <v>45974</v>
      </c>
      <c r="E2084" s="3">
        <v>45981</v>
      </c>
      <c r="F2084" s="3">
        <v>45979</v>
      </c>
      <c r="G2084" s="2" t="s">
        <v>15</v>
      </c>
      <c r="H2084" s="2">
        <v>28</v>
      </c>
      <c r="I2084" s="2">
        <v>28</v>
      </c>
      <c r="J2084">
        <f t="shared" si="160"/>
        <v>5</v>
      </c>
      <c r="K2084">
        <f t="shared" si="161"/>
        <v>-2</v>
      </c>
      <c r="L2084" t="str">
        <f t="shared" si="162"/>
        <v>Yes</v>
      </c>
      <c r="M2084" t="str">
        <f t="shared" si="164"/>
        <v>Yes</v>
      </c>
      <c r="N2084" t="str">
        <f t="shared" si="163"/>
        <v>Yes</v>
      </c>
    </row>
    <row r="2085" spans="1:14" x14ac:dyDescent="0.3">
      <c r="A2085" s="4" t="s">
        <v>4187</v>
      </c>
      <c r="B2085" s="4" t="s">
        <v>4188</v>
      </c>
      <c r="C2085" s="4" t="s">
        <v>21</v>
      </c>
      <c r="D2085" s="5">
        <v>45973</v>
      </c>
      <c r="E2085" s="5">
        <v>45981</v>
      </c>
      <c r="F2085" s="5">
        <v>45979</v>
      </c>
      <c r="G2085" s="4" t="s">
        <v>40</v>
      </c>
      <c r="H2085" s="4">
        <v>39</v>
      </c>
      <c r="I2085" s="2">
        <v>39</v>
      </c>
      <c r="J2085">
        <f t="shared" si="160"/>
        <v>6</v>
      </c>
      <c r="K2085">
        <f t="shared" si="161"/>
        <v>-2</v>
      </c>
      <c r="L2085" t="str">
        <f t="shared" si="162"/>
        <v>Yes</v>
      </c>
      <c r="M2085" t="str">
        <f t="shared" si="164"/>
        <v>Yes</v>
      </c>
      <c r="N2085" t="str">
        <f t="shared" si="163"/>
        <v>Yes</v>
      </c>
    </row>
    <row r="2086" spans="1:14" x14ac:dyDescent="0.3">
      <c r="A2086" s="2" t="s">
        <v>4189</v>
      </c>
      <c r="B2086" s="2" t="s">
        <v>4190</v>
      </c>
      <c r="C2086" s="2" t="s">
        <v>21</v>
      </c>
      <c r="D2086" s="3">
        <v>45974</v>
      </c>
      <c r="E2086" s="3">
        <v>45980</v>
      </c>
      <c r="F2086" s="3">
        <v>45980</v>
      </c>
      <c r="G2086" s="2" t="s">
        <v>22</v>
      </c>
      <c r="H2086" s="2">
        <v>43</v>
      </c>
      <c r="I2086" s="2">
        <v>43</v>
      </c>
      <c r="J2086">
        <f t="shared" si="160"/>
        <v>6</v>
      </c>
      <c r="K2086">
        <f t="shared" si="161"/>
        <v>0</v>
      </c>
      <c r="L2086" t="str">
        <f t="shared" si="162"/>
        <v>Yes</v>
      </c>
      <c r="M2086" t="str">
        <f t="shared" si="164"/>
        <v>Yes</v>
      </c>
      <c r="N2086" t="str">
        <f t="shared" si="163"/>
        <v>Yes</v>
      </c>
    </row>
    <row r="2087" spans="1:14" x14ac:dyDescent="0.3">
      <c r="A2087" s="4" t="s">
        <v>4191</v>
      </c>
      <c r="B2087" s="4" t="s">
        <v>4192</v>
      </c>
      <c r="C2087" s="4" t="s">
        <v>21</v>
      </c>
      <c r="D2087" s="5">
        <v>45972</v>
      </c>
      <c r="E2087" s="5">
        <v>45979</v>
      </c>
      <c r="F2087" s="5">
        <v>45982</v>
      </c>
      <c r="G2087" s="4" t="s">
        <v>22</v>
      </c>
      <c r="H2087" s="4">
        <v>18</v>
      </c>
      <c r="I2087" s="2">
        <v>18</v>
      </c>
      <c r="J2087">
        <f t="shared" si="160"/>
        <v>10</v>
      </c>
      <c r="K2087">
        <f t="shared" si="161"/>
        <v>3</v>
      </c>
      <c r="L2087" t="str">
        <f t="shared" si="162"/>
        <v>No</v>
      </c>
      <c r="M2087" t="str">
        <f t="shared" si="164"/>
        <v>Yes</v>
      </c>
      <c r="N2087" t="str">
        <f t="shared" si="163"/>
        <v>No</v>
      </c>
    </row>
    <row r="2088" spans="1:14" x14ac:dyDescent="0.3">
      <c r="A2088" s="2" t="s">
        <v>4193</v>
      </c>
      <c r="B2088" s="2" t="s">
        <v>4194</v>
      </c>
      <c r="C2088" s="2" t="s">
        <v>27</v>
      </c>
      <c r="D2088" s="3">
        <v>45974</v>
      </c>
      <c r="E2088" s="3">
        <v>45979</v>
      </c>
      <c r="F2088" s="3">
        <v>45989</v>
      </c>
      <c r="G2088" s="2" t="s">
        <v>18</v>
      </c>
      <c r="H2088" s="2">
        <v>45</v>
      </c>
      <c r="I2088" s="2">
        <v>45</v>
      </c>
      <c r="J2088">
        <f t="shared" si="160"/>
        <v>15</v>
      </c>
      <c r="K2088">
        <f t="shared" si="161"/>
        <v>10</v>
      </c>
      <c r="L2088" t="str">
        <f t="shared" si="162"/>
        <v>No</v>
      </c>
      <c r="M2088" t="str">
        <f t="shared" si="164"/>
        <v>Yes</v>
      </c>
      <c r="N2088" t="str">
        <f t="shared" si="163"/>
        <v>No</v>
      </c>
    </row>
    <row r="2089" spans="1:14" x14ac:dyDescent="0.3">
      <c r="A2089" s="4" t="s">
        <v>4195</v>
      </c>
      <c r="B2089" s="4" t="s">
        <v>4196</v>
      </c>
      <c r="C2089" s="4" t="s">
        <v>27</v>
      </c>
      <c r="D2089" s="5">
        <v>45972</v>
      </c>
      <c r="E2089" s="5">
        <v>45978</v>
      </c>
      <c r="F2089" s="5">
        <v>45985</v>
      </c>
      <c r="G2089" s="4" t="s">
        <v>18</v>
      </c>
      <c r="H2089" s="4">
        <v>10</v>
      </c>
      <c r="I2089" s="2">
        <v>10</v>
      </c>
      <c r="J2089">
        <f t="shared" si="160"/>
        <v>13</v>
      </c>
      <c r="K2089">
        <f t="shared" si="161"/>
        <v>7</v>
      </c>
      <c r="L2089" t="str">
        <f t="shared" si="162"/>
        <v>No</v>
      </c>
      <c r="M2089" t="str">
        <f t="shared" si="164"/>
        <v>Yes</v>
      </c>
      <c r="N2089" t="str">
        <f t="shared" si="163"/>
        <v>No</v>
      </c>
    </row>
    <row r="2090" spans="1:14" x14ac:dyDescent="0.3">
      <c r="A2090" s="2" t="s">
        <v>4197</v>
      </c>
      <c r="B2090" s="2" t="s">
        <v>4198</v>
      </c>
      <c r="C2090" s="2" t="s">
        <v>37</v>
      </c>
      <c r="D2090" s="3">
        <v>45973</v>
      </c>
      <c r="E2090" s="3">
        <v>45979</v>
      </c>
      <c r="F2090" s="3">
        <v>45990</v>
      </c>
      <c r="G2090" s="2" t="s">
        <v>15</v>
      </c>
      <c r="H2090" s="2">
        <v>23</v>
      </c>
      <c r="I2090" s="2">
        <v>23</v>
      </c>
      <c r="J2090">
        <f t="shared" si="160"/>
        <v>17</v>
      </c>
      <c r="K2090">
        <f t="shared" si="161"/>
        <v>11</v>
      </c>
      <c r="L2090" t="str">
        <f t="shared" si="162"/>
        <v>No</v>
      </c>
      <c r="M2090" t="str">
        <f t="shared" si="164"/>
        <v>Yes</v>
      </c>
      <c r="N2090" t="str">
        <f t="shared" si="163"/>
        <v>No</v>
      </c>
    </row>
    <row r="2091" spans="1:14" x14ac:dyDescent="0.3">
      <c r="A2091" s="4" t="s">
        <v>4199</v>
      </c>
      <c r="B2091" s="4" t="s">
        <v>4200</v>
      </c>
      <c r="C2091" s="4" t="s">
        <v>34</v>
      </c>
      <c r="D2091" s="5">
        <v>45973</v>
      </c>
      <c r="E2091" s="5">
        <v>45978</v>
      </c>
      <c r="F2091" s="5">
        <v>45984</v>
      </c>
      <c r="G2091" s="4" t="s">
        <v>18</v>
      </c>
      <c r="H2091" s="4">
        <v>43</v>
      </c>
      <c r="I2091" s="2">
        <v>43</v>
      </c>
      <c r="J2091">
        <f t="shared" si="160"/>
        <v>11</v>
      </c>
      <c r="K2091">
        <f t="shared" si="161"/>
        <v>6</v>
      </c>
      <c r="L2091" t="str">
        <f t="shared" si="162"/>
        <v>No</v>
      </c>
      <c r="M2091" t="str">
        <f t="shared" si="164"/>
        <v>Yes</v>
      </c>
      <c r="N2091" t="str">
        <f t="shared" si="163"/>
        <v>No</v>
      </c>
    </row>
    <row r="2092" spans="1:14" x14ac:dyDescent="0.3">
      <c r="A2092" s="2" t="s">
        <v>4201</v>
      </c>
      <c r="B2092" s="2" t="s">
        <v>4202</v>
      </c>
      <c r="C2092" s="2" t="s">
        <v>72</v>
      </c>
      <c r="D2092" s="3">
        <v>45974</v>
      </c>
      <c r="E2092" s="3">
        <v>45978</v>
      </c>
      <c r="F2092" s="3">
        <v>45990</v>
      </c>
      <c r="G2092" s="2" t="s">
        <v>22</v>
      </c>
      <c r="H2092" s="2">
        <v>15</v>
      </c>
      <c r="I2092" s="2">
        <v>15</v>
      </c>
      <c r="J2092">
        <f t="shared" si="160"/>
        <v>16</v>
      </c>
      <c r="K2092">
        <f t="shared" si="161"/>
        <v>12</v>
      </c>
      <c r="L2092" t="str">
        <f t="shared" si="162"/>
        <v>No</v>
      </c>
      <c r="M2092" t="str">
        <f t="shared" si="164"/>
        <v>Yes</v>
      </c>
      <c r="N2092" t="str">
        <f t="shared" si="163"/>
        <v>No</v>
      </c>
    </row>
    <row r="2093" spans="1:14" x14ac:dyDescent="0.3">
      <c r="A2093" s="4" t="s">
        <v>4203</v>
      </c>
      <c r="B2093" s="4" t="s">
        <v>4204</v>
      </c>
      <c r="C2093" s="4" t="s">
        <v>59</v>
      </c>
      <c r="D2093" s="5">
        <v>45974</v>
      </c>
      <c r="E2093" s="5">
        <v>45976</v>
      </c>
      <c r="F2093" s="5">
        <v>45977</v>
      </c>
      <c r="G2093" s="4" t="s">
        <v>11</v>
      </c>
      <c r="H2093" s="4">
        <v>21</v>
      </c>
      <c r="I2093" s="2">
        <v>21</v>
      </c>
      <c r="J2093">
        <f t="shared" si="160"/>
        <v>3</v>
      </c>
      <c r="K2093">
        <f t="shared" si="161"/>
        <v>1</v>
      </c>
      <c r="L2093" t="str">
        <f t="shared" si="162"/>
        <v>No</v>
      </c>
      <c r="M2093" t="str">
        <f t="shared" si="164"/>
        <v>Yes</v>
      </c>
      <c r="N2093" t="str">
        <f t="shared" si="163"/>
        <v>No</v>
      </c>
    </row>
    <row r="2094" spans="1:14" x14ac:dyDescent="0.3">
      <c r="A2094" s="2" t="s">
        <v>4205</v>
      </c>
      <c r="B2094" s="2" t="s">
        <v>4206</v>
      </c>
      <c r="C2094" s="2" t="s">
        <v>14</v>
      </c>
      <c r="D2094" s="3">
        <v>45974</v>
      </c>
      <c r="E2094" s="3">
        <v>45976</v>
      </c>
      <c r="F2094" s="3">
        <v>45990</v>
      </c>
      <c r="G2094" s="2" t="s">
        <v>15</v>
      </c>
      <c r="H2094" s="2">
        <v>35</v>
      </c>
      <c r="I2094" s="2">
        <v>41</v>
      </c>
      <c r="J2094">
        <f t="shared" si="160"/>
        <v>16</v>
      </c>
      <c r="K2094">
        <f t="shared" si="161"/>
        <v>14</v>
      </c>
      <c r="L2094" t="str">
        <f t="shared" si="162"/>
        <v>No</v>
      </c>
      <c r="M2094" t="str">
        <f t="shared" si="164"/>
        <v>No</v>
      </c>
      <c r="N2094" t="str">
        <f t="shared" si="163"/>
        <v>No</v>
      </c>
    </row>
    <row r="2095" spans="1:14" x14ac:dyDescent="0.3">
      <c r="A2095" s="4" t="s">
        <v>4207</v>
      </c>
      <c r="B2095" s="4" t="s">
        <v>4208</v>
      </c>
      <c r="C2095" s="4" t="s">
        <v>21</v>
      </c>
      <c r="D2095" s="5">
        <v>45975</v>
      </c>
      <c r="E2095" s="5">
        <v>45981</v>
      </c>
      <c r="F2095" s="5">
        <v>45983</v>
      </c>
      <c r="G2095" s="4" t="s">
        <v>22</v>
      </c>
      <c r="H2095" s="4">
        <v>49</v>
      </c>
      <c r="I2095" s="2">
        <v>49</v>
      </c>
      <c r="J2095">
        <f t="shared" si="160"/>
        <v>8</v>
      </c>
      <c r="K2095">
        <f t="shared" si="161"/>
        <v>2</v>
      </c>
      <c r="L2095" t="str">
        <f t="shared" si="162"/>
        <v>No</v>
      </c>
      <c r="M2095" t="str">
        <f t="shared" si="164"/>
        <v>Yes</v>
      </c>
      <c r="N2095" t="str">
        <f t="shared" si="163"/>
        <v>No</v>
      </c>
    </row>
    <row r="2096" spans="1:14" x14ac:dyDescent="0.3">
      <c r="A2096" s="2" t="s">
        <v>4209</v>
      </c>
      <c r="B2096" s="2" t="s">
        <v>4210</v>
      </c>
      <c r="C2096" s="2" t="s">
        <v>21</v>
      </c>
      <c r="D2096" s="3">
        <v>45973</v>
      </c>
      <c r="E2096" s="3">
        <v>45981</v>
      </c>
      <c r="F2096" s="3">
        <v>45979</v>
      </c>
      <c r="G2096" s="2" t="s">
        <v>22</v>
      </c>
      <c r="H2096" s="2">
        <v>47</v>
      </c>
      <c r="I2096" s="2">
        <v>47</v>
      </c>
      <c r="J2096">
        <f t="shared" si="160"/>
        <v>6</v>
      </c>
      <c r="K2096">
        <f t="shared" si="161"/>
        <v>-2</v>
      </c>
      <c r="L2096" t="str">
        <f t="shared" si="162"/>
        <v>Yes</v>
      </c>
      <c r="M2096" t="str">
        <f t="shared" si="164"/>
        <v>Yes</v>
      </c>
      <c r="N2096" t="str">
        <f t="shared" si="163"/>
        <v>Yes</v>
      </c>
    </row>
    <row r="2097" spans="1:14" x14ac:dyDescent="0.3">
      <c r="A2097" s="4" t="s">
        <v>4211</v>
      </c>
      <c r="B2097" s="4" t="s">
        <v>4212</v>
      </c>
      <c r="C2097" s="4" t="s">
        <v>27</v>
      </c>
      <c r="D2097" s="5">
        <v>45974</v>
      </c>
      <c r="E2097" s="5">
        <v>45977</v>
      </c>
      <c r="F2097" s="5">
        <v>45986</v>
      </c>
      <c r="G2097" s="4" t="s">
        <v>22</v>
      </c>
      <c r="H2097" s="4">
        <v>13</v>
      </c>
      <c r="I2097" s="2">
        <v>13</v>
      </c>
      <c r="J2097">
        <f t="shared" si="160"/>
        <v>12</v>
      </c>
      <c r="K2097">
        <f t="shared" si="161"/>
        <v>9</v>
      </c>
      <c r="L2097" t="str">
        <f t="shared" si="162"/>
        <v>No</v>
      </c>
      <c r="M2097" t="str">
        <f t="shared" si="164"/>
        <v>Yes</v>
      </c>
      <c r="N2097" t="str">
        <f t="shared" si="163"/>
        <v>No</v>
      </c>
    </row>
    <row r="2098" spans="1:14" x14ac:dyDescent="0.3">
      <c r="A2098" s="2" t="s">
        <v>4213</v>
      </c>
      <c r="B2098" s="2" t="s">
        <v>4214</v>
      </c>
      <c r="C2098" s="2" t="s">
        <v>37</v>
      </c>
      <c r="D2098" s="3">
        <v>45974</v>
      </c>
      <c r="E2098" s="3">
        <v>45983</v>
      </c>
      <c r="F2098" s="3">
        <v>45987</v>
      </c>
      <c r="G2098" s="2" t="s">
        <v>22</v>
      </c>
      <c r="H2098" s="2">
        <v>13</v>
      </c>
      <c r="I2098" s="2">
        <v>13</v>
      </c>
      <c r="J2098">
        <f t="shared" si="160"/>
        <v>13</v>
      </c>
      <c r="K2098">
        <f t="shared" si="161"/>
        <v>4</v>
      </c>
      <c r="L2098" t="str">
        <f t="shared" si="162"/>
        <v>No</v>
      </c>
      <c r="M2098" t="str">
        <f t="shared" si="164"/>
        <v>Yes</v>
      </c>
      <c r="N2098" t="str">
        <f t="shared" si="163"/>
        <v>No</v>
      </c>
    </row>
    <row r="2099" spans="1:14" x14ac:dyDescent="0.3">
      <c r="A2099" s="4" t="s">
        <v>4215</v>
      </c>
      <c r="B2099" s="4" t="s">
        <v>4216</v>
      </c>
      <c r="C2099" s="4" t="s">
        <v>72</v>
      </c>
      <c r="D2099" s="5">
        <v>45975</v>
      </c>
      <c r="E2099" s="5">
        <v>45980</v>
      </c>
      <c r="F2099" s="5">
        <v>45993</v>
      </c>
      <c r="G2099" s="4" t="s">
        <v>22</v>
      </c>
      <c r="H2099" s="4">
        <v>21</v>
      </c>
      <c r="I2099" s="2">
        <v>21</v>
      </c>
      <c r="J2099">
        <f t="shared" si="160"/>
        <v>18</v>
      </c>
      <c r="K2099">
        <f t="shared" si="161"/>
        <v>13</v>
      </c>
      <c r="L2099" t="str">
        <f t="shared" si="162"/>
        <v>No</v>
      </c>
      <c r="M2099" t="str">
        <f t="shared" si="164"/>
        <v>Yes</v>
      </c>
      <c r="N2099" t="str">
        <f t="shared" si="163"/>
        <v>No</v>
      </c>
    </row>
    <row r="2100" spans="1:14" x14ac:dyDescent="0.3">
      <c r="A2100" s="2" t="s">
        <v>4217</v>
      </c>
      <c r="B2100" s="2" t="s">
        <v>4218</v>
      </c>
      <c r="C2100" s="2" t="s">
        <v>10</v>
      </c>
      <c r="D2100" s="3">
        <v>45974</v>
      </c>
      <c r="E2100" s="3">
        <v>45984</v>
      </c>
      <c r="F2100" s="3">
        <v>45980</v>
      </c>
      <c r="G2100" s="2" t="s">
        <v>18</v>
      </c>
      <c r="H2100" s="2">
        <v>29</v>
      </c>
      <c r="I2100" s="2">
        <v>29</v>
      </c>
      <c r="J2100">
        <f t="shared" si="160"/>
        <v>6</v>
      </c>
      <c r="K2100">
        <f t="shared" si="161"/>
        <v>-4</v>
      </c>
      <c r="L2100" t="str">
        <f t="shared" si="162"/>
        <v>Yes</v>
      </c>
      <c r="M2100" t="str">
        <f t="shared" si="164"/>
        <v>Yes</v>
      </c>
      <c r="N2100" t="str">
        <f t="shared" si="163"/>
        <v>Yes</v>
      </c>
    </row>
    <row r="2101" spans="1:14" x14ac:dyDescent="0.3">
      <c r="A2101" s="4" t="s">
        <v>4219</v>
      </c>
      <c r="B2101" s="4" t="s">
        <v>4220</v>
      </c>
      <c r="C2101" s="4" t="s">
        <v>59</v>
      </c>
      <c r="D2101" s="5">
        <v>45975</v>
      </c>
      <c r="E2101" s="5">
        <v>45977</v>
      </c>
      <c r="F2101" s="5">
        <v>45979</v>
      </c>
      <c r="G2101" s="4" t="s">
        <v>22</v>
      </c>
      <c r="H2101" s="4">
        <v>20</v>
      </c>
      <c r="I2101" s="2">
        <v>20</v>
      </c>
      <c r="J2101">
        <f t="shared" si="160"/>
        <v>4</v>
      </c>
      <c r="K2101">
        <f t="shared" si="161"/>
        <v>2</v>
      </c>
      <c r="L2101" t="str">
        <f t="shared" si="162"/>
        <v>No</v>
      </c>
      <c r="M2101" t="str">
        <f t="shared" si="164"/>
        <v>Yes</v>
      </c>
      <c r="N2101" t="str">
        <f t="shared" si="163"/>
        <v>No</v>
      </c>
    </row>
    <row r="2102" spans="1:14" x14ac:dyDescent="0.3">
      <c r="A2102" s="2" t="s">
        <v>4221</v>
      </c>
      <c r="B2102" s="2" t="s">
        <v>4222</v>
      </c>
      <c r="C2102" s="2" t="s">
        <v>21</v>
      </c>
      <c r="D2102" s="3">
        <v>45974</v>
      </c>
      <c r="E2102" s="3">
        <v>45982</v>
      </c>
      <c r="F2102" s="3">
        <v>45980</v>
      </c>
      <c r="G2102" s="2" t="s">
        <v>11</v>
      </c>
      <c r="H2102" s="2">
        <v>82</v>
      </c>
      <c r="I2102" s="2">
        <v>82</v>
      </c>
      <c r="J2102">
        <f t="shared" si="160"/>
        <v>6</v>
      </c>
      <c r="K2102">
        <f t="shared" si="161"/>
        <v>-2</v>
      </c>
      <c r="L2102" t="str">
        <f t="shared" si="162"/>
        <v>Yes</v>
      </c>
      <c r="M2102" t="str">
        <f t="shared" si="164"/>
        <v>Yes</v>
      </c>
      <c r="N2102" t="str">
        <f t="shared" si="163"/>
        <v>Yes</v>
      </c>
    </row>
    <row r="2103" spans="1:14" x14ac:dyDescent="0.3">
      <c r="A2103" s="4" t="s">
        <v>4223</v>
      </c>
      <c r="B2103" s="4" t="s">
        <v>4224</v>
      </c>
      <c r="C2103" s="4" t="s">
        <v>21</v>
      </c>
      <c r="D2103" s="5">
        <v>45975</v>
      </c>
      <c r="E2103" s="5">
        <v>45979</v>
      </c>
      <c r="F2103" s="5">
        <v>45982</v>
      </c>
      <c r="G2103" s="4" t="s">
        <v>40</v>
      </c>
      <c r="H2103" s="4">
        <v>14</v>
      </c>
      <c r="I2103" s="2">
        <v>14</v>
      </c>
      <c r="J2103">
        <f t="shared" si="160"/>
        <v>7</v>
      </c>
      <c r="K2103">
        <f t="shared" si="161"/>
        <v>3</v>
      </c>
      <c r="L2103" t="str">
        <f t="shared" si="162"/>
        <v>No</v>
      </c>
      <c r="M2103" t="str">
        <f t="shared" si="164"/>
        <v>Yes</v>
      </c>
      <c r="N2103" t="str">
        <f t="shared" si="163"/>
        <v>No</v>
      </c>
    </row>
    <row r="2104" spans="1:14" x14ac:dyDescent="0.3">
      <c r="A2104" s="2" t="s">
        <v>4225</v>
      </c>
      <c r="B2104" s="2" t="s">
        <v>4226</v>
      </c>
      <c r="C2104" s="2" t="s">
        <v>27</v>
      </c>
      <c r="D2104" s="3">
        <v>45974</v>
      </c>
      <c r="E2104" s="3">
        <v>45980</v>
      </c>
      <c r="F2104" s="3">
        <v>45988</v>
      </c>
      <c r="G2104" s="2" t="s">
        <v>22</v>
      </c>
      <c r="H2104" s="2">
        <v>20</v>
      </c>
      <c r="I2104" s="2">
        <v>20</v>
      </c>
      <c r="J2104">
        <f t="shared" si="160"/>
        <v>14</v>
      </c>
      <c r="K2104">
        <f t="shared" si="161"/>
        <v>8</v>
      </c>
      <c r="L2104" t="str">
        <f t="shared" si="162"/>
        <v>No</v>
      </c>
      <c r="M2104" t="str">
        <f t="shared" si="164"/>
        <v>Yes</v>
      </c>
      <c r="N2104" t="str">
        <f t="shared" si="163"/>
        <v>No</v>
      </c>
    </row>
    <row r="2105" spans="1:14" x14ac:dyDescent="0.3">
      <c r="A2105" s="4" t="s">
        <v>4227</v>
      </c>
      <c r="B2105" s="4" t="s">
        <v>4228</v>
      </c>
      <c r="C2105" s="4" t="s">
        <v>34</v>
      </c>
      <c r="D2105" s="5">
        <v>45977</v>
      </c>
      <c r="E2105" s="5">
        <v>45979</v>
      </c>
      <c r="F2105" s="5">
        <v>45986</v>
      </c>
      <c r="G2105" s="4" t="s">
        <v>11</v>
      </c>
      <c r="H2105" s="4">
        <v>27</v>
      </c>
      <c r="I2105" s="2">
        <v>27</v>
      </c>
      <c r="J2105">
        <f t="shared" si="160"/>
        <v>9</v>
      </c>
      <c r="K2105">
        <f t="shared" si="161"/>
        <v>7</v>
      </c>
      <c r="L2105" t="str">
        <f t="shared" si="162"/>
        <v>No</v>
      </c>
      <c r="M2105" t="str">
        <f t="shared" si="164"/>
        <v>Yes</v>
      </c>
      <c r="N2105" t="str">
        <f t="shared" si="163"/>
        <v>No</v>
      </c>
    </row>
    <row r="2106" spans="1:14" x14ac:dyDescent="0.3">
      <c r="A2106" s="2" t="s">
        <v>4229</v>
      </c>
      <c r="B2106" s="2" t="s">
        <v>4230</v>
      </c>
      <c r="C2106" s="2" t="s">
        <v>34</v>
      </c>
      <c r="D2106" s="3">
        <v>45976</v>
      </c>
      <c r="E2106" s="3">
        <v>45980</v>
      </c>
      <c r="F2106" s="3">
        <v>45983</v>
      </c>
      <c r="G2106" s="2" t="s">
        <v>40</v>
      </c>
      <c r="H2106" s="2">
        <v>27</v>
      </c>
      <c r="I2106" s="2">
        <v>27</v>
      </c>
      <c r="J2106">
        <f t="shared" si="160"/>
        <v>7</v>
      </c>
      <c r="K2106">
        <f t="shared" si="161"/>
        <v>3</v>
      </c>
      <c r="L2106" t="str">
        <f t="shared" si="162"/>
        <v>No</v>
      </c>
      <c r="M2106" t="str">
        <f t="shared" si="164"/>
        <v>Yes</v>
      </c>
      <c r="N2106" t="str">
        <f t="shared" si="163"/>
        <v>No</v>
      </c>
    </row>
    <row r="2107" spans="1:14" x14ac:dyDescent="0.3">
      <c r="A2107" s="4" t="s">
        <v>4231</v>
      </c>
      <c r="B2107" s="4" t="s">
        <v>4232</v>
      </c>
      <c r="C2107" s="4" t="s">
        <v>37</v>
      </c>
      <c r="D2107" s="5">
        <v>45977</v>
      </c>
      <c r="E2107" s="5">
        <v>45982</v>
      </c>
      <c r="F2107" s="5">
        <v>45992</v>
      </c>
      <c r="G2107" s="4" t="s">
        <v>18</v>
      </c>
      <c r="H2107" s="4">
        <v>27</v>
      </c>
      <c r="I2107" s="2">
        <v>34</v>
      </c>
      <c r="J2107">
        <f t="shared" si="160"/>
        <v>15</v>
      </c>
      <c r="K2107">
        <f t="shared" si="161"/>
        <v>10</v>
      </c>
      <c r="L2107" t="str">
        <f t="shared" si="162"/>
        <v>No</v>
      </c>
      <c r="M2107" t="str">
        <f t="shared" si="164"/>
        <v>No</v>
      </c>
      <c r="N2107" t="str">
        <f t="shared" si="163"/>
        <v>No</v>
      </c>
    </row>
    <row r="2108" spans="1:14" x14ac:dyDescent="0.3">
      <c r="A2108" s="2" t="s">
        <v>4233</v>
      </c>
      <c r="B2108" s="2" t="s">
        <v>4234</v>
      </c>
      <c r="C2108" s="2" t="s">
        <v>72</v>
      </c>
      <c r="D2108" s="3">
        <v>45976</v>
      </c>
      <c r="E2108" s="3">
        <v>45985</v>
      </c>
      <c r="F2108" s="3">
        <v>45990</v>
      </c>
      <c r="G2108" s="2" t="s">
        <v>15</v>
      </c>
      <c r="H2108" s="2">
        <v>17</v>
      </c>
      <c r="I2108" s="2">
        <v>17</v>
      </c>
      <c r="J2108">
        <f t="shared" si="160"/>
        <v>14</v>
      </c>
      <c r="K2108">
        <f t="shared" si="161"/>
        <v>5</v>
      </c>
      <c r="L2108" t="str">
        <f t="shared" si="162"/>
        <v>No</v>
      </c>
      <c r="M2108" t="str">
        <f t="shared" si="164"/>
        <v>Yes</v>
      </c>
      <c r="N2108" t="str">
        <f t="shared" si="163"/>
        <v>No</v>
      </c>
    </row>
    <row r="2109" spans="1:14" x14ac:dyDescent="0.3">
      <c r="A2109" s="4" t="s">
        <v>4235</v>
      </c>
      <c r="B2109" s="4" t="s">
        <v>4236</v>
      </c>
      <c r="C2109" s="4" t="s">
        <v>14</v>
      </c>
      <c r="D2109" s="5">
        <v>45977</v>
      </c>
      <c r="E2109" s="5">
        <v>45985</v>
      </c>
      <c r="F2109" s="5">
        <v>45992</v>
      </c>
      <c r="G2109" s="4" t="s">
        <v>40</v>
      </c>
      <c r="H2109" s="4">
        <v>21</v>
      </c>
      <c r="I2109" s="2">
        <v>22</v>
      </c>
      <c r="J2109">
        <f t="shared" si="160"/>
        <v>15</v>
      </c>
      <c r="K2109">
        <f t="shared" si="161"/>
        <v>7</v>
      </c>
      <c r="L2109" t="str">
        <f t="shared" si="162"/>
        <v>No</v>
      </c>
      <c r="M2109" t="str">
        <f t="shared" si="164"/>
        <v>No</v>
      </c>
      <c r="N2109" t="str">
        <f t="shared" si="163"/>
        <v>No</v>
      </c>
    </row>
    <row r="2110" spans="1:14" x14ac:dyDescent="0.3">
      <c r="A2110" s="2" t="s">
        <v>4237</v>
      </c>
      <c r="B2110" s="2" t="s">
        <v>4238</v>
      </c>
      <c r="C2110" s="2" t="s">
        <v>14</v>
      </c>
      <c r="D2110" s="3">
        <v>45977</v>
      </c>
      <c r="E2110" s="3">
        <v>45978</v>
      </c>
      <c r="F2110" s="3">
        <v>45991</v>
      </c>
      <c r="G2110" s="2" t="s">
        <v>18</v>
      </c>
      <c r="H2110" s="2">
        <v>85</v>
      </c>
      <c r="I2110" s="2">
        <v>85</v>
      </c>
      <c r="J2110">
        <f t="shared" si="160"/>
        <v>14</v>
      </c>
      <c r="K2110">
        <f t="shared" si="161"/>
        <v>13</v>
      </c>
      <c r="L2110" t="str">
        <f t="shared" si="162"/>
        <v>No</v>
      </c>
      <c r="M2110" t="str">
        <f t="shared" si="164"/>
        <v>Yes</v>
      </c>
      <c r="N2110" t="str">
        <f t="shared" si="163"/>
        <v>No</v>
      </c>
    </row>
    <row r="2111" spans="1:14" x14ac:dyDescent="0.3">
      <c r="A2111" s="4" t="s">
        <v>4239</v>
      </c>
      <c r="B2111" s="4" t="s">
        <v>4240</v>
      </c>
      <c r="C2111" s="4" t="s">
        <v>59</v>
      </c>
      <c r="D2111" s="5">
        <v>45976</v>
      </c>
      <c r="E2111" s="5">
        <v>45981</v>
      </c>
      <c r="F2111" s="5">
        <v>45982</v>
      </c>
      <c r="G2111" s="4" t="s">
        <v>22</v>
      </c>
      <c r="H2111" s="4">
        <v>25</v>
      </c>
      <c r="I2111" s="2">
        <v>27</v>
      </c>
      <c r="J2111">
        <f t="shared" si="160"/>
        <v>6</v>
      </c>
      <c r="K2111">
        <f t="shared" si="161"/>
        <v>1</v>
      </c>
      <c r="L2111" t="str">
        <f t="shared" si="162"/>
        <v>No</v>
      </c>
      <c r="M2111" t="str">
        <f t="shared" si="164"/>
        <v>No</v>
      </c>
      <c r="N2111" t="str">
        <f t="shared" si="163"/>
        <v>No</v>
      </c>
    </row>
    <row r="2112" spans="1:14" x14ac:dyDescent="0.3">
      <c r="A2112" s="2" t="s">
        <v>4241</v>
      </c>
      <c r="B2112" s="2" t="s">
        <v>4242</v>
      </c>
      <c r="C2112" s="2" t="s">
        <v>21</v>
      </c>
      <c r="D2112" s="3">
        <v>45977</v>
      </c>
      <c r="E2112" s="3">
        <v>45984</v>
      </c>
      <c r="F2112" s="3">
        <v>45983</v>
      </c>
      <c r="G2112" s="2" t="s">
        <v>18</v>
      </c>
      <c r="H2112" s="2">
        <v>43</v>
      </c>
      <c r="I2112" s="2">
        <v>43</v>
      </c>
      <c r="J2112">
        <f t="shared" si="160"/>
        <v>6</v>
      </c>
      <c r="K2112">
        <f t="shared" si="161"/>
        <v>-1</v>
      </c>
      <c r="L2112" t="str">
        <f t="shared" si="162"/>
        <v>Yes</v>
      </c>
      <c r="M2112" t="str">
        <f t="shared" si="164"/>
        <v>Yes</v>
      </c>
      <c r="N2112" t="str">
        <f t="shared" si="163"/>
        <v>Yes</v>
      </c>
    </row>
    <row r="2113" spans="1:14" x14ac:dyDescent="0.3">
      <c r="A2113" s="4" t="s">
        <v>4243</v>
      </c>
      <c r="B2113" s="4" t="s">
        <v>4244</v>
      </c>
      <c r="C2113" s="4" t="s">
        <v>27</v>
      </c>
      <c r="D2113" s="5">
        <v>45975</v>
      </c>
      <c r="E2113" s="5">
        <v>45983</v>
      </c>
      <c r="F2113" s="5">
        <v>45987</v>
      </c>
      <c r="G2113" s="4" t="s">
        <v>15</v>
      </c>
      <c r="H2113" s="4">
        <v>6</v>
      </c>
      <c r="I2113" s="2">
        <v>6</v>
      </c>
      <c r="J2113">
        <f t="shared" si="160"/>
        <v>12</v>
      </c>
      <c r="K2113">
        <f t="shared" si="161"/>
        <v>4</v>
      </c>
      <c r="L2113" t="str">
        <f t="shared" si="162"/>
        <v>No</v>
      </c>
      <c r="M2113" t="str">
        <f t="shared" si="164"/>
        <v>Yes</v>
      </c>
      <c r="N2113" t="str">
        <f t="shared" si="163"/>
        <v>No</v>
      </c>
    </row>
    <row r="2114" spans="1:14" x14ac:dyDescent="0.3">
      <c r="A2114" s="2" t="s">
        <v>4245</v>
      </c>
      <c r="B2114" s="2" t="s">
        <v>4246</v>
      </c>
      <c r="C2114" s="2" t="s">
        <v>34</v>
      </c>
      <c r="D2114" s="3">
        <v>45977</v>
      </c>
      <c r="E2114" s="3">
        <v>45980</v>
      </c>
      <c r="F2114" s="3">
        <v>45984</v>
      </c>
      <c r="G2114" s="2" t="s">
        <v>18</v>
      </c>
      <c r="H2114" s="2">
        <v>74</v>
      </c>
      <c r="I2114" s="2">
        <v>74</v>
      </c>
      <c r="J2114">
        <f t="shared" si="160"/>
        <v>7</v>
      </c>
      <c r="K2114">
        <f t="shared" si="161"/>
        <v>4</v>
      </c>
      <c r="L2114" t="str">
        <f t="shared" si="162"/>
        <v>No</v>
      </c>
      <c r="M2114" t="str">
        <f t="shared" si="164"/>
        <v>Yes</v>
      </c>
      <c r="N2114" t="str">
        <f t="shared" si="163"/>
        <v>No</v>
      </c>
    </row>
    <row r="2115" spans="1:14" x14ac:dyDescent="0.3">
      <c r="A2115" s="4" t="s">
        <v>4247</v>
      </c>
      <c r="B2115" s="4" t="s">
        <v>4248</v>
      </c>
      <c r="C2115" s="4" t="s">
        <v>10</v>
      </c>
      <c r="D2115" s="5">
        <v>45978</v>
      </c>
      <c r="E2115" s="5">
        <v>45981</v>
      </c>
      <c r="F2115" s="5">
        <v>45983</v>
      </c>
      <c r="G2115" s="4" t="s">
        <v>15</v>
      </c>
      <c r="H2115" s="4">
        <v>8</v>
      </c>
      <c r="I2115" s="2">
        <v>10</v>
      </c>
      <c r="J2115">
        <f t="shared" ref="J2115:J2178" si="165">F2115-D2115</f>
        <v>5</v>
      </c>
      <c r="K2115">
        <f t="shared" ref="K2115:K2178" si="166">F2115-E2115</f>
        <v>2</v>
      </c>
      <c r="L2115" t="str">
        <f t="shared" ref="L2115:L2178" si="167">IF(K2115&lt;=0,"Yes","No")</f>
        <v>No</v>
      </c>
      <c r="M2115" t="str">
        <f t="shared" si="164"/>
        <v>No</v>
      </c>
      <c r="N2115" t="str">
        <f t="shared" ref="N2115:N2178" si="168">IF(AND(L2115="Yes",M2115="Yes"),"Yes","No")</f>
        <v>No</v>
      </c>
    </row>
    <row r="2116" spans="1:14" x14ac:dyDescent="0.3">
      <c r="A2116" s="2" t="s">
        <v>4249</v>
      </c>
      <c r="B2116" s="2" t="s">
        <v>4250</v>
      </c>
      <c r="C2116" s="2" t="s">
        <v>59</v>
      </c>
      <c r="D2116" s="3">
        <v>45978</v>
      </c>
      <c r="E2116" s="3">
        <v>45982</v>
      </c>
      <c r="F2116" s="3">
        <v>45982</v>
      </c>
      <c r="G2116" s="2" t="s">
        <v>11</v>
      </c>
      <c r="H2116" s="2">
        <v>18</v>
      </c>
      <c r="I2116" s="2">
        <v>18</v>
      </c>
      <c r="J2116">
        <f t="shared" si="165"/>
        <v>4</v>
      </c>
      <c r="K2116">
        <f t="shared" si="166"/>
        <v>0</v>
      </c>
      <c r="L2116" t="str">
        <f t="shared" si="167"/>
        <v>Yes</v>
      </c>
      <c r="M2116" t="str">
        <f t="shared" ref="M2116:M2179" si="169">IF(H2116=I2116,"Yes","No")</f>
        <v>Yes</v>
      </c>
      <c r="N2116" t="str">
        <f t="shared" si="168"/>
        <v>Yes</v>
      </c>
    </row>
    <row r="2117" spans="1:14" x14ac:dyDescent="0.3">
      <c r="A2117" s="4" t="s">
        <v>4251</v>
      </c>
      <c r="B2117" s="4" t="s">
        <v>4252</v>
      </c>
      <c r="C2117" s="4" t="s">
        <v>59</v>
      </c>
      <c r="D2117" s="5">
        <v>45977</v>
      </c>
      <c r="E2117" s="5">
        <v>45979</v>
      </c>
      <c r="F2117" s="5">
        <v>45981</v>
      </c>
      <c r="G2117" s="4" t="s">
        <v>18</v>
      </c>
      <c r="H2117" s="4">
        <v>27</v>
      </c>
      <c r="I2117" s="2">
        <v>27</v>
      </c>
      <c r="J2117">
        <f t="shared" si="165"/>
        <v>4</v>
      </c>
      <c r="K2117">
        <f t="shared" si="166"/>
        <v>2</v>
      </c>
      <c r="L2117" t="str">
        <f t="shared" si="167"/>
        <v>No</v>
      </c>
      <c r="M2117" t="str">
        <f t="shared" si="169"/>
        <v>Yes</v>
      </c>
      <c r="N2117" t="str">
        <f t="shared" si="168"/>
        <v>No</v>
      </c>
    </row>
    <row r="2118" spans="1:14" x14ac:dyDescent="0.3">
      <c r="A2118" s="2" t="s">
        <v>4253</v>
      </c>
      <c r="B2118" s="2" t="s">
        <v>4254</v>
      </c>
      <c r="C2118" s="2" t="s">
        <v>21</v>
      </c>
      <c r="D2118" s="3">
        <v>45978</v>
      </c>
      <c r="E2118" s="3">
        <v>45986</v>
      </c>
      <c r="F2118" s="3">
        <v>45984</v>
      </c>
      <c r="G2118" s="2" t="s">
        <v>15</v>
      </c>
      <c r="H2118" s="2">
        <v>16</v>
      </c>
      <c r="I2118" s="2">
        <v>16</v>
      </c>
      <c r="J2118">
        <f t="shared" si="165"/>
        <v>6</v>
      </c>
      <c r="K2118">
        <f t="shared" si="166"/>
        <v>-2</v>
      </c>
      <c r="L2118" t="str">
        <f t="shared" si="167"/>
        <v>Yes</v>
      </c>
      <c r="M2118" t="str">
        <f t="shared" si="169"/>
        <v>Yes</v>
      </c>
      <c r="N2118" t="str">
        <f t="shared" si="168"/>
        <v>Yes</v>
      </c>
    </row>
    <row r="2119" spans="1:14" x14ac:dyDescent="0.3">
      <c r="A2119" s="4" t="s">
        <v>4255</v>
      </c>
      <c r="B2119" s="4" t="s">
        <v>4256</v>
      </c>
      <c r="C2119" s="4" t="s">
        <v>27</v>
      </c>
      <c r="D2119" s="5">
        <v>45978</v>
      </c>
      <c r="E2119" s="5">
        <v>45980</v>
      </c>
      <c r="F2119" s="5">
        <v>45991</v>
      </c>
      <c r="G2119" s="4" t="s">
        <v>40</v>
      </c>
      <c r="H2119" s="4">
        <v>4</v>
      </c>
      <c r="I2119" s="2">
        <v>4</v>
      </c>
      <c r="J2119">
        <f t="shared" si="165"/>
        <v>13</v>
      </c>
      <c r="K2119">
        <f t="shared" si="166"/>
        <v>11</v>
      </c>
      <c r="L2119" t="str">
        <f t="shared" si="167"/>
        <v>No</v>
      </c>
      <c r="M2119" t="str">
        <f t="shared" si="169"/>
        <v>Yes</v>
      </c>
      <c r="N2119" t="str">
        <f t="shared" si="168"/>
        <v>No</v>
      </c>
    </row>
    <row r="2120" spans="1:14" x14ac:dyDescent="0.3">
      <c r="A2120" s="2" t="s">
        <v>4257</v>
      </c>
      <c r="B2120" s="2" t="s">
        <v>4258</v>
      </c>
      <c r="C2120" s="2" t="s">
        <v>27</v>
      </c>
      <c r="D2120" s="3">
        <v>45978</v>
      </c>
      <c r="E2120" s="3">
        <v>45980</v>
      </c>
      <c r="F2120" s="3">
        <v>45993</v>
      </c>
      <c r="G2120" s="2" t="s">
        <v>18</v>
      </c>
      <c r="H2120" s="2">
        <v>11</v>
      </c>
      <c r="I2120" s="2">
        <v>11</v>
      </c>
      <c r="J2120">
        <f t="shared" si="165"/>
        <v>15</v>
      </c>
      <c r="K2120">
        <f t="shared" si="166"/>
        <v>13</v>
      </c>
      <c r="L2120" t="str">
        <f t="shared" si="167"/>
        <v>No</v>
      </c>
      <c r="M2120" t="str">
        <f t="shared" si="169"/>
        <v>Yes</v>
      </c>
      <c r="N2120" t="str">
        <f t="shared" si="168"/>
        <v>No</v>
      </c>
    </row>
    <row r="2121" spans="1:14" x14ac:dyDescent="0.3">
      <c r="A2121" s="4" t="s">
        <v>4259</v>
      </c>
      <c r="B2121" s="4" t="s">
        <v>4260</v>
      </c>
      <c r="C2121" s="4" t="s">
        <v>37</v>
      </c>
      <c r="D2121" s="5">
        <v>45978</v>
      </c>
      <c r="E2121" s="5">
        <v>45983</v>
      </c>
      <c r="F2121" s="5">
        <v>45991</v>
      </c>
      <c r="G2121" s="4" t="s">
        <v>40</v>
      </c>
      <c r="H2121" s="4">
        <v>35</v>
      </c>
      <c r="I2121" s="2">
        <v>35</v>
      </c>
      <c r="J2121">
        <f t="shared" si="165"/>
        <v>13</v>
      </c>
      <c r="K2121">
        <f t="shared" si="166"/>
        <v>8</v>
      </c>
      <c r="L2121" t="str">
        <f t="shared" si="167"/>
        <v>No</v>
      </c>
      <c r="M2121" t="str">
        <f t="shared" si="169"/>
        <v>Yes</v>
      </c>
      <c r="N2121" t="str">
        <f t="shared" si="168"/>
        <v>No</v>
      </c>
    </row>
    <row r="2122" spans="1:14" x14ac:dyDescent="0.3">
      <c r="A2122" s="2" t="s">
        <v>4261</v>
      </c>
      <c r="B2122" s="2" t="s">
        <v>4262</v>
      </c>
      <c r="C2122" s="2" t="s">
        <v>37</v>
      </c>
      <c r="D2122" s="3">
        <v>45978</v>
      </c>
      <c r="E2122" s="3">
        <v>45983</v>
      </c>
      <c r="F2122" s="3">
        <v>45995</v>
      </c>
      <c r="G2122" s="2" t="s">
        <v>11</v>
      </c>
      <c r="H2122" s="2">
        <v>37</v>
      </c>
      <c r="I2122" s="2">
        <v>37</v>
      </c>
      <c r="J2122">
        <f t="shared" si="165"/>
        <v>17</v>
      </c>
      <c r="K2122">
        <f t="shared" si="166"/>
        <v>12</v>
      </c>
      <c r="L2122" t="str">
        <f t="shared" si="167"/>
        <v>No</v>
      </c>
      <c r="M2122" t="str">
        <f t="shared" si="169"/>
        <v>Yes</v>
      </c>
      <c r="N2122" t="str">
        <f t="shared" si="168"/>
        <v>No</v>
      </c>
    </row>
    <row r="2123" spans="1:14" x14ac:dyDescent="0.3">
      <c r="A2123" s="4" t="s">
        <v>4263</v>
      </c>
      <c r="B2123" s="4" t="s">
        <v>4264</v>
      </c>
      <c r="C2123" s="4" t="s">
        <v>10</v>
      </c>
      <c r="D2123" s="5">
        <v>45977</v>
      </c>
      <c r="E2123" s="5">
        <v>45984</v>
      </c>
      <c r="F2123" s="5">
        <v>45984</v>
      </c>
      <c r="G2123" s="4" t="s">
        <v>11</v>
      </c>
      <c r="H2123" s="4">
        <v>28</v>
      </c>
      <c r="I2123" s="2">
        <v>28</v>
      </c>
      <c r="J2123">
        <f t="shared" si="165"/>
        <v>7</v>
      </c>
      <c r="K2123">
        <f t="shared" si="166"/>
        <v>0</v>
      </c>
      <c r="L2123" t="str">
        <f t="shared" si="167"/>
        <v>Yes</v>
      </c>
      <c r="M2123" t="str">
        <f t="shared" si="169"/>
        <v>Yes</v>
      </c>
      <c r="N2123" t="str">
        <f t="shared" si="168"/>
        <v>Yes</v>
      </c>
    </row>
    <row r="2124" spans="1:14" x14ac:dyDescent="0.3">
      <c r="A2124" s="2" t="s">
        <v>4265</v>
      </c>
      <c r="B2124" s="2" t="s">
        <v>4266</v>
      </c>
      <c r="C2124" s="2" t="s">
        <v>72</v>
      </c>
      <c r="D2124" s="3">
        <v>45978</v>
      </c>
      <c r="E2124" s="3">
        <v>45983</v>
      </c>
      <c r="F2124" s="3">
        <v>45993</v>
      </c>
      <c r="G2124" s="2" t="s">
        <v>40</v>
      </c>
      <c r="H2124" s="2">
        <v>15</v>
      </c>
      <c r="I2124" s="2">
        <v>15</v>
      </c>
      <c r="J2124">
        <f t="shared" si="165"/>
        <v>15</v>
      </c>
      <c r="K2124">
        <f t="shared" si="166"/>
        <v>10</v>
      </c>
      <c r="L2124" t="str">
        <f t="shared" si="167"/>
        <v>No</v>
      </c>
      <c r="M2124" t="str">
        <f t="shared" si="169"/>
        <v>Yes</v>
      </c>
      <c r="N2124" t="str">
        <f t="shared" si="168"/>
        <v>No</v>
      </c>
    </row>
    <row r="2125" spans="1:14" x14ac:dyDescent="0.3">
      <c r="A2125" s="4" t="s">
        <v>4267</v>
      </c>
      <c r="B2125" s="4" t="s">
        <v>4268</v>
      </c>
      <c r="C2125" s="4" t="s">
        <v>59</v>
      </c>
      <c r="D2125" s="5">
        <v>45977</v>
      </c>
      <c r="E2125" s="5">
        <v>45981</v>
      </c>
      <c r="F2125" s="5">
        <v>45980</v>
      </c>
      <c r="G2125" s="4" t="s">
        <v>40</v>
      </c>
      <c r="H2125" s="4">
        <v>18</v>
      </c>
      <c r="I2125" s="2">
        <v>24</v>
      </c>
      <c r="J2125">
        <f t="shared" si="165"/>
        <v>3</v>
      </c>
      <c r="K2125">
        <f t="shared" si="166"/>
        <v>-1</v>
      </c>
      <c r="L2125" t="str">
        <f t="shared" si="167"/>
        <v>Yes</v>
      </c>
      <c r="M2125" t="str">
        <f t="shared" si="169"/>
        <v>No</v>
      </c>
      <c r="N2125" t="str">
        <f t="shared" si="168"/>
        <v>No</v>
      </c>
    </row>
    <row r="2126" spans="1:14" x14ac:dyDescent="0.3">
      <c r="A2126" s="2" t="s">
        <v>4269</v>
      </c>
      <c r="B2126" s="2" t="s">
        <v>4270</v>
      </c>
      <c r="C2126" s="2" t="s">
        <v>21</v>
      </c>
      <c r="D2126" s="3">
        <v>45978</v>
      </c>
      <c r="E2126" s="3">
        <v>45983</v>
      </c>
      <c r="F2126" s="3">
        <v>45984</v>
      </c>
      <c r="G2126" s="2" t="s">
        <v>15</v>
      </c>
      <c r="H2126" s="2">
        <v>64</v>
      </c>
      <c r="I2126" s="2">
        <v>64</v>
      </c>
      <c r="J2126">
        <f t="shared" si="165"/>
        <v>6</v>
      </c>
      <c r="K2126">
        <f t="shared" si="166"/>
        <v>1</v>
      </c>
      <c r="L2126" t="str">
        <f t="shared" si="167"/>
        <v>No</v>
      </c>
      <c r="M2126" t="str">
        <f t="shared" si="169"/>
        <v>Yes</v>
      </c>
      <c r="N2126" t="str">
        <f t="shared" si="168"/>
        <v>No</v>
      </c>
    </row>
    <row r="2127" spans="1:14" x14ac:dyDescent="0.3">
      <c r="A2127" s="4" t="s">
        <v>4271</v>
      </c>
      <c r="B2127" s="4" t="s">
        <v>4272</v>
      </c>
      <c r="C2127" s="4" t="s">
        <v>27</v>
      </c>
      <c r="D2127" s="5">
        <v>45979</v>
      </c>
      <c r="E2127" s="5">
        <v>45986</v>
      </c>
      <c r="F2127" s="5">
        <v>45993</v>
      </c>
      <c r="G2127" s="4" t="s">
        <v>40</v>
      </c>
      <c r="H2127" s="4">
        <v>6</v>
      </c>
      <c r="I2127" s="2">
        <v>6</v>
      </c>
      <c r="J2127">
        <f t="shared" si="165"/>
        <v>14</v>
      </c>
      <c r="K2127">
        <f t="shared" si="166"/>
        <v>7</v>
      </c>
      <c r="L2127" t="str">
        <f t="shared" si="167"/>
        <v>No</v>
      </c>
      <c r="M2127" t="str">
        <f t="shared" si="169"/>
        <v>Yes</v>
      </c>
      <c r="N2127" t="str">
        <f t="shared" si="168"/>
        <v>No</v>
      </c>
    </row>
    <row r="2128" spans="1:14" x14ac:dyDescent="0.3">
      <c r="A2128" s="2" t="s">
        <v>4273</v>
      </c>
      <c r="B2128" s="2" t="s">
        <v>4274</v>
      </c>
      <c r="C2128" s="2" t="s">
        <v>72</v>
      </c>
      <c r="D2128" s="3">
        <v>45979</v>
      </c>
      <c r="E2128" s="3">
        <v>45982</v>
      </c>
      <c r="F2128" s="3">
        <v>45992</v>
      </c>
      <c r="G2128" s="2" t="s">
        <v>22</v>
      </c>
      <c r="H2128" s="2">
        <v>34</v>
      </c>
      <c r="I2128" s="2">
        <v>34</v>
      </c>
      <c r="J2128">
        <f t="shared" si="165"/>
        <v>13</v>
      </c>
      <c r="K2128">
        <f t="shared" si="166"/>
        <v>10</v>
      </c>
      <c r="L2128" t="str">
        <f t="shared" si="167"/>
        <v>No</v>
      </c>
      <c r="M2128" t="str">
        <f t="shared" si="169"/>
        <v>Yes</v>
      </c>
      <c r="N2128" t="str">
        <f t="shared" si="168"/>
        <v>No</v>
      </c>
    </row>
    <row r="2129" spans="1:14" x14ac:dyDescent="0.3">
      <c r="A2129" s="4" t="s">
        <v>4275</v>
      </c>
      <c r="B2129" s="4" t="s">
        <v>4276</v>
      </c>
      <c r="C2129" s="4" t="s">
        <v>59</v>
      </c>
      <c r="D2129" s="5">
        <v>45979</v>
      </c>
      <c r="E2129" s="5">
        <v>45987</v>
      </c>
      <c r="F2129" s="5">
        <v>45983</v>
      </c>
      <c r="G2129" s="4" t="s">
        <v>11</v>
      </c>
      <c r="H2129" s="4">
        <v>15</v>
      </c>
      <c r="I2129" s="2">
        <v>15</v>
      </c>
      <c r="J2129">
        <f t="shared" si="165"/>
        <v>4</v>
      </c>
      <c r="K2129">
        <f t="shared" si="166"/>
        <v>-4</v>
      </c>
      <c r="L2129" t="str">
        <f t="shared" si="167"/>
        <v>Yes</v>
      </c>
      <c r="M2129" t="str">
        <f t="shared" si="169"/>
        <v>Yes</v>
      </c>
      <c r="N2129" t="str">
        <f t="shared" si="168"/>
        <v>Yes</v>
      </c>
    </row>
    <row r="2130" spans="1:14" x14ac:dyDescent="0.3">
      <c r="A2130" s="2" t="s">
        <v>4277</v>
      </c>
      <c r="B2130" s="2" t="s">
        <v>4278</v>
      </c>
      <c r="C2130" s="2" t="s">
        <v>14</v>
      </c>
      <c r="D2130" s="3">
        <v>45979</v>
      </c>
      <c r="E2130" s="3">
        <v>45986</v>
      </c>
      <c r="F2130" s="3">
        <v>45993</v>
      </c>
      <c r="G2130" s="2" t="s">
        <v>22</v>
      </c>
      <c r="H2130" s="2">
        <v>50</v>
      </c>
      <c r="I2130" s="2">
        <v>50</v>
      </c>
      <c r="J2130">
        <f t="shared" si="165"/>
        <v>14</v>
      </c>
      <c r="K2130">
        <f t="shared" si="166"/>
        <v>7</v>
      </c>
      <c r="L2130" t="str">
        <f t="shared" si="167"/>
        <v>No</v>
      </c>
      <c r="M2130" t="str">
        <f t="shared" si="169"/>
        <v>Yes</v>
      </c>
      <c r="N2130" t="str">
        <f t="shared" si="168"/>
        <v>No</v>
      </c>
    </row>
    <row r="2131" spans="1:14" x14ac:dyDescent="0.3">
      <c r="A2131" s="4" t="s">
        <v>4279</v>
      </c>
      <c r="B2131" s="4" t="s">
        <v>4280</v>
      </c>
      <c r="C2131" s="4" t="s">
        <v>21</v>
      </c>
      <c r="D2131" s="5">
        <v>45978</v>
      </c>
      <c r="E2131" s="5">
        <v>45986</v>
      </c>
      <c r="F2131" s="5">
        <v>45983</v>
      </c>
      <c r="G2131" s="4" t="s">
        <v>18</v>
      </c>
      <c r="H2131" s="4">
        <v>41</v>
      </c>
      <c r="I2131" s="2">
        <v>41</v>
      </c>
      <c r="J2131">
        <f t="shared" si="165"/>
        <v>5</v>
      </c>
      <c r="K2131">
        <f t="shared" si="166"/>
        <v>-3</v>
      </c>
      <c r="L2131" t="str">
        <f t="shared" si="167"/>
        <v>Yes</v>
      </c>
      <c r="M2131" t="str">
        <f t="shared" si="169"/>
        <v>Yes</v>
      </c>
      <c r="N2131" t="str">
        <f t="shared" si="168"/>
        <v>Yes</v>
      </c>
    </row>
    <row r="2132" spans="1:14" x14ac:dyDescent="0.3">
      <c r="A2132" s="2" t="s">
        <v>4281</v>
      </c>
      <c r="B2132" s="2" t="s">
        <v>4282</v>
      </c>
      <c r="C2132" s="2" t="s">
        <v>21</v>
      </c>
      <c r="D2132" s="3">
        <v>45978</v>
      </c>
      <c r="E2132" s="3">
        <v>45984</v>
      </c>
      <c r="F2132" s="3">
        <v>45986</v>
      </c>
      <c r="G2132" s="2" t="s">
        <v>15</v>
      </c>
      <c r="H2132" s="2">
        <v>28</v>
      </c>
      <c r="I2132" s="2">
        <v>28</v>
      </c>
      <c r="J2132">
        <f t="shared" si="165"/>
        <v>8</v>
      </c>
      <c r="K2132">
        <f t="shared" si="166"/>
        <v>2</v>
      </c>
      <c r="L2132" t="str">
        <f t="shared" si="167"/>
        <v>No</v>
      </c>
      <c r="M2132" t="str">
        <f t="shared" si="169"/>
        <v>Yes</v>
      </c>
      <c r="N2132" t="str">
        <f t="shared" si="168"/>
        <v>No</v>
      </c>
    </row>
    <row r="2133" spans="1:14" x14ac:dyDescent="0.3">
      <c r="A2133" s="4" t="s">
        <v>4283</v>
      </c>
      <c r="B2133" s="4" t="s">
        <v>4284</v>
      </c>
      <c r="C2133" s="4" t="s">
        <v>27</v>
      </c>
      <c r="D2133" s="5">
        <v>45980</v>
      </c>
      <c r="E2133" s="5">
        <v>45986</v>
      </c>
      <c r="F2133" s="5">
        <v>45997</v>
      </c>
      <c r="G2133" s="4" t="s">
        <v>40</v>
      </c>
      <c r="H2133" s="4">
        <v>44</v>
      </c>
      <c r="I2133" s="2">
        <v>44</v>
      </c>
      <c r="J2133">
        <f t="shared" si="165"/>
        <v>17</v>
      </c>
      <c r="K2133">
        <f t="shared" si="166"/>
        <v>11</v>
      </c>
      <c r="L2133" t="str">
        <f t="shared" si="167"/>
        <v>No</v>
      </c>
      <c r="M2133" t="str">
        <f t="shared" si="169"/>
        <v>Yes</v>
      </c>
      <c r="N2133" t="str">
        <f t="shared" si="168"/>
        <v>No</v>
      </c>
    </row>
    <row r="2134" spans="1:14" x14ac:dyDescent="0.3">
      <c r="A2134" s="2" t="s">
        <v>4285</v>
      </c>
      <c r="B2134" s="2" t="s">
        <v>4286</v>
      </c>
      <c r="C2134" s="2" t="s">
        <v>27</v>
      </c>
      <c r="D2134" s="3">
        <v>45979</v>
      </c>
      <c r="E2134" s="3">
        <v>45987</v>
      </c>
      <c r="F2134" s="3">
        <v>45992</v>
      </c>
      <c r="G2134" s="2" t="s">
        <v>22</v>
      </c>
      <c r="H2134" s="2">
        <v>13</v>
      </c>
      <c r="I2134" s="2">
        <v>13</v>
      </c>
      <c r="J2134">
        <f t="shared" si="165"/>
        <v>13</v>
      </c>
      <c r="K2134">
        <f t="shared" si="166"/>
        <v>5</v>
      </c>
      <c r="L2134" t="str">
        <f t="shared" si="167"/>
        <v>No</v>
      </c>
      <c r="M2134" t="str">
        <f t="shared" si="169"/>
        <v>Yes</v>
      </c>
      <c r="N2134" t="str">
        <f t="shared" si="168"/>
        <v>No</v>
      </c>
    </row>
    <row r="2135" spans="1:14" x14ac:dyDescent="0.3">
      <c r="A2135" s="4" t="s">
        <v>4287</v>
      </c>
      <c r="B2135" s="4" t="s">
        <v>4288</v>
      </c>
      <c r="C2135" s="4" t="s">
        <v>37</v>
      </c>
      <c r="D2135" s="5">
        <v>45981</v>
      </c>
      <c r="E2135" s="5">
        <v>45988</v>
      </c>
      <c r="F2135" s="5">
        <v>45994</v>
      </c>
      <c r="G2135" s="4" t="s">
        <v>15</v>
      </c>
      <c r="H2135" s="4">
        <v>1</v>
      </c>
      <c r="I2135" s="2">
        <v>4</v>
      </c>
      <c r="J2135">
        <f t="shared" si="165"/>
        <v>13</v>
      </c>
      <c r="K2135">
        <f t="shared" si="166"/>
        <v>6</v>
      </c>
      <c r="L2135" t="str">
        <f t="shared" si="167"/>
        <v>No</v>
      </c>
      <c r="M2135" t="str">
        <f t="shared" si="169"/>
        <v>No</v>
      </c>
      <c r="N2135" t="str">
        <f t="shared" si="168"/>
        <v>No</v>
      </c>
    </row>
    <row r="2136" spans="1:14" x14ac:dyDescent="0.3">
      <c r="A2136" s="2" t="s">
        <v>4289</v>
      </c>
      <c r="B2136" s="2" t="s">
        <v>4290</v>
      </c>
      <c r="C2136" s="2" t="s">
        <v>72</v>
      </c>
      <c r="D2136" s="3">
        <v>45979</v>
      </c>
      <c r="E2136" s="3">
        <v>45987</v>
      </c>
      <c r="F2136" s="3">
        <v>45992</v>
      </c>
      <c r="G2136" s="2" t="s">
        <v>22</v>
      </c>
      <c r="H2136" s="2">
        <v>38</v>
      </c>
      <c r="I2136" s="2">
        <v>38</v>
      </c>
      <c r="J2136">
        <f t="shared" si="165"/>
        <v>13</v>
      </c>
      <c r="K2136">
        <f t="shared" si="166"/>
        <v>5</v>
      </c>
      <c r="L2136" t="str">
        <f t="shared" si="167"/>
        <v>No</v>
      </c>
      <c r="M2136" t="str">
        <f t="shared" si="169"/>
        <v>Yes</v>
      </c>
      <c r="N2136" t="str">
        <f t="shared" si="168"/>
        <v>No</v>
      </c>
    </row>
    <row r="2137" spans="1:14" x14ac:dyDescent="0.3">
      <c r="A2137" s="4" t="s">
        <v>4291</v>
      </c>
      <c r="B2137" s="4" t="s">
        <v>4292</v>
      </c>
      <c r="C2137" s="4" t="s">
        <v>59</v>
      </c>
      <c r="D2137" s="5">
        <v>45980</v>
      </c>
      <c r="E2137" s="5">
        <v>45984</v>
      </c>
      <c r="F2137" s="5">
        <v>45983</v>
      </c>
      <c r="G2137" s="4" t="s">
        <v>40</v>
      </c>
      <c r="H2137" s="4">
        <v>42</v>
      </c>
      <c r="I2137" s="2">
        <v>43</v>
      </c>
      <c r="J2137">
        <f t="shared" si="165"/>
        <v>3</v>
      </c>
      <c r="K2137">
        <f t="shared" si="166"/>
        <v>-1</v>
      </c>
      <c r="L2137" t="str">
        <f t="shared" si="167"/>
        <v>Yes</v>
      </c>
      <c r="M2137" t="str">
        <f t="shared" si="169"/>
        <v>No</v>
      </c>
      <c r="N2137" t="str">
        <f t="shared" si="168"/>
        <v>No</v>
      </c>
    </row>
    <row r="2138" spans="1:14" x14ac:dyDescent="0.3">
      <c r="A2138" s="2" t="s">
        <v>4293</v>
      </c>
      <c r="B2138" s="2" t="s">
        <v>4294</v>
      </c>
      <c r="C2138" s="2" t="s">
        <v>14</v>
      </c>
      <c r="D2138" s="3">
        <v>45979</v>
      </c>
      <c r="E2138" s="3">
        <v>45985</v>
      </c>
      <c r="F2138" s="3">
        <v>45994</v>
      </c>
      <c r="G2138" s="2" t="s">
        <v>11</v>
      </c>
      <c r="H2138" s="2">
        <v>17</v>
      </c>
      <c r="I2138" s="2">
        <v>17</v>
      </c>
      <c r="J2138">
        <f t="shared" si="165"/>
        <v>15</v>
      </c>
      <c r="K2138">
        <f t="shared" si="166"/>
        <v>9</v>
      </c>
      <c r="L2138" t="str">
        <f t="shared" si="167"/>
        <v>No</v>
      </c>
      <c r="M2138" t="str">
        <f t="shared" si="169"/>
        <v>Yes</v>
      </c>
      <c r="N2138" t="str">
        <f t="shared" si="168"/>
        <v>No</v>
      </c>
    </row>
    <row r="2139" spans="1:14" x14ac:dyDescent="0.3">
      <c r="A2139" s="4" t="s">
        <v>4295</v>
      </c>
      <c r="B2139" s="4" t="s">
        <v>4296</v>
      </c>
      <c r="C2139" s="4" t="s">
        <v>21</v>
      </c>
      <c r="D2139" s="5">
        <v>45979</v>
      </c>
      <c r="E2139" s="5">
        <v>45986</v>
      </c>
      <c r="F2139" s="5">
        <v>45987</v>
      </c>
      <c r="G2139" s="4" t="s">
        <v>11</v>
      </c>
      <c r="H2139" s="4">
        <v>50</v>
      </c>
      <c r="I2139" s="2">
        <v>50</v>
      </c>
      <c r="J2139">
        <f t="shared" si="165"/>
        <v>8</v>
      </c>
      <c r="K2139">
        <f t="shared" si="166"/>
        <v>1</v>
      </c>
      <c r="L2139" t="str">
        <f t="shared" si="167"/>
        <v>No</v>
      </c>
      <c r="M2139" t="str">
        <f t="shared" si="169"/>
        <v>Yes</v>
      </c>
      <c r="N2139" t="str">
        <f t="shared" si="168"/>
        <v>No</v>
      </c>
    </row>
    <row r="2140" spans="1:14" x14ac:dyDescent="0.3">
      <c r="A2140" s="2" t="s">
        <v>4297</v>
      </c>
      <c r="B2140" s="2" t="s">
        <v>4298</v>
      </c>
      <c r="C2140" s="2" t="s">
        <v>21</v>
      </c>
      <c r="D2140" s="3">
        <v>45981</v>
      </c>
      <c r="E2140" s="3">
        <v>45988</v>
      </c>
      <c r="F2140" s="3">
        <v>45989</v>
      </c>
      <c r="G2140" s="2" t="s">
        <v>15</v>
      </c>
      <c r="H2140" s="2">
        <v>21</v>
      </c>
      <c r="I2140" s="2">
        <v>21</v>
      </c>
      <c r="J2140">
        <f t="shared" si="165"/>
        <v>8</v>
      </c>
      <c r="K2140">
        <f t="shared" si="166"/>
        <v>1</v>
      </c>
      <c r="L2140" t="str">
        <f t="shared" si="167"/>
        <v>No</v>
      </c>
      <c r="M2140" t="str">
        <f t="shared" si="169"/>
        <v>Yes</v>
      </c>
      <c r="N2140" t="str">
        <f t="shared" si="168"/>
        <v>No</v>
      </c>
    </row>
    <row r="2141" spans="1:14" x14ac:dyDescent="0.3">
      <c r="A2141" s="4" t="s">
        <v>4299</v>
      </c>
      <c r="B2141" s="4" t="s">
        <v>4300</v>
      </c>
      <c r="C2141" s="4" t="s">
        <v>27</v>
      </c>
      <c r="D2141" s="5">
        <v>45981</v>
      </c>
      <c r="E2141" s="5">
        <v>45983</v>
      </c>
      <c r="F2141" s="5">
        <v>45998</v>
      </c>
      <c r="G2141" s="4" t="s">
        <v>15</v>
      </c>
      <c r="H2141" s="4">
        <v>8</v>
      </c>
      <c r="I2141" s="2">
        <v>8</v>
      </c>
      <c r="J2141">
        <f t="shared" si="165"/>
        <v>17</v>
      </c>
      <c r="K2141">
        <f t="shared" si="166"/>
        <v>15</v>
      </c>
      <c r="L2141" t="str">
        <f t="shared" si="167"/>
        <v>No</v>
      </c>
      <c r="M2141" t="str">
        <f t="shared" si="169"/>
        <v>Yes</v>
      </c>
      <c r="N2141" t="str">
        <f t="shared" si="168"/>
        <v>No</v>
      </c>
    </row>
    <row r="2142" spans="1:14" x14ac:dyDescent="0.3">
      <c r="A2142" s="2" t="s">
        <v>4301</v>
      </c>
      <c r="B2142" s="2" t="s">
        <v>4302</v>
      </c>
      <c r="C2142" s="2" t="s">
        <v>37</v>
      </c>
      <c r="D2142" s="3">
        <v>45982</v>
      </c>
      <c r="E2142" s="3">
        <v>45986</v>
      </c>
      <c r="F2142" s="3">
        <v>45996</v>
      </c>
      <c r="G2142" s="2" t="s">
        <v>15</v>
      </c>
      <c r="H2142" s="2">
        <v>13</v>
      </c>
      <c r="I2142" s="2">
        <v>13</v>
      </c>
      <c r="J2142">
        <f t="shared" si="165"/>
        <v>14</v>
      </c>
      <c r="K2142">
        <f t="shared" si="166"/>
        <v>10</v>
      </c>
      <c r="L2142" t="str">
        <f t="shared" si="167"/>
        <v>No</v>
      </c>
      <c r="M2142" t="str">
        <f t="shared" si="169"/>
        <v>Yes</v>
      </c>
      <c r="N2142" t="str">
        <f t="shared" si="168"/>
        <v>No</v>
      </c>
    </row>
    <row r="2143" spans="1:14" x14ac:dyDescent="0.3">
      <c r="A2143" s="4" t="s">
        <v>4303</v>
      </c>
      <c r="B2143" s="4" t="s">
        <v>4304</v>
      </c>
      <c r="C2143" s="4" t="s">
        <v>37</v>
      </c>
      <c r="D2143" s="5">
        <v>45981</v>
      </c>
      <c r="E2143" s="5">
        <v>45987</v>
      </c>
      <c r="F2143" s="5">
        <v>45994</v>
      </c>
      <c r="G2143" s="4" t="s">
        <v>15</v>
      </c>
      <c r="H2143" s="4">
        <v>42</v>
      </c>
      <c r="I2143" s="2">
        <v>42</v>
      </c>
      <c r="J2143">
        <f t="shared" si="165"/>
        <v>13</v>
      </c>
      <c r="K2143">
        <f t="shared" si="166"/>
        <v>7</v>
      </c>
      <c r="L2143" t="str">
        <f t="shared" si="167"/>
        <v>No</v>
      </c>
      <c r="M2143" t="str">
        <f t="shared" si="169"/>
        <v>Yes</v>
      </c>
      <c r="N2143" t="str">
        <f t="shared" si="168"/>
        <v>No</v>
      </c>
    </row>
    <row r="2144" spans="1:14" x14ac:dyDescent="0.3">
      <c r="A2144" s="2" t="s">
        <v>4305</v>
      </c>
      <c r="B2144" s="2" t="s">
        <v>4306</v>
      </c>
      <c r="C2144" s="2" t="s">
        <v>72</v>
      </c>
      <c r="D2144" s="3">
        <v>45981</v>
      </c>
      <c r="E2144" s="3">
        <v>45984</v>
      </c>
      <c r="F2144" s="3">
        <v>45995</v>
      </c>
      <c r="G2144" s="2" t="s">
        <v>15</v>
      </c>
      <c r="H2144" s="2">
        <v>14</v>
      </c>
      <c r="I2144" s="2">
        <v>14</v>
      </c>
      <c r="J2144">
        <f t="shared" si="165"/>
        <v>14</v>
      </c>
      <c r="K2144">
        <f t="shared" si="166"/>
        <v>11</v>
      </c>
      <c r="L2144" t="str">
        <f t="shared" si="167"/>
        <v>No</v>
      </c>
      <c r="M2144" t="str">
        <f t="shared" si="169"/>
        <v>Yes</v>
      </c>
      <c r="N2144" t="str">
        <f t="shared" si="168"/>
        <v>No</v>
      </c>
    </row>
    <row r="2145" spans="1:14" x14ac:dyDescent="0.3">
      <c r="A2145" s="4" t="s">
        <v>4307</v>
      </c>
      <c r="B2145" s="4" t="s">
        <v>4308</v>
      </c>
      <c r="C2145" s="4" t="s">
        <v>72</v>
      </c>
      <c r="D2145" s="5">
        <v>45980</v>
      </c>
      <c r="E2145" s="5">
        <v>45988</v>
      </c>
      <c r="F2145" s="5">
        <v>45995</v>
      </c>
      <c r="G2145" s="4" t="s">
        <v>15</v>
      </c>
      <c r="H2145" s="4">
        <v>25</v>
      </c>
      <c r="I2145" s="2">
        <v>25</v>
      </c>
      <c r="J2145">
        <f t="shared" si="165"/>
        <v>15</v>
      </c>
      <c r="K2145">
        <f t="shared" si="166"/>
        <v>7</v>
      </c>
      <c r="L2145" t="str">
        <f t="shared" si="167"/>
        <v>No</v>
      </c>
      <c r="M2145" t="str">
        <f t="shared" si="169"/>
        <v>Yes</v>
      </c>
      <c r="N2145" t="str">
        <f t="shared" si="168"/>
        <v>No</v>
      </c>
    </row>
    <row r="2146" spans="1:14" x14ac:dyDescent="0.3">
      <c r="A2146" s="2" t="s">
        <v>4309</v>
      </c>
      <c r="B2146" s="2" t="s">
        <v>4310</v>
      </c>
      <c r="C2146" s="2" t="s">
        <v>59</v>
      </c>
      <c r="D2146" s="3">
        <v>45980</v>
      </c>
      <c r="E2146" s="3">
        <v>45990</v>
      </c>
      <c r="F2146" s="3">
        <v>45984</v>
      </c>
      <c r="G2146" s="2" t="s">
        <v>22</v>
      </c>
      <c r="H2146" s="2">
        <v>19</v>
      </c>
      <c r="I2146" s="2">
        <v>19</v>
      </c>
      <c r="J2146">
        <f t="shared" si="165"/>
        <v>4</v>
      </c>
      <c r="K2146">
        <f t="shared" si="166"/>
        <v>-6</v>
      </c>
      <c r="L2146" t="str">
        <f t="shared" si="167"/>
        <v>Yes</v>
      </c>
      <c r="M2146" t="str">
        <f t="shared" si="169"/>
        <v>Yes</v>
      </c>
      <c r="N2146" t="str">
        <f t="shared" si="168"/>
        <v>Yes</v>
      </c>
    </row>
    <row r="2147" spans="1:14" x14ac:dyDescent="0.3">
      <c r="A2147" s="4" t="s">
        <v>4311</v>
      </c>
      <c r="B2147" s="4" t="s">
        <v>4312</v>
      </c>
      <c r="C2147" s="4" t="s">
        <v>59</v>
      </c>
      <c r="D2147" s="5">
        <v>45982</v>
      </c>
      <c r="E2147" s="5">
        <v>45988</v>
      </c>
      <c r="F2147" s="5">
        <v>45988</v>
      </c>
      <c r="G2147" s="4" t="s">
        <v>40</v>
      </c>
      <c r="H2147" s="4">
        <v>49</v>
      </c>
      <c r="I2147" s="2">
        <v>49</v>
      </c>
      <c r="J2147">
        <f t="shared" si="165"/>
        <v>6</v>
      </c>
      <c r="K2147">
        <f t="shared" si="166"/>
        <v>0</v>
      </c>
      <c r="L2147" t="str">
        <f t="shared" si="167"/>
        <v>Yes</v>
      </c>
      <c r="M2147" t="str">
        <f t="shared" si="169"/>
        <v>Yes</v>
      </c>
      <c r="N2147" t="str">
        <f t="shared" si="168"/>
        <v>Yes</v>
      </c>
    </row>
    <row r="2148" spans="1:14" x14ac:dyDescent="0.3">
      <c r="A2148" s="2" t="s">
        <v>4313</v>
      </c>
      <c r="B2148" s="2" t="s">
        <v>4314</v>
      </c>
      <c r="C2148" s="2" t="s">
        <v>27</v>
      </c>
      <c r="D2148" s="3">
        <v>45980</v>
      </c>
      <c r="E2148" s="3">
        <v>45986</v>
      </c>
      <c r="F2148" s="3">
        <v>45995</v>
      </c>
      <c r="G2148" s="2" t="s">
        <v>11</v>
      </c>
      <c r="H2148" s="2">
        <v>5</v>
      </c>
      <c r="I2148" s="2">
        <v>5</v>
      </c>
      <c r="J2148">
        <f t="shared" si="165"/>
        <v>15</v>
      </c>
      <c r="K2148">
        <f t="shared" si="166"/>
        <v>9</v>
      </c>
      <c r="L2148" t="str">
        <f t="shared" si="167"/>
        <v>No</v>
      </c>
      <c r="M2148" t="str">
        <f t="shared" si="169"/>
        <v>Yes</v>
      </c>
      <c r="N2148" t="str">
        <f t="shared" si="168"/>
        <v>No</v>
      </c>
    </row>
    <row r="2149" spans="1:14" x14ac:dyDescent="0.3">
      <c r="A2149" s="4" t="s">
        <v>4315</v>
      </c>
      <c r="B2149" s="4" t="s">
        <v>4316</v>
      </c>
      <c r="C2149" s="4" t="s">
        <v>10</v>
      </c>
      <c r="D2149" s="5">
        <v>45982</v>
      </c>
      <c r="E2149" s="5">
        <v>45991</v>
      </c>
      <c r="F2149" s="5">
        <v>45988</v>
      </c>
      <c r="G2149" s="4" t="s">
        <v>40</v>
      </c>
      <c r="H2149" s="4">
        <v>26</v>
      </c>
      <c r="I2149" s="2">
        <v>26</v>
      </c>
      <c r="J2149">
        <f t="shared" si="165"/>
        <v>6</v>
      </c>
      <c r="K2149">
        <f t="shared" si="166"/>
        <v>-3</v>
      </c>
      <c r="L2149" t="str">
        <f t="shared" si="167"/>
        <v>Yes</v>
      </c>
      <c r="M2149" t="str">
        <f t="shared" si="169"/>
        <v>Yes</v>
      </c>
      <c r="N2149" t="str">
        <f t="shared" si="168"/>
        <v>Yes</v>
      </c>
    </row>
    <row r="2150" spans="1:14" x14ac:dyDescent="0.3">
      <c r="A2150" s="2" t="s">
        <v>4317</v>
      </c>
      <c r="B2150" s="2" t="s">
        <v>4318</v>
      </c>
      <c r="C2150" s="2" t="s">
        <v>59</v>
      </c>
      <c r="D2150" s="3">
        <v>45981</v>
      </c>
      <c r="E2150" s="3">
        <v>45985</v>
      </c>
      <c r="F2150" s="3">
        <v>45986</v>
      </c>
      <c r="G2150" s="2" t="s">
        <v>40</v>
      </c>
      <c r="H2150" s="2">
        <v>45</v>
      </c>
      <c r="I2150" s="2">
        <v>50</v>
      </c>
      <c r="J2150">
        <f t="shared" si="165"/>
        <v>5</v>
      </c>
      <c r="K2150">
        <f t="shared" si="166"/>
        <v>1</v>
      </c>
      <c r="L2150" t="str">
        <f t="shared" si="167"/>
        <v>No</v>
      </c>
      <c r="M2150" t="str">
        <f t="shared" si="169"/>
        <v>No</v>
      </c>
      <c r="N2150" t="str">
        <f t="shared" si="168"/>
        <v>No</v>
      </c>
    </row>
    <row r="2151" spans="1:14" x14ac:dyDescent="0.3">
      <c r="A2151" s="4" t="s">
        <v>4319</v>
      </c>
      <c r="B2151" s="4" t="s">
        <v>4320</v>
      </c>
      <c r="C2151" s="4" t="s">
        <v>27</v>
      </c>
      <c r="D2151" s="5">
        <v>45982</v>
      </c>
      <c r="E2151" s="5">
        <v>45990</v>
      </c>
      <c r="F2151" s="5">
        <v>45994</v>
      </c>
      <c r="G2151" s="4" t="s">
        <v>11</v>
      </c>
      <c r="H2151" s="4">
        <v>16</v>
      </c>
      <c r="I2151" s="2">
        <v>16</v>
      </c>
      <c r="J2151">
        <f t="shared" si="165"/>
        <v>12</v>
      </c>
      <c r="K2151">
        <f t="shared" si="166"/>
        <v>4</v>
      </c>
      <c r="L2151" t="str">
        <f t="shared" si="167"/>
        <v>No</v>
      </c>
      <c r="M2151" t="str">
        <f t="shared" si="169"/>
        <v>Yes</v>
      </c>
      <c r="N2151" t="str">
        <f t="shared" si="168"/>
        <v>No</v>
      </c>
    </row>
    <row r="2152" spans="1:14" x14ac:dyDescent="0.3">
      <c r="A2152" s="2" t="s">
        <v>4321</v>
      </c>
      <c r="B2152" s="2" t="s">
        <v>4322</v>
      </c>
      <c r="C2152" s="2" t="s">
        <v>27</v>
      </c>
      <c r="D2152" s="3">
        <v>45983</v>
      </c>
      <c r="E2152" s="3">
        <v>45984</v>
      </c>
      <c r="F2152" s="3">
        <v>45996</v>
      </c>
      <c r="G2152" s="2" t="s">
        <v>22</v>
      </c>
      <c r="H2152" s="2">
        <v>15</v>
      </c>
      <c r="I2152" s="2">
        <v>15</v>
      </c>
      <c r="J2152">
        <f t="shared" si="165"/>
        <v>13</v>
      </c>
      <c r="K2152">
        <f t="shared" si="166"/>
        <v>12</v>
      </c>
      <c r="L2152" t="str">
        <f t="shared" si="167"/>
        <v>No</v>
      </c>
      <c r="M2152" t="str">
        <f t="shared" si="169"/>
        <v>Yes</v>
      </c>
      <c r="N2152" t="str">
        <f t="shared" si="168"/>
        <v>No</v>
      </c>
    </row>
    <row r="2153" spans="1:14" x14ac:dyDescent="0.3">
      <c r="A2153" s="4" t="s">
        <v>4323</v>
      </c>
      <c r="B2153" s="4" t="s">
        <v>4324</v>
      </c>
      <c r="C2153" s="4" t="s">
        <v>34</v>
      </c>
      <c r="D2153" s="5">
        <v>45983</v>
      </c>
      <c r="E2153" s="5">
        <v>45985</v>
      </c>
      <c r="F2153" s="5">
        <v>45994</v>
      </c>
      <c r="G2153" s="4" t="s">
        <v>22</v>
      </c>
      <c r="H2153" s="4">
        <v>63</v>
      </c>
      <c r="I2153" s="2">
        <v>63</v>
      </c>
      <c r="J2153">
        <f t="shared" si="165"/>
        <v>11</v>
      </c>
      <c r="K2153">
        <f t="shared" si="166"/>
        <v>9</v>
      </c>
      <c r="L2153" t="str">
        <f t="shared" si="167"/>
        <v>No</v>
      </c>
      <c r="M2153" t="str">
        <f t="shared" si="169"/>
        <v>Yes</v>
      </c>
      <c r="N2153" t="str">
        <f t="shared" si="168"/>
        <v>No</v>
      </c>
    </row>
    <row r="2154" spans="1:14" x14ac:dyDescent="0.3">
      <c r="A2154" s="2" t="s">
        <v>4325</v>
      </c>
      <c r="B2154" s="2" t="s">
        <v>4326</v>
      </c>
      <c r="C2154" s="2" t="s">
        <v>10</v>
      </c>
      <c r="D2154" s="3">
        <v>45983</v>
      </c>
      <c r="E2154" s="3">
        <v>45990</v>
      </c>
      <c r="F2154" s="3">
        <v>45987</v>
      </c>
      <c r="G2154" s="2" t="s">
        <v>22</v>
      </c>
      <c r="H2154" s="2">
        <v>16</v>
      </c>
      <c r="I2154" s="2">
        <v>16</v>
      </c>
      <c r="J2154">
        <f t="shared" si="165"/>
        <v>4</v>
      </c>
      <c r="K2154">
        <f t="shared" si="166"/>
        <v>-3</v>
      </c>
      <c r="L2154" t="str">
        <f t="shared" si="167"/>
        <v>Yes</v>
      </c>
      <c r="M2154" t="str">
        <f t="shared" si="169"/>
        <v>Yes</v>
      </c>
      <c r="N2154" t="str">
        <f t="shared" si="168"/>
        <v>Yes</v>
      </c>
    </row>
    <row r="2155" spans="1:14" x14ac:dyDescent="0.3">
      <c r="A2155" s="4" t="s">
        <v>4327</v>
      </c>
      <c r="B2155" s="4" t="s">
        <v>4328</v>
      </c>
      <c r="C2155" s="4" t="s">
        <v>59</v>
      </c>
      <c r="D2155" s="5">
        <v>45982</v>
      </c>
      <c r="E2155" s="5">
        <v>45985</v>
      </c>
      <c r="F2155" s="5">
        <v>45986</v>
      </c>
      <c r="G2155" s="4" t="s">
        <v>40</v>
      </c>
      <c r="H2155" s="4">
        <v>31</v>
      </c>
      <c r="I2155" s="2">
        <v>31</v>
      </c>
      <c r="J2155">
        <f t="shared" si="165"/>
        <v>4</v>
      </c>
      <c r="K2155">
        <f t="shared" si="166"/>
        <v>1</v>
      </c>
      <c r="L2155" t="str">
        <f t="shared" si="167"/>
        <v>No</v>
      </c>
      <c r="M2155" t="str">
        <f t="shared" si="169"/>
        <v>Yes</v>
      </c>
      <c r="N2155" t="str">
        <f t="shared" si="168"/>
        <v>No</v>
      </c>
    </row>
    <row r="2156" spans="1:14" x14ac:dyDescent="0.3">
      <c r="A2156" s="2" t="s">
        <v>4329</v>
      </c>
      <c r="B2156" s="2" t="s">
        <v>4330</v>
      </c>
      <c r="C2156" s="2" t="s">
        <v>21</v>
      </c>
      <c r="D2156" s="3">
        <v>45982</v>
      </c>
      <c r="E2156" s="3">
        <v>45985</v>
      </c>
      <c r="F2156" s="3">
        <v>45987</v>
      </c>
      <c r="G2156" s="2" t="s">
        <v>40</v>
      </c>
      <c r="H2156" s="2">
        <v>20</v>
      </c>
      <c r="I2156" s="2">
        <v>20</v>
      </c>
      <c r="J2156">
        <f t="shared" si="165"/>
        <v>5</v>
      </c>
      <c r="K2156">
        <f t="shared" si="166"/>
        <v>2</v>
      </c>
      <c r="L2156" t="str">
        <f t="shared" si="167"/>
        <v>No</v>
      </c>
      <c r="M2156" t="str">
        <f t="shared" si="169"/>
        <v>Yes</v>
      </c>
      <c r="N2156" t="str">
        <f t="shared" si="168"/>
        <v>No</v>
      </c>
    </row>
    <row r="2157" spans="1:14" x14ac:dyDescent="0.3">
      <c r="A2157" s="4" t="s">
        <v>4331</v>
      </c>
      <c r="B2157" s="4" t="s">
        <v>4332</v>
      </c>
      <c r="C2157" s="4" t="s">
        <v>27</v>
      </c>
      <c r="D2157" s="5">
        <v>45983</v>
      </c>
      <c r="E2157" s="5">
        <v>45989</v>
      </c>
      <c r="F2157" s="5">
        <v>45997</v>
      </c>
      <c r="G2157" s="4" t="s">
        <v>40</v>
      </c>
      <c r="H2157" s="4">
        <v>44</v>
      </c>
      <c r="I2157" s="2">
        <v>44</v>
      </c>
      <c r="J2157">
        <f t="shared" si="165"/>
        <v>14</v>
      </c>
      <c r="K2157">
        <f t="shared" si="166"/>
        <v>8</v>
      </c>
      <c r="L2157" t="str">
        <f t="shared" si="167"/>
        <v>No</v>
      </c>
      <c r="M2157" t="str">
        <f t="shared" si="169"/>
        <v>Yes</v>
      </c>
      <c r="N2157" t="str">
        <f t="shared" si="168"/>
        <v>No</v>
      </c>
    </row>
    <row r="2158" spans="1:14" x14ac:dyDescent="0.3">
      <c r="A2158" s="2" t="s">
        <v>4333</v>
      </c>
      <c r="B2158" s="2" t="s">
        <v>4334</v>
      </c>
      <c r="C2158" s="2" t="s">
        <v>34</v>
      </c>
      <c r="D2158" s="3">
        <v>45984</v>
      </c>
      <c r="E2158" s="3">
        <v>45988</v>
      </c>
      <c r="F2158" s="3">
        <v>45991</v>
      </c>
      <c r="G2158" s="2" t="s">
        <v>18</v>
      </c>
      <c r="H2158" s="2">
        <v>10</v>
      </c>
      <c r="I2158" s="2">
        <v>10</v>
      </c>
      <c r="J2158">
        <f t="shared" si="165"/>
        <v>7</v>
      </c>
      <c r="K2158">
        <f t="shared" si="166"/>
        <v>3</v>
      </c>
      <c r="L2158" t="str">
        <f t="shared" si="167"/>
        <v>No</v>
      </c>
      <c r="M2158" t="str">
        <f t="shared" si="169"/>
        <v>Yes</v>
      </c>
      <c r="N2158" t="str">
        <f t="shared" si="168"/>
        <v>No</v>
      </c>
    </row>
    <row r="2159" spans="1:14" x14ac:dyDescent="0.3">
      <c r="A2159" s="4" t="s">
        <v>4335</v>
      </c>
      <c r="B2159" s="4" t="s">
        <v>4336</v>
      </c>
      <c r="C2159" s="4" t="s">
        <v>10</v>
      </c>
      <c r="D2159" s="5">
        <v>45983</v>
      </c>
      <c r="E2159" s="5">
        <v>45990</v>
      </c>
      <c r="F2159" s="5">
        <v>45988</v>
      </c>
      <c r="G2159" s="4" t="s">
        <v>18</v>
      </c>
      <c r="H2159" s="4">
        <v>39</v>
      </c>
      <c r="I2159" s="2">
        <v>39</v>
      </c>
      <c r="J2159">
        <f t="shared" si="165"/>
        <v>5</v>
      </c>
      <c r="K2159">
        <f t="shared" si="166"/>
        <v>-2</v>
      </c>
      <c r="L2159" t="str">
        <f t="shared" si="167"/>
        <v>Yes</v>
      </c>
      <c r="M2159" t="str">
        <f t="shared" si="169"/>
        <v>Yes</v>
      </c>
      <c r="N2159" t="str">
        <f t="shared" si="168"/>
        <v>Yes</v>
      </c>
    </row>
    <row r="2160" spans="1:14" x14ac:dyDescent="0.3">
      <c r="A2160" s="2" t="s">
        <v>4337</v>
      </c>
      <c r="B2160" s="2" t="s">
        <v>4338</v>
      </c>
      <c r="C2160" s="2" t="s">
        <v>10</v>
      </c>
      <c r="D2160" s="3">
        <v>45984</v>
      </c>
      <c r="E2160" s="3">
        <v>45988</v>
      </c>
      <c r="F2160" s="3">
        <v>45989</v>
      </c>
      <c r="G2160" s="2" t="s">
        <v>18</v>
      </c>
      <c r="H2160" s="2">
        <v>13</v>
      </c>
      <c r="I2160" s="2">
        <v>13</v>
      </c>
      <c r="J2160">
        <f t="shared" si="165"/>
        <v>5</v>
      </c>
      <c r="K2160">
        <f t="shared" si="166"/>
        <v>1</v>
      </c>
      <c r="L2160" t="str">
        <f t="shared" si="167"/>
        <v>No</v>
      </c>
      <c r="M2160" t="str">
        <f t="shared" si="169"/>
        <v>Yes</v>
      </c>
      <c r="N2160" t="str">
        <f t="shared" si="168"/>
        <v>No</v>
      </c>
    </row>
    <row r="2161" spans="1:14" x14ac:dyDescent="0.3">
      <c r="A2161" s="4" t="s">
        <v>4339</v>
      </c>
      <c r="B2161" s="4" t="s">
        <v>4340</v>
      </c>
      <c r="C2161" s="4" t="s">
        <v>59</v>
      </c>
      <c r="D2161" s="5">
        <v>45983</v>
      </c>
      <c r="E2161" s="5">
        <v>45991</v>
      </c>
      <c r="F2161" s="5">
        <v>45987</v>
      </c>
      <c r="G2161" s="4" t="s">
        <v>15</v>
      </c>
      <c r="H2161" s="4">
        <v>14</v>
      </c>
      <c r="I2161" s="2">
        <v>14</v>
      </c>
      <c r="J2161">
        <f t="shared" si="165"/>
        <v>4</v>
      </c>
      <c r="K2161">
        <f t="shared" si="166"/>
        <v>-4</v>
      </c>
      <c r="L2161" t="str">
        <f t="shared" si="167"/>
        <v>Yes</v>
      </c>
      <c r="M2161" t="str">
        <f t="shared" si="169"/>
        <v>Yes</v>
      </c>
      <c r="N2161" t="str">
        <f t="shared" si="168"/>
        <v>Yes</v>
      </c>
    </row>
    <row r="2162" spans="1:14" x14ac:dyDescent="0.3">
      <c r="A2162" s="2" t="s">
        <v>4341</v>
      </c>
      <c r="B2162" s="2" t="s">
        <v>4342</v>
      </c>
      <c r="C2162" s="2" t="s">
        <v>59</v>
      </c>
      <c r="D2162" s="3">
        <v>45984</v>
      </c>
      <c r="E2162" s="3">
        <v>45986</v>
      </c>
      <c r="F2162" s="3">
        <v>45988</v>
      </c>
      <c r="G2162" s="2" t="s">
        <v>18</v>
      </c>
      <c r="H2162" s="2">
        <v>39</v>
      </c>
      <c r="I2162" s="2">
        <v>39</v>
      </c>
      <c r="J2162">
        <f t="shared" si="165"/>
        <v>4</v>
      </c>
      <c r="K2162">
        <f t="shared" si="166"/>
        <v>2</v>
      </c>
      <c r="L2162" t="str">
        <f t="shared" si="167"/>
        <v>No</v>
      </c>
      <c r="M2162" t="str">
        <f t="shared" si="169"/>
        <v>Yes</v>
      </c>
      <c r="N2162" t="str">
        <f t="shared" si="168"/>
        <v>No</v>
      </c>
    </row>
    <row r="2163" spans="1:14" x14ac:dyDescent="0.3">
      <c r="A2163" s="4" t="s">
        <v>4343</v>
      </c>
      <c r="B2163" s="4" t="s">
        <v>4344</v>
      </c>
      <c r="C2163" s="4" t="s">
        <v>21</v>
      </c>
      <c r="D2163" s="5">
        <v>45985</v>
      </c>
      <c r="E2163" s="5">
        <v>45991</v>
      </c>
      <c r="F2163" s="5">
        <v>45991</v>
      </c>
      <c r="G2163" s="4" t="s">
        <v>40</v>
      </c>
      <c r="H2163" s="4">
        <v>72</v>
      </c>
      <c r="I2163" s="2">
        <v>72</v>
      </c>
      <c r="J2163">
        <f t="shared" si="165"/>
        <v>6</v>
      </c>
      <c r="K2163">
        <f t="shared" si="166"/>
        <v>0</v>
      </c>
      <c r="L2163" t="str">
        <f t="shared" si="167"/>
        <v>Yes</v>
      </c>
      <c r="M2163" t="str">
        <f t="shared" si="169"/>
        <v>Yes</v>
      </c>
      <c r="N2163" t="str">
        <f t="shared" si="168"/>
        <v>Yes</v>
      </c>
    </row>
    <row r="2164" spans="1:14" x14ac:dyDescent="0.3">
      <c r="A2164" s="2" t="s">
        <v>4345</v>
      </c>
      <c r="B2164" s="2" t="s">
        <v>4346</v>
      </c>
      <c r="C2164" s="2" t="s">
        <v>21</v>
      </c>
      <c r="D2164" s="3">
        <v>45983</v>
      </c>
      <c r="E2164" s="3">
        <v>45986</v>
      </c>
      <c r="F2164" s="3">
        <v>45989</v>
      </c>
      <c r="G2164" s="2" t="s">
        <v>40</v>
      </c>
      <c r="H2164" s="2">
        <v>25</v>
      </c>
      <c r="I2164" s="2">
        <v>33</v>
      </c>
      <c r="J2164">
        <f t="shared" si="165"/>
        <v>6</v>
      </c>
      <c r="K2164">
        <f t="shared" si="166"/>
        <v>3</v>
      </c>
      <c r="L2164" t="str">
        <f t="shared" si="167"/>
        <v>No</v>
      </c>
      <c r="M2164" t="str">
        <f t="shared" si="169"/>
        <v>No</v>
      </c>
      <c r="N2164" t="str">
        <f t="shared" si="168"/>
        <v>No</v>
      </c>
    </row>
    <row r="2165" spans="1:14" x14ac:dyDescent="0.3">
      <c r="A2165" s="4" t="s">
        <v>4347</v>
      </c>
      <c r="B2165" s="4" t="s">
        <v>4348</v>
      </c>
      <c r="C2165" s="4" t="s">
        <v>27</v>
      </c>
      <c r="D2165" s="5">
        <v>45984</v>
      </c>
      <c r="E2165" s="5">
        <v>45987</v>
      </c>
      <c r="F2165" s="5">
        <v>45997</v>
      </c>
      <c r="G2165" s="4" t="s">
        <v>11</v>
      </c>
      <c r="H2165" s="4">
        <v>7</v>
      </c>
      <c r="I2165" s="2">
        <v>10</v>
      </c>
      <c r="J2165">
        <f t="shared" si="165"/>
        <v>13</v>
      </c>
      <c r="K2165">
        <f t="shared" si="166"/>
        <v>10</v>
      </c>
      <c r="L2165" t="str">
        <f t="shared" si="167"/>
        <v>No</v>
      </c>
      <c r="M2165" t="str">
        <f t="shared" si="169"/>
        <v>No</v>
      </c>
      <c r="N2165" t="str">
        <f t="shared" si="168"/>
        <v>No</v>
      </c>
    </row>
    <row r="2166" spans="1:14" x14ac:dyDescent="0.3">
      <c r="A2166" s="2" t="s">
        <v>4349</v>
      </c>
      <c r="B2166" s="2" t="s">
        <v>4350</v>
      </c>
      <c r="C2166" s="2" t="s">
        <v>34</v>
      </c>
      <c r="D2166" s="3">
        <v>45986</v>
      </c>
      <c r="E2166" s="3">
        <v>45992</v>
      </c>
      <c r="F2166" s="3">
        <v>45993</v>
      </c>
      <c r="G2166" s="2" t="s">
        <v>18</v>
      </c>
      <c r="H2166" s="2">
        <v>22</v>
      </c>
      <c r="I2166" s="2">
        <v>22</v>
      </c>
      <c r="J2166">
        <f t="shared" si="165"/>
        <v>7</v>
      </c>
      <c r="K2166">
        <f t="shared" si="166"/>
        <v>1</v>
      </c>
      <c r="L2166" t="str">
        <f t="shared" si="167"/>
        <v>No</v>
      </c>
      <c r="M2166" t="str">
        <f t="shared" si="169"/>
        <v>Yes</v>
      </c>
      <c r="N2166" t="str">
        <f t="shared" si="168"/>
        <v>No</v>
      </c>
    </row>
    <row r="2167" spans="1:14" x14ac:dyDescent="0.3">
      <c r="A2167" s="4" t="s">
        <v>4351</v>
      </c>
      <c r="B2167" s="4" t="s">
        <v>4352</v>
      </c>
      <c r="C2167" s="4" t="s">
        <v>37</v>
      </c>
      <c r="D2167" s="5">
        <v>45986</v>
      </c>
      <c r="E2167" s="5">
        <v>45988</v>
      </c>
      <c r="F2167" s="5">
        <v>45999</v>
      </c>
      <c r="G2167" s="4" t="s">
        <v>11</v>
      </c>
      <c r="H2167" s="4">
        <v>3</v>
      </c>
      <c r="I2167" s="2">
        <v>3</v>
      </c>
      <c r="J2167">
        <f t="shared" si="165"/>
        <v>13</v>
      </c>
      <c r="K2167">
        <f t="shared" si="166"/>
        <v>11</v>
      </c>
      <c r="L2167" t="str">
        <f t="shared" si="167"/>
        <v>No</v>
      </c>
      <c r="M2167" t="str">
        <f t="shared" si="169"/>
        <v>Yes</v>
      </c>
      <c r="N2167" t="str">
        <f t="shared" si="168"/>
        <v>No</v>
      </c>
    </row>
    <row r="2168" spans="1:14" x14ac:dyDescent="0.3">
      <c r="A2168" s="2" t="s">
        <v>4353</v>
      </c>
      <c r="B2168" s="2" t="s">
        <v>4354</v>
      </c>
      <c r="C2168" s="2" t="s">
        <v>59</v>
      </c>
      <c r="D2168" s="3">
        <v>45984</v>
      </c>
      <c r="E2168" s="3">
        <v>45990</v>
      </c>
      <c r="F2168" s="3">
        <v>45992</v>
      </c>
      <c r="G2168" s="2" t="s">
        <v>22</v>
      </c>
      <c r="H2168" s="2">
        <v>20</v>
      </c>
      <c r="I2168" s="2">
        <v>23</v>
      </c>
      <c r="J2168">
        <f t="shared" si="165"/>
        <v>8</v>
      </c>
      <c r="K2168">
        <f t="shared" si="166"/>
        <v>2</v>
      </c>
      <c r="L2168" t="str">
        <f t="shared" si="167"/>
        <v>No</v>
      </c>
      <c r="M2168" t="str">
        <f t="shared" si="169"/>
        <v>No</v>
      </c>
      <c r="N2168" t="str">
        <f t="shared" si="168"/>
        <v>No</v>
      </c>
    </row>
    <row r="2169" spans="1:14" x14ac:dyDescent="0.3">
      <c r="A2169" s="4" t="s">
        <v>4355</v>
      </c>
      <c r="B2169" s="4" t="s">
        <v>4356</v>
      </c>
      <c r="C2169" s="4" t="s">
        <v>14</v>
      </c>
      <c r="D2169" s="5">
        <v>45986</v>
      </c>
      <c r="E2169" s="5">
        <v>45991</v>
      </c>
      <c r="F2169" s="5">
        <v>46000</v>
      </c>
      <c r="G2169" s="4" t="s">
        <v>22</v>
      </c>
      <c r="H2169" s="4">
        <v>70</v>
      </c>
      <c r="I2169" s="2">
        <v>77</v>
      </c>
      <c r="J2169">
        <f t="shared" si="165"/>
        <v>14</v>
      </c>
      <c r="K2169">
        <f t="shared" si="166"/>
        <v>9</v>
      </c>
      <c r="L2169" t="str">
        <f t="shared" si="167"/>
        <v>No</v>
      </c>
      <c r="M2169" t="str">
        <f t="shared" si="169"/>
        <v>No</v>
      </c>
      <c r="N2169" t="str">
        <f t="shared" si="168"/>
        <v>No</v>
      </c>
    </row>
    <row r="2170" spans="1:14" x14ac:dyDescent="0.3">
      <c r="A2170" s="2" t="s">
        <v>4357</v>
      </c>
      <c r="B2170" s="2" t="s">
        <v>4358</v>
      </c>
      <c r="C2170" s="2" t="s">
        <v>14</v>
      </c>
      <c r="D2170" s="3">
        <v>45984</v>
      </c>
      <c r="E2170" s="3">
        <v>45990</v>
      </c>
      <c r="F2170" s="3">
        <v>46000</v>
      </c>
      <c r="G2170" s="2" t="s">
        <v>11</v>
      </c>
      <c r="H2170" s="2">
        <v>17</v>
      </c>
      <c r="I2170" s="2">
        <v>23</v>
      </c>
      <c r="J2170">
        <f t="shared" si="165"/>
        <v>16</v>
      </c>
      <c r="K2170">
        <f t="shared" si="166"/>
        <v>10</v>
      </c>
      <c r="L2170" t="str">
        <f t="shared" si="167"/>
        <v>No</v>
      </c>
      <c r="M2170" t="str">
        <f t="shared" si="169"/>
        <v>No</v>
      </c>
      <c r="N2170" t="str">
        <f t="shared" si="168"/>
        <v>No</v>
      </c>
    </row>
    <row r="2171" spans="1:14" x14ac:dyDescent="0.3">
      <c r="A2171" s="4" t="s">
        <v>4359</v>
      </c>
      <c r="B2171" s="4" t="s">
        <v>4360</v>
      </c>
      <c r="C2171" s="4" t="s">
        <v>21</v>
      </c>
      <c r="D2171" s="5">
        <v>45984</v>
      </c>
      <c r="E2171" s="5">
        <v>45990</v>
      </c>
      <c r="F2171" s="5">
        <v>45990</v>
      </c>
      <c r="G2171" s="4" t="s">
        <v>15</v>
      </c>
      <c r="H2171" s="4">
        <v>44</v>
      </c>
      <c r="I2171" s="2">
        <v>44</v>
      </c>
      <c r="J2171">
        <f t="shared" si="165"/>
        <v>6</v>
      </c>
      <c r="K2171">
        <f t="shared" si="166"/>
        <v>0</v>
      </c>
      <c r="L2171" t="str">
        <f t="shared" si="167"/>
        <v>Yes</v>
      </c>
      <c r="M2171" t="str">
        <f t="shared" si="169"/>
        <v>Yes</v>
      </c>
      <c r="N2171" t="str">
        <f t="shared" si="168"/>
        <v>Yes</v>
      </c>
    </row>
    <row r="2172" spans="1:14" x14ac:dyDescent="0.3">
      <c r="A2172" s="2" t="s">
        <v>4361</v>
      </c>
      <c r="B2172" s="2" t="s">
        <v>4362</v>
      </c>
      <c r="C2172" s="2" t="s">
        <v>21</v>
      </c>
      <c r="D2172" s="3">
        <v>45986</v>
      </c>
      <c r="E2172" s="3">
        <v>45987</v>
      </c>
      <c r="F2172" s="3">
        <v>45991</v>
      </c>
      <c r="G2172" s="2" t="s">
        <v>40</v>
      </c>
      <c r="H2172" s="2">
        <v>33</v>
      </c>
      <c r="I2172" s="2">
        <v>33</v>
      </c>
      <c r="J2172">
        <f t="shared" si="165"/>
        <v>5</v>
      </c>
      <c r="K2172">
        <f t="shared" si="166"/>
        <v>4</v>
      </c>
      <c r="L2172" t="str">
        <f t="shared" si="167"/>
        <v>No</v>
      </c>
      <c r="M2172" t="str">
        <f t="shared" si="169"/>
        <v>Yes</v>
      </c>
      <c r="N2172" t="str">
        <f t="shared" si="168"/>
        <v>No</v>
      </c>
    </row>
    <row r="2173" spans="1:14" x14ac:dyDescent="0.3">
      <c r="A2173" s="4" t="s">
        <v>4363</v>
      </c>
      <c r="B2173" s="4" t="s">
        <v>4364</v>
      </c>
      <c r="C2173" s="4" t="s">
        <v>37</v>
      </c>
      <c r="D2173" s="5">
        <v>45986</v>
      </c>
      <c r="E2173" s="5">
        <v>45988</v>
      </c>
      <c r="F2173" s="5">
        <v>45999</v>
      </c>
      <c r="G2173" s="4" t="s">
        <v>40</v>
      </c>
      <c r="H2173" s="4">
        <v>10</v>
      </c>
      <c r="I2173" s="2">
        <v>10</v>
      </c>
      <c r="J2173">
        <f t="shared" si="165"/>
        <v>13</v>
      </c>
      <c r="K2173">
        <f t="shared" si="166"/>
        <v>11</v>
      </c>
      <c r="L2173" t="str">
        <f t="shared" si="167"/>
        <v>No</v>
      </c>
      <c r="M2173" t="str">
        <f t="shared" si="169"/>
        <v>Yes</v>
      </c>
      <c r="N2173" t="str">
        <f t="shared" si="168"/>
        <v>No</v>
      </c>
    </row>
    <row r="2174" spans="1:14" x14ac:dyDescent="0.3">
      <c r="A2174" s="2" t="s">
        <v>4365</v>
      </c>
      <c r="B2174" s="2" t="s">
        <v>4366</v>
      </c>
      <c r="C2174" s="2" t="s">
        <v>72</v>
      </c>
      <c r="D2174" s="3">
        <v>45987</v>
      </c>
      <c r="E2174" s="3">
        <v>45993</v>
      </c>
      <c r="F2174" s="3">
        <v>46003</v>
      </c>
      <c r="G2174" s="2" t="s">
        <v>40</v>
      </c>
      <c r="H2174" s="2">
        <v>15</v>
      </c>
      <c r="I2174" s="2">
        <v>15</v>
      </c>
      <c r="J2174">
        <f t="shared" si="165"/>
        <v>16</v>
      </c>
      <c r="K2174">
        <f t="shared" si="166"/>
        <v>10</v>
      </c>
      <c r="L2174" t="str">
        <f t="shared" si="167"/>
        <v>No</v>
      </c>
      <c r="M2174" t="str">
        <f t="shared" si="169"/>
        <v>Yes</v>
      </c>
      <c r="N2174" t="str">
        <f t="shared" si="168"/>
        <v>No</v>
      </c>
    </row>
    <row r="2175" spans="1:14" x14ac:dyDescent="0.3">
      <c r="A2175" s="4" t="s">
        <v>4367</v>
      </c>
      <c r="B2175" s="4" t="s">
        <v>4368</v>
      </c>
      <c r="C2175" s="4" t="s">
        <v>10</v>
      </c>
      <c r="D2175" s="5">
        <v>45985</v>
      </c>
      <c r="E2175" s="5">
        <v>45990</v>
      </c>
      <c r="F2175" s="5">
        <v>45989</v>
      </c>
      <c r="G2175" s="4" t="s">
        <v>18</v>
      </c>
      <c r="H2175" s="4">
        <v>18</v>
      </c>
      <c r="I2175" s="2">
        <v>19</v>
      </c>
      <c r="J2175">
        <f t="shared" si="165"/>
        <v>4</v>
      </c>
      <c r="K2175">
        <f t="shared" si="166"/>
        <v>-1</v>
      </c>
      <c r="L2175" t="str">
        <f t="shared" si="167"/>
        <v>Yes</v>
      </c>
      <c r="M2175" t="str">
        <f t="shared" si="169"/>
        <v>No</v>
      </c>
      <c r="N2175" t="str">
        <f t="shared" si="168"/>
        <v>No</v>
      </c>
    </row>
    <row r="2176" spans="1:14" x14ac:dyDescent="0.3">
      <c r="A2176" s="2" t="s">
        <v>4369</v>
      </c>
      <c r="B2176" s="2" t="s">
        <v>4370</v>
      </c>
      <c r="C2176" s="2" t="s">
        <v>59</v>
      </c>
      <c r="D2176" s="3">
        <v>45987</v>
      </c>
      <c r="E2176" s="3">
        <v>45990</v>
      </c>
      <c r="F2176" s="3">
        <v>45995</v>
      </c>
      <c r="G2176" s="2" t="s">
        <v>40</v>
      </c>
      <c r="H2176" s="2">
        <v>30</v>
      </c>
      <c r="I2176" s="2">
        <v>30</v>
      </c>
      <c r="J2176">
        <f t="shared" si="165"/>
        <v>8</v>
      </c>
      <c r="K2176">
        <f t="shared" si="166"/>
        <v>5</v>
      </c>
      <c r="L2176" t="str">
        <f t="shared" si="167"/>
        <v>No</v>
      </c>
      <c r="M2176" t="str">
        <f t="shared" si="169"/>
        <v>Yes</v>
      </c>
      <c r="N2176" t="str">
        <f t="shared" si="168"/>
        <v>No</v>
      </c>
    </row>
    <row r="2177" spans="1:14" x14ac:dyDescent="0.3">
      <c r="A2177" s="4" t="s">
        <v>4371</v>
      </c>
      <c r="B2177" s="4" t="s">
        <v>4372</v>
      </c>
      <c r="C2177" s="4" t="s">
        <v>59</v>
      </c>
      <c r="D2177" s="5">
        <v>45987</v>
      </c>
      <c r="E2177" s="5">
        <v>45993</v>
      </c>
      <c r="F2177" s="5">
        <v>45991</v>
      </c>
      <c r="G2177" s="4" t="s">
        <v>22</v>
      </c>
      <c r="H2177" s="4">
        <v>21</v>
      </c>
      <c r="I2177" s="2">
        <v>21</v>
      </c>
      <c r="J2177">
        <f t="shared" si="165"/>
        <v>4</v>
      </c>
      <c r="K2177">
        <f t="shared" si="166"/>
        <v>-2</v>
      </c>
      <c r="L2177" t="str">
        <f t="shared" si="167"/>
        <v>Yes</v>
      </c>
      <c r="M2177" t="str">
        <f t="shared" si="169"/>
        <v>Yes</v>
      </c>
      <c r="N2177" t="str">
        <f t="shared" si="168"/>
        <v>Yes</v>
      </c>
    </row>
    <row r="2178" spans="1:14" x14ac:dyDescent="0.3">
      <c r="A2178" s="2" t="s">
        <v>4373</v>
      </c>
      <c r="B2178" s="2" t="s">
        <v>4374</v>
      </c>
      <c r="C2178" s="2" t="s">
        <v>21</v>
      </c>
      <c r="D2178" s="3">
        <v>45987</v>
      </c>
      <c r="E2178" s="3">
        <v>45994</v>
      </c>
      <c r="F2178" s="3">
        <v>45992</v>
      </c>
      <c r="G2178" s="2" t="s">
        <v>11</v>
      </c>
      <c r="H2178" s="2">
        <v>42</v>
      </c>
      <c r="I2178" s="2">
        <v>46</v>
      </c>
      <c r="J2178">
        <f t="shared" si="165"/>
        <v>5</v>
      </c>
      <c r="K2178">
        <f t="shared" si="166"/>
        <v>-2</v>
      </c>
      <c r="L2178" t="str">
        <f t="shared" si="167"/>
        <v>Yes</v>
      </c>
      <c r="M2178" t="str">
        <f t="shared" si="169"/>
        <v>No</v>
      </c>
      <c r="N2178" t="str">
        <f t="shared" si="168"/>
        <v>No</v>
      </c>
    </row>
    <row r="2179" spans="1:14" x14ac:dyDescent="0.3">
      <c r="A2179" s="4" t="s">
        <v>4375</v>
      </c>
      <c r="B2179" s="4" t="s">
        <v>4376</v>
      </c>
      <c r="C2179" s="4" t="s">
        <v>21</v>
      </c>
      <c r="D2179" s="5">
        <v>45985</v>
      </c>
      <c r="E2179" s="5">
        <v>45994</v>
      </c>
      <c r="F2179" s="5">
        <v>45991</v>
      </c>
      <c r="G2179" s="4" t="s">
        <v>18</v>
      </c>
      <c r="H2179" s="4">
        <v>52</v>
      </c>
      <c r="I2179" s="2">
        <v>52</v>
      </c>
      <c r="J2179">
        <f t="shared" ref="J2179:J2242" si="170">F2179-D2179</f>
        <v>6</v>
      </c>
      <c r="K2179">
        <f t="shared" ref="K2179:K2242" si="171">F2179-E2179</f>
        <v>-3</v>
      </c>
      <c r="L2179" t="str">
        <f t="shared" ref="L2179:L2242" si="172">IF(K2179&lt;=0,"Yes","No")</f>
        <v>Yes</v>
      </c>
      <c r="M2179" t="str">
        <f t="shared" si="169"/>
        <v>Yes</v>
      </c>
      <c r="N2179" t="str">
        <f t="shared" ref="N2179:N2242" si="173">IF(AND(L2179="Yes",M2179="Yes"),"Yes","No")</f>
        <v>Yes</v>
      </c>
    </row>
    <row r="2180" spans="1:14" x14ac:dyDescent="0.3">
      <c r="A2180" s="2" t="s">
        <v>4377</v>
      </c>
      <c r="B2180" s="2" t="s">
        <v>4378</v>
      </c>
      <c r="C2180" s="2" t="s">
        <v>21</v>
      </c>
      <c r="D2180" s="3">
        <v>45987</v>
      </c>
      <c r="E2180" s="3">
        <v>45991</v>
      </c>
      <c r="F2180" s="3">
        <v>45995</v>
      </c>
      <c r="G2180" s="2" t="s">
        <v>22</v>
      </c>
      <c r="H2180" s="2">
        <v>11</v>
      </c>
      <c r="I2180" s="2">
        <v>15</v>
      </c>
      <c r="J2180">
        <f t="shared" si="170"/>
        <v>8</v>
      </c>
      <c r="K2180">
        <f t="shared" si="171"/>
        <v>4</v>
      </c>
      <c r="L2180" t="str">
        <f t="shared" si="172"/>
        <v>No</v>
      </c>
      <c r="M2180" t="str">
        <f t="shared" ref="M2180:M2243" si="174">IF(H2180=I2180,"Yes","No")</f>
        <v>No</v>
      </c>
      <c r="N2180" t="str">
        <f t="shared" si="173"/>
        <v>No</v>
      </c>
    </row>
    <row r="2181" spans="1:14" x14ac:dyDescent="0.3">
      <c r="A2181" s="4" t="s">
        <v>4379</v>
      </c>
      <c r="B2181" s="4" t="s">
        <v>4380</v>
      </c>
      <c r="C2181" s="4" t="s">
        <v>27</v>
      </c>
      <c r="D2181" s="5">
        <v>45987</v>
      </c>
      <c r="E2181" s="5">
        <v>45988</v>
      </c>
      <c r="F2181" s="5">
        <v>46000</v>
      </c>
      <c r="G2181" s="4" t="s">
        <v>15</v>
      </c>
      <c r="H2181" s="4">
        <v>24</v>
      </c>
      <c r="I2181" s="2">
        <v>24</v>
      </c>
      <c r="J2181">
        <f t="shared" si="170"/>
        <v>13</v>
      </c>
      <c r="K2181">
        <f t="shared" si="171"/>
        <v>12</v>
      </c>
      <c r="L2181" t="str">
        <f t="shared" si="172"/>
        <v>No</v>
      </c>
      <c r="M2181" t="str">
        <f t="shared" si="174"/>
        <v>Yes</v>
      </c>
      <c r="N2181" t="str">
        <f t="shared" si="173"/>
        <v>No</v>
      </c>
    </row>
    <row r="2182" spans="1:14" x14ac:dyDescent="0.3">
      <c r="A2182" s="2" t="s">
        <v>4381</v>
      </c>
      <c r="B2182" s="2" t="s">
        <v>4382</v>
      </c>
      <c r="C2182" s="2" t="s">
        <v>34</v>
      </c>
      <c r="D2182" s="3">
        <v>45986</v>
      </c>
      <c r="E2182" s="3">
        <v>45992</v>
      </c>
      <c r="F2182" s="3">
        <v>45993</v>
      </c>
      <c r="G2182" s="2" t="s">
        <v>15</v>
      </c>
      <c r="H2182" s="2">
        <v>29</v>
      </c>
      <c r="I2182" s="2">
        <v>29</v>
      </c>
      <c r="J2182">
        <f t="shared" si="170"/>
        <v>7</v>
      </c>
      <c r="K2182">
        <f t="shared" si="171"/>
        <v>1</v>
      </c>
      <c r="L2182" t="str">
        <f t="shared" si="172"/>
        <v>No</v>
      </c>
      <c r="M2182" t="str">
        <f t="shared" si="174"/>
        <v>Yes</v>
      </c>
      <c r="N2182" t="str">
        <f t="shared" si="173"/>
        <v>No</v>
      </c>
    </row>
    <row r="2183" spans="1:14" x14ac:dyDescent="0.3">
      <c r="A2183" s="4" t="s">
        <v>4383</v>
      </c>
      <c r="B2183" s="4" t="s">
        <v>4384</v>
      </c>
      <c r="C2183" s="4" t="s">
        <v>37</v>
      </c>
      <c r="D2183" s="5">
        <v>45988</v>
      </c>
      <c r="E2183" s="5">
        <v>45995</v>
      </c>
      <c r="F2183" s="5">
        <v>46003</v>
      </c>
      <c r="G2183" s="4" t="s">
        <v>40</v>
      </c>
      <c r="H2183" s="4">
        <v>19</v>
      </c>
      <c r="I2183" s="2">
        <v>21</v>
      </c>
      <c r="J2183">
        <f t="shared" si="170"/>
        <v>15</v>
      </c>
      <c r="K2183">
        <f t="shared" si="171"/>
        <v>8</v>
      </c>
      <c r="L2183" t="str">
        <f t="shared" si="172"/>
        <v>No</v>
      </c>
      <c r="M2183" t="str">
        <f t="shared" si="174"/>
        <v>No</v>
      </c>
      <c r="N2183" t="str">
        <f t="shared" si="173"/>
        <v>No</v>
      </c>
    </row>
    <row r="2184" spans="1:14" x14ac:dyDescent="0.3">
      <c r="A2184" s="2" t="s">
        <v>4385</v>
      </c>
      <c r="B2184" s="2" t="s">
        <v>4386</v>
      </c>
      <c r="C2184" s="2" t="s">
        <v>10</v>
      </c>
      <c r="D2184" s="3">
        <v>45988</v>
      </c>
      <c r="E2184" s="3">
        <v>45996</v>
      </c>
      <c r="F2184" s="3">
        <v>45995</v>
      </c>
      <c r="G2184" s="2" t="s">
        <v>22</v>
      </c>
      <c r="H2184" s="2">
        <v>17</v>
      </c>
      <c r="I2184" s="2">
        <v>17</v>
      </c>
      <c r="J2184">
        <f t="shared" si="170"/>
        <v>7</v>
      </c>
      <c r="K2184">
        <f t="shared" si="171"/>
        <v>-1</v>
      </c>
      <c r="L2184" t="str">
        <f t="shared" si="172"/>
        <v>Yes</v>
      </c>
      <c r="M2184" t="str">
        <f t="shared" si="174"/>
        <v>Yes</v>
      </c>
      <c r="N2184" t="str">
        <f t="shared" si="173"/>
        <v>Yes</v>
      </c>
    </row>
    <row r="2185" spans="1:14" x14ac:dyDescent="0.3">
      <c r="A2185" s="4" t="s">
        <v>4387</v>
      </c>
      <c r="B2185" s="4" t="s">
        <v>4388</v>
      </c>
      <c r="C2185" s="4" t="s">
        <v>14</v>
      </c>
      <c r="D2185" s="5">
        <v>45988</v>
      </c>
      <c r="E2185" s="5">
        <v>45990</v>
      </c>
      <c r="F2185" s="5">
        <v>46003</v>
      </c>
      <c r="G2185" s="4" t="s">
        <v>11</v>
      </c>
      <c r="H2185" s="4">
        <v>11</v>
      </c>
      <c r="I2185" s="2">
        <v>11</v>
      </c>
      <c r="J2185">
        <f t="shared" si="170"/>
        <v>15</v>
      </c>
      <c r="K2185">
        <f t="shared" si="171"/>
        <v>13</v>
      </c>
      <c r="L2185" t="str">
        <f t="shared" si="172"/>
        <v>No</v>
      </c>
      <c r="M2185" t="str">
        <f t="shared" si="174"/>
        <v>Yes</v>
      </c>
      <c r="N2185" t="str">
        <f t="shared" si="173"/>
        <v>No</v>
      </c>
    </row>
    <row r="2186" spans="1:14" x14ac:dyDescent="0.3">
      <c r="A2186" s="2" t="s">
        <v>4389</v>
      </c>
      <c r="B2186" s="2" t="s">
        <v>4390</v>
      </c>
      <c r="C2186" s="2" t="s">
        <v>27</v>
      </c>
      <c r="D2186" s="3">
        <v>45986</v>
      </c>
      <c r="E2186" s="3">
        <v>45991</v>
      </c>
      <c r="F2186" s="3">
        <v>46003</v>
      </c>
      <c r="G2186" s="2" t="s">
        <v>40</v>
      </c>
      <c r="H2186" s="2">
        <v>21</v>
      </c>
      <c r="I2186" s="2">
        <v>21</v>
      </c>
      <c r="J2186">
        <f t="shared" si="170"/>
        <v>17</v>
      </c>
      <c r="K2186">
        <f t="shared" si="171"/>
        <v>12</v>
      </c>
      <c r="L2186" t="str">
        <f t="shared" si="172"/>
        <v>No</v>
      </c>
      <c r="M2186" t="str">
        <f t="shared" si="174"/>
        <v>Yes</v>
      </c>
      <c r="N2186" t="str">
        <f t="shared" si="173"/>
        <v>No</v>
      </c>
    </row>
    <row r="2187" spans="1:14" x14ac:dyDescent="0.3">
      <c r="A2187" s="4" t="s">
        <v>4391</v>
      </c>
      <c r="B2187" s="4" t="s">
        <v>4392</v>
      </c>
      <c r="C2187" s="4" t="s">
        <v>27</v>
      </c>
      <c r="D2187" s="5">
        <v>45986</v>
      </c>
      <c r="E2187" s="5">
        <v>45992</v>
      </c>
      <c r="F2187" s="5">
        <v>45998</v>
      </c>
      <c r="G2187" s="4" t="s">
        <v>18</v>
      </c>
      <c r="H2187" s="4">
        <v>10</v>
      </c>
      <c r="I2187" s="2">
        <v>10</v>
      </c>
      <c r="J2187">
        <f t="shared" si="170"/>
        <v>12</v>
      </c>
      <c r="K2187">
        <f t="shared" si="171"/>
        <v>6</v>
      </c>
      <c r="L2187" t="str">
        <f t="shared" si="172"/>
        <v>No</v>
      </c>
      <c r="M2187" t="str">
        <f t="shared" si="174"/>
        <v>Yes</v>
      </c>
      <c r="N2187" t="str">
        <f t="shared" si="173"/>
        <v>No</v>
      </c>
    </row>
    <row r="2188" spans="1:14" x14ac:dyDescent="0.3">
      <c r="A2188" s="2" t="s">
        <v>4393</v>
      </c>
      <c r="B2188" s="2" t="s">
        <v>4394</v>
      </c>
      <c r="C2188" s="2" t="s">
        <v>27</v>
      </c>
      <c r="D2188" s="3">
        <v>45988</v>
      </c>
      <c r="E2188" s="3">
        <v>45989</v>
      </c>
      <c r="F2188" s="3">
        <v>46005</v>
      </c>
      <c r="G2188" s="2" t="s">
        <v>22</v>
      </c>
      <c r="H2188" s="2">
        <v>10</v>
      </c>
      <c r="I2188" s="2">
        <v>10</v>
      </c>
      <c r="J2188">
        <f t="shared" si="170"/>
        <v>17</v>
      </c>
      <c r="K2188">
        <f t="shared" si="171"/>
        <v>16</v>
      </c>
      <c r="L2188" t="str">
        <f t="shared" si="172"/>
        <v>No</v>
      </c>
      <c r="M2188" t="str">
        <f t="shared" si="174"/>
        <v>Yes</v>
      </c>
      <c r="N2188" t="str">
        <f t="shared" si="173"/>
        <v>No</v>
      </c>
    </row>
    <row r="2189" spans="1:14" x14ac:dyDescent="0.3">
      <c r="A2189" s="4" t="s">
        <v>4395</v>
      </c>
      <c r="B2189" s="4" t="s">
        <v>4396</v>
      </c>
      <c r="C2189" s="4" t="s">
        <v>34</v>
      </c>
      <c r="D2189" s="5">
        <v>45988</v>
      </c>
      <c r="E2189" s="5">
        <v>45997</v>
      </c>
      <c r="F2189" s="5">
        <v>45995</v>
      </c>
      <c r="G2189" s="4" t="s">
        <v>18</v>
      </c>
      <c r="H2189" s="4">
        <v>43</v>
      </c>
      <c r="I2189" s="2">
        <v>43</v>
      </c>
      <c r="J2189">
        <f t="shared" si="170"/>
        <v>7</v>
      </c>
      <c r="K2189">
        <f t="shared" si="171"/>
        <v>-2</v>
      </c>
      <c r="L2189" t="str">
        <f t="shared" si="172"/>
        <v>Yes</v>
      </c>
      <c r="M2189" t="str">
        <f t="shared" si="174"/>
        <v>Yes</v>
      </c>
      <c r="N2189" t="str">
        <f t="shared" si="173"/>
        <v>Yes</v>
      </c>
    </row>
    <row r="2190" spans="1:14" x14ac:dyDescent="0.3">
      <c r="A2190" s="2" t="s">
        <v>4397</v>
      </c>
      <c r="B2190" s="2" t="s">
        <v>4398</v>
      </c>
      <c r="C2190" s="2" t="s">
        <v>72</v>
      </c>
      <c r="D2190" s="3">
        <v>45987</v>
      </c>
      <c r="E2190" s="3">
        <v>45990</v>
      </c>
      <c r="F2190" s="3">
        <v>46000</v>
      </c>
      <c r="G2190" s="2" t="s">
        <v>22</v>
      </c>
      <c r="H2190" s="2">
        <v>46</v>
      </c>
      <c r="I2190" s="2">
        <v>46</v>
      </c>
      <c r="J2190">
        <f t="shared" si="170"/>
        <v>13</v>
      </c>
      <c r="K2190">
        <f t="shared" si="171"/>
        <v>10</v>
      </c>
      <c r="L2190" t="str">
        <f t="shared" si="172"/>
        <v>No</v>
      </c>
      <c r="M2190" t="str">
        <f t="shared" si="174"/>
        <v>Yes</v>
      </c>
      <c r="N2190" t="str">
        <f t="shared" si="173"/>
        <v>No</v>
      </c>
    </row>
    <row r="2191" spans="1:14" x14ac:dyDescent="0.3">
      <c r="A2191" s="4" t="s">
        <v>4399</v>
      </c>
      <c r="B2191" s="4" t="s">
        <v>4400</v>
      </c>
      <c r="C2191" s="4" t="s">
        <v>21</v>
      </c>
      <c r="D2191" s="5">
        <v>45987</v>
      </c>
      <c r="E2191" s="5">
        <v>45990</v>
      </c>
      <c r="F2191" s="5">
        <v>45995</v>
      </c>
      <c r="G2191" s="4" t="s">
        <v>40</v>
      </c>
      <c r="H2191" s="4">
        <v>39</v>
      </c>
      <c r="I2191" s="2">
        <v>39</v>
      </c>
      <c r="J2191">
        <f t="shared" si="170"/>
        <v>8</v>
      </c>
      <c r="K2191">
        <f t="shared" si="171"/>
        <v>5</v>
      </c>
      <c r="L2191" t="str">
        <f t="shared" si="172"/>
        <v>No</v>
      </c>
      <c r="M2191" t="str">
        <f t="shared" si="174"/>
        <v>Yes</v>
      </c>
      <c r="N2191" t="str">
        <f t="shared" si="173"/>
        <v>No</v>
      </c>
    </row>
    <row r="2192" spans="1:14" x14ac:dyDescent="0.3">
      <c r="A2192" s="2" t="s">
        <v>4401</v>
      </c>
      <c r="B2192" s="2" t="s">
        <v>4402</v>
      </c>
      <c r="C2192" s="2" t="s">
        <v>21</v>
      </c>
      <c r="D2192" s="3">
        <v>45988</v>
      </c>
      <c r="E2192" s="3">
        <v>45996</v>
      </c>
      <c r="F2192" s="3">
        <v>45996</v>
      </c>
      <c r="G2192" s="2" t="s">
        <v>22</v>
      </c>
      <c r="H2192" s="2">
        <v>44</v>
      </c>
      <c r="I2192" s="2">
        <v>44</v>
      </c>
      <c r="J2192">
        <f t="shared" si="170"/>
        <v>8</v>
      </c>
      <c r="K2192">
        <f t="shared" si="171"/>
        <v>0</v>
      </c>
      <c r="L2192" t="str">
        <f t="shared" si="172"/>
        <v>Yes</v>
      </c>
      <c r="M2192" t="str">
        <f t="shared" si="174"/>
        <v>Yes</v>
      </c>
      <c r="N2192" t="str">
        <f t="shared" si="173"/>
        <v>Yes</v>
      </c>
    </row>
    <row r="2193" spans="1:14" x14ac:dyDescent="0.3">
      <c r="A2193" s="4" t="s">
        <v>4403</v>
      </c>
      <c r="B2193" s="4" t="s">
        <v>4404</v>
      </c>
      <c r="C2193" s="4" t="s">
        <v>21</v>
      </c>
      <c r="D2193" s="5">
        <v>45988</v>
      </c>
      <c r="E2193" s="5">
        <v>45997</v>
      </c>
      <c r="F2193" s="5">
        <v>45998</v>
      </c>
      <c r="G2193" s="4" t="s">
        <v>15</v>
      </c>
      <c r="H2193" s="4">
        <v>25</v>
      </c>
      <c r="I2193" s="2">
        <v>25</v>
      </c>
      <c r="J2193">
        <f t="shared" si="170"/>
        <v>10</v>
      </c>
      <c r="K2193">
        <f t="shared" si="171"/>
        <v>1</v>
      </c>
      <c r="L2193" t="str">
        <f t="shared" si="172"/>
        <v>No</v>
      </c>
      <c r="M2193" t="str">
        <f t="shared" si="174"/>
        <v>Yes</v>
      </c>
      <c r="N2193" t="str">
        <f t="shared" si="173"/>
        <v>No</v>
      </c>
    </row>
    <row r="2194" spans="1:14" x14ac:dyDescent="0.3">
      <c r="A2194" s="2" t="s">
        <v>4405</v>
      </c>
      <c r="B2194" s="2" t="s">
        <v>4406</v>
      </c>
      <c r="C2194" s="2" t="s">
        <v>27</v>
      </c>
      <c r="D2194" s="3">
        <v>45989</v>
      </c>
      <c r="E2194" s="3">
        <v>45990</v>
      </c>
      <c r="F2194" s="3">
        <v>46002</v>
      </c>
      <c r="G2194" s="2" t="s">
        <v>40</v>
      </c>
      <c r="H2194" s="2">
        <v>46</v>
      </c>
      <c r="I2194" s="2">
        <v>46</v>
      </c>
      <c r="J2194">
        <f t="shared" si="170"/>
        <v>13</v>
      </c>
      <c r="K2194">
        <f t="shared" si="171"/>
        <v>12</v>
      </c>
      <c r="L2194" t="str">
        <f t="shared" si="172"/>
        <v>No</v>
      </c>
      <c r="M2194" t="str">
        <f t="shared" si="174"/>
        <v>Yes</v>
      </c>
      <c r="N2194" t="str">
        <f t="shared" si="173"/>
        <v>No</v>
      </c>
    </row>
    <row r="2195" spans="1:14" x14ac:dyDescent="0.3">
      <c r="A2195" s="4" t="s">
        <v>4407</v>
      </c>
      <c r="B2195" s="4" t="s">
        <v>4408</v>
      </c>
      <c r="C2195" s="4" t="s">
        <v>37</v>
      </c>
      <c r="D2195" s="5">
        <v>45989</v>
      </c>
      <c r="E2195" s="5">
        <v>45995</v>
      </c>
      <c r="F2195" s="5">
        <v>46002</v>
      </c>
      <c r="G2195" s="4" t="s">
        <v>18</v>
      </c>
      <c r="H2195" s="4">
        <v>41</v>
      </c>
      <c r="I2195" s="2">
        <v>41</v>
      </c>
      <c r="J2195">
        <f t="shared" si="170"/>
        <v>13</v>
      </c>
      <c r="K2195">
        <f t="shared" si="171"/>
        <v>7</v>
      </c>
      <c r="L2195" t="str">
        <f t="shared" si="172"/>
        <v>No</v>
      </c>
      <c r="M2195" t="str">
        <f t="shared" si="174"/>
        <v>Yes</v>
      </c>
      <c r="N2195" t="str">
        <f t="shared" si="173"/>
        <v>No</v>
      </c>
    </row>
    <row r="2196" spans="1:14" x14ac:dyDescent="0.3">
      <c r="A2196" s="2" t="s">
        <v>4409</v>
      </c>
      <c r="B2196" s="2" t="s">
        <v>4410</v>
      </c>
      <c r="C2196" s="2" t="s">
        <v>72</v>
      </c>
      <c r="D2196" s="3">
        <v>45988</v>
      </c>
      <c r="E2196" s="3">
        <v>45991</v>
      </c>
      <c r="F2196" s="3">
        <v>46001</v>
      </c>
      <c r="G2196" s="2" t="s">
        <v>15</v>
      </c>
      <c r="H2196" s="2">
        <v>26</v>
      </c>
      <c r="I2196" s="2">
        <v>26</v>
      </c>
      <c r="J2196">
        <f t="shared" si="170"/>
        <v>13</v>
      </c>
      <c r="K2196">
        <f t="shared" si="171"/>
        <v>10</v>
      </c>
      <c r="L2196" t="str">
        <f t="shared" si="172"/>
        <v>No</v>
      </c>
      <c r="M2196" t="str">
        <f t="shared" si="174"/>
        <v>Yes</v>
      </c>
      <c r="N2196" t="str">
        <f t="shared" si="173"/>
        <v>No</v>
      </c>
    </row>
    <row r="2197" spans="1:14" x14ac:dyDescent="0.3">
      <c r="A2197" s="4" t="s">
        <v>4411</v>
      </c>
      <c r="B2197" s="4" t="s">
        <v>4412</v>
      </c>
      <c r="C2197" s="4" t="s">
        <v>21</v>
      </c>
      <c r="D2197" s="5">
        <v>45989</v>
      </c>
      <c r="E2197" s="5">
        <v>45992</v>
      </c>
      <c r="F2197" s="5">
        <v>45995</v>
      </c>
      <c r="G2197" s="4" t="s">
        <v>40</v>
      </c>
      <c r="H2197" s="4">
        <v>16</v>
      </c>
      <c r="I2197" s="2">
        <v>19</v>
      </c>
      <c r="J2197">
        <f t="shared" si="170"/>
        <v>6</v>
      </c>
      <c r="K2197">
        <f t="shared" si="171"/>
        <v>3</v>
      </c>
      <c r="L2197" t="str">
        <f t="shared" si="172"/>
        <v>No</v>
      </c>
      <c r="M2197" t="str">
        <f t="shared" si="174"/>
        <v>No</v>
      </c>
      <c r="N2197" t="str">
        <f t="shared" si="173"/>
        <v>No</v>
      </c>
    </row>
    <row r="2198" spans="1:14" x14ac:dyDescent="0.3">
      <c r="A2198" s="2" t="s">
        <v>4413</v>
      </c>
      <c r="B2198" s="2" t="s">
        <v>4414</v>
      </c>
      <c r="C2198" s="2" t="s">
        <v>27</v>
      </c>
      <c r="D2198" s="3">
        <v>45989</v>
      </c>
      <c r="E2198" s="3">
        <v>45993</v>
      </c>
      <c r="F2198" s="3">
        <v>46002</v>
      </c>
      <c r="G2198" s="2" t="s">
        <v>18</v>
      </c>
      <c r="H2198" s="2">
        <v>6</v>
      </c>
      <c r="I2198" s="2">
        <v>6</v>
      </c>
      <c r="J2198">
        <f t="shared" si="170"/>
        <v>13</v>
      </c>
      <c r="K2198">
        <f t="shared" si="171"/>
        <v>9</v>
      </c>
      <c r="L2198" t="str">
        <f t="shared" si="172"/>
        <v>No</v>
      </c>
      <c r="M2198" t="str">
        <f t="shared" si="174"/>
        <v>Yes</v>
      </c>
      <c r="N2198" t="str">
        <f t="shared" si="173"/>
        <v>No</v>
      </c>
    </row>
    <row r="2199" spans="1:14" x14ac:dyDescent="0.3">
      <c r="A2199" s="4" t="s">
        <v>4415</v>
      </c>
      <c r="B2199" s="4" t="s">
        <v>4416</v>
      </c>
      <c r="C2199" s="4" t="s">
        <v>27</v>
      </c>
      <c r="D2199" s="5">
        <v>45990</v>
      </c>
      <c r="E2199" s="5">
        <v>45997</v>
      </c>
      <c r="F2199" s="5">
        <v>46005</v>
      </c>
      <c r="G2199" s="4" t="s">
        <v>15</v>
      </c>
      <c r="H2199" s="4">
        <v>8</v>
      </c>
      <c r="I2199" s="2">
        <v>8</v>
      </c>
      <c r="J2199">
        <f t="shared" si="170"/>
        <v>15</v>
      </c>
      <c r="K2199">
        <f t="shared" si="171"/>
        <v>8</v>
      </c>
      <c r="L2199" t="str">
        <f t="shared" si="172"/>
        <v>No</v>
      </c>
      <c r="M2199" t="str">
        <f t="shared" si="174"/>
        <v>Yes</v>
      </c>
      <c r="N2199" t="str">
        <f t="shared" si="173"/>
        <v>No</v>
      </c>
    </row>
    <row r="2200" spans="1:14" x14ac:dyDescent="0.3">
      <c r="A2200" s="2" t="s">
        <v>4417</v>
      </c>
      <c r="B2200" s="2" t="s">
        <v>4418</v>
      </c>
      <c r="C2200" s="2" t="s">
        <v>34</v>
      </c>
      <c r="D2200" s="3">
        <v>45989</v>
      </c>
      <c r="E2200" s="3">
        <v>45998</v>
      </c>
      <c r="F2200" s="3">
        <v>45996</v>
      </c>
      <c r="G2200" s="2" t="s">
        <v>11</v>
      </c>
      <c r="H2200" s="2">
        <v>29</v>
      </c>
      <c r="I2200" s="2">
        <v>29</v>
      </c>
      <c r="J2200">
        <f t="shared" si="170"/>
        <v>7</v>
      </c>
      <c r="K2200">
        <f t="shared" si="171"/>
        <v>-2</v>
      </c>
      <c r="L2200" t="str">
        <f t="shared" si="172"/>
        <v>Yes</v>
      </c>
      <c r="M2200" t="str">
        <f t="shared" si="174"/>
        <v>Yes</v>
      </c>
      <c r="N2200" t="str">
        <f t="shared" si="173"/>
        <v>Yes</v>
      </c>
    </row>
    <row r="2201" spans="1:14" x14ac:dyDescent="0.3">
      <c r="A2201" s="4" t="s">
        <v>4419</v>
      </c>
      <c r="B2201" s="4" t="s">
        <v>4420</v>
      </c>
      <c r="C2201" s="4" t="s">
        <v>10</v>
      </c>
      <c r="D2201" s="5">
        <v>45989</v>
      </c>
      <c r="E2201" s="5">
        <v>45996</v>
      </c>
      <c r="F2201" s="5">
        <v>45995</v>
      </c>
      <c r="G2201" s="4" t="s">
        <v>18</v>
      </c>
      <c r="H2201" s="4">
        <v>6</v>
      </c>
      <c r="I2201" s="2">
        <v>6</v>
      </c>
      <c r="J2201">
        <f t="shared" si="170"/>
        <v>6</v>
      </c>
      <c r="K2201">
        <f t="shared" si="171"/>
        <v>-1</v>
      </c>
      <c r="L2201" t="str">
        <f t="shared" si="172"/>
        <v>Yes</v>
      </c>
      <c r="M2201" t="str">
        <f t="shared" si="174"/>
        <v>Yes</v>
      </c>
      <c r="N2201" t="str">
        <f t="shared" si="173"/>
        <v>Yes</v>
      </c>
    </row>
    <row r="2202" spans="1:14" x14ac:dyDescent="0.3">
      <c r="A2202" s="2" t="s">
        <v>4421</v>
      </c>
      <c r="B2202" s="2" t="s">
        <v>4422</v>
      </c>
      <c r="C2202" s="2" t="s">
        <v>21</v>
      </c>
      <c r="D2202" s="3">
        <v>45990</v>
      </c>
      <c r="E2202" s="3">
        <v>45994</v>
      </c>
      <c r="F2202" s="3">
        <v>45996</v>
      </c>
      <c r="G2202" s="2" t="s">
        <v>40</v>
      </c>
      <c r="H2202" s="2">
        <v>89</v>
      </c>
      <c r="I2202" s="2">
        <v>89</v>
      </c>
      <c r="J2202">
        <f t="shared" si="170"/>
        <v>6</v>
      </c>
      <c r="K2202">
        <f t="shared" si="171"/>
        <v>2</v>
      </c>
      <c r="L2202" t="str">
        <f t="shared" si="172"/>
        <v>No</v>
      </c>
      <c r="M2202" t="str">
        <f t="shared" si="174"/>
        <v>Yes</v>
      </c>
      <c r="N2202" t="str">
        <f t="shared" si="173"/>
        <v>No</v>
      </c>
    </row>
    <row r="2203" spans="1:14" x14ac:dyDescent="0.3">
      <c r="A2203" s="4" t="s">
        <v>4423</v>
      </c>
      <c r="B2203" s="4" t="s">
        <v>4424</v>
      </c>
      <c r="C2203" s="4" t="s">
        <v>27</v>
      </c>
      <c r="D2203" s="5">
        <v>45991</v>
      </c>
      <c r="E2203" s="5">
        <v>45994</v>
      </c>
      <c r="F2203" s="5">
        <v>46005</v>
      </c>
      <c r="G2203" s="4" t="s">
        <v>11</v>
      </c>
      <c r="H2203" s="4">
        <v>1</v>
      </c>
      <c r="I2203" s="2">
        <v>4</v>
      </c>
      <c r="J2203">
        <f t="shared" si="170"/>
        <v>14</v>
      </c>
      <c r="K2203">
        <f t="shared" si="171"/>
        <v>11</v>
      </c>
      <c r="L2203" t="str">
        <f t="shared" si="172"/>
        <v>No</v>
      </c>
      <c r="M2203" t="str">
        <f t="shared" si="174"/>
        <v>No</v>
      </c>
      <c r="N2203" t="str">
        <f t="shared" si="173"/>
        <v>No</v>
      </c>
    </row>
    <row r="2204" spans="1:14" x14ac:dyDescent="0.3">
      <c r="A2204" s="2" t="s">
        <v>4425</v>
      </c>
      <c r="B2204" s="2" t="s">
        <v>4426</v>
      </c>
      <c r="C2204" s="2" t="s">
        <v>27</v>
      </c>
      <c r="D2204" s="3">
        <v>45990</v>
      </c>
      <c r="E2204" s="3">
        <v>45992</v>
      </c>
      <c r="F2204" s="3">
        <v>46003</v>
      </c>
      <c r="G2204" s="2" t="s">
        <v>18</v>
      </c>
      <c r="H2204" s="2">
        <v>3</v>
      </c>
      <c r="I2204" s="2">
        <v>9</v>
      </c>
      <c r="J2204">
        <f t="shared" si="170"/>
        <v>13</v>
      </c>
      <c r="K2204">
        <f t="shared" si="171"/>
        <v>11</v>
      </c>
      <c r="L2204" t="str">
        <f t="shared" si="172"/>
        <v>No</v>
      </c>
      <c r="M2204" t="str">
        <f t="shared" si="174"/>
        <v>No</v>
      </c>
      <c r="N2204" t="str">
        <f t="shared" si="173"/>
        <v>No</v>
      </c>
    </row>
    <row r="2205" spans="1:14" x14ac:dyDescent="0.3">
      <c r="A2205" s="4" t="s">
        <v>4427</v>
      </c>
      <c r="B2205" s="4" t="s">
        <v>4428</v>
      </c>
      <c r="C2205" s="4" t="s">
        <v>34</v>
      </c>
      <c r="D2205" s="5">
        <v>45991</v>
      </c>
      <c r="E2205" s="5">
        <v>45995</v>
      </c>
      <c r="F2205" s="5">
        <v>45998</v>
      </c>
      <c r="G2205" s="4" t="s">
        <v>18</v>
      </c>
      <c r="H2205" s="4">
        <v>19</v>
      </c>
      <c r="I2205" s="2">
        <v>23</v>
      </c>
      <c r="J2205">
        <f t="shared" si="170"/>
        <v>7</v>
      </c>
      <c r="K2205">
        <f t="shared" si="171"/>
        <v>3</v>
      </c>
      <c r="L2205" t="str">
        <f t="shared" si="172"/>
        <v>No</v>
      </c>
      <c r="M2205" t="str">
        <f t="shared" si="174"/>
        <v>No</v>
      </c>
      <c r="N2205" t="str">
        <f t="shared" si="173"/>
        <v>No</v>
      </c>
    </row>
    <row r="2206" spans="1:14" x14ac:dyDescent="0.3">
      <c r="A2206" s="2" t="s">
        <v>4429</v>
      </c>
      <c r="B2206" s="2" t="s">
        <v>4430</v>
      </c>
      <c r="C2206" s="2" t="s">
        <v>72</v>
      </c>
      <c r="D2206" s="3">
        <v>45992</v>
      </c>
      <c r="E2206" s="3">
        <v>45999</v>
      </c>
      <c r="F2206" s="3">
        <v>46007</v>
      </c>
      <c r="G2206" s="2" t="s">
        <v>22</v>
      </c>
      <c r="H2206" s="2">
        <v>19</v>
      </c>
      <c r="I2206" s="2">
        <v>20</v>
      </c>
      <c r="J2206">
        <f t="shared" si="170"/>
        <v>15</v>
      </c>
      <c r="K2206">
        <f t="shared" si="171"/>
        <v>8</v>
      </c>
      <c r="L2206" t="str">
        <f t="shared" si="172"/>
        <v>No</v>
      </c>
      <c r="M2206" t="str">
        <f t="shared" si="174"/>
        <v>No</v>
      </c>
      <c r="N2206" t="str">
        <f t="shared" si="173"/>
        <v>No</v>
      </c>
    </row>
    <row r="2207" spans="1:14" x14ac:dyDescent="0.3">
      <c r="A2207" s="4" t="s">
        <v>4431</v>
      </c>
      <c r="B2207" s="4" t="s">
        <v>4432</v>
      </c>
      <c r="C2207" s="4" t="s">
        <v>14</v>
      </c>
      <c r="D2207" s="5">
        <v>45990</v>
      </c>
      <c r="E2207" s="5">
        <v>45998</v>
      </c>
      <c r="F2207" s="5">
        <v>46009</v>
      </c>
      <c r="G2207" s="4" t="s">
        <v>15</v>
      </c>
      <c r="H2207" s="4">
        <v>12</v>
      </c>
      <c r="I2207" s="2">
        <v>12</v>
      </c>
      <c r="J2207">
        <f t="shared" si="170"/>
        <v>19</v>
      </c>
      <c r="K2207">
        <f t="shared" si="171"/>
        <v>11</v>
      </c>
      <c r="L2207" t="str">
        <f t="shared" si="172"/>
        <v>No</v>
      </c>
      <c r="M2207" t="str">
        <f t="shared" si="174"/>
        <v>Yes</v>
      </c>
      <c r="N2207" t="str">
        <f t="shared" si="173"/>
        <v>No</v>
      </c>
    </row>
    <row r="2208" spans="1:14" x14ac:dyDescent="0.3">
      <c r="A2208" s="2" t="s">
        <v>4433</v>
      </c>
      <c r="B2208" s="2" t="s">
        <v>4434</v>
      </c>
      <c r="C2208" s="2" t="s">
        <v>21</v>
      </c>
      <c r="D2208" s="3">
        <v>45991</v>
      </c>
      <c r="E2208" s="3">
        <v>45996</v>
      </c>
      <c r="F2208" s="3">
        <v>45998</v>
      </c>
      <c r="G2208" s="2" t="s">
        <v>18</v>
      </c>
      <c r="H2208" s="2">
        <v>41</v>
      </c>
      <c r="I2208" s="2">
        <v>41</v>
      </c>
      <c r="J2208">
        <f t="shared" si="170"/>
        <v>7</v>
      </c>
      <c r="K2208">
        <f t="shared" si="171"/>
        <v>2</v>
      </c>
      <c r="L2208" t="str">
        <f t="shared" si="172"/>
        <v>No</v>
      </c>
      <c r="M2208" t="str">
        <f t="shared" si="174"/>
        <v>Yes</v>
      </c>
      <c r="N2208" t="str">
        <f t="shared" si="173"/>
        <v>No</v>
      </c>
    </row>
    <row r="2209" spans="1:14" x14ac:dyDescent="0.3">
      <c r="A2209" s="4" t="s">
        <v>4435</v>
      </c>
      <c r="B2209" s="4" t="s">
        <v>4436</v>
      </c>
      <c r="C2209" s="4" t="s">
        <v>37</v>
      </c>
      <c r="D2209" s="5">
        <v>45991</v>
      </c>
      <c r="E2209" s="5">
        <v>46000</v>
      </c>
      <c r="F2209" s="5">
        <v>46005</v>
      </c>
      <c r="G2209" s="4" t="s">
        <v>11</v>
      </c>
      <c r="H2209" s="4">
        <v>18</v>
      </c>
      <c r="I2209" s="2">
        <v>18</v>
      </c>
      <c r="J2209">
        <f t="shared" si="170"/>
        <v>14</v>
      </c>
      <c r="K2209">
        <f t="shared" si="171"/>
        <v>5</v>
      </c>
      <c r="L2209" t="str">
        <f t="shared" si="172"/>
        <v>No</v>
      </c>
      <c r="M2209" t="str">
        <f t="shared" si="174"/>
        <v>Yes</v>
      </c>
      <c r="N2209" t="str">
        <f t="shared" si="173"/>
        <v>No</v>
      </c>
    </row>
    <row r="2210" spans="1:14" x14ac:dyDescent="0.3">
      <c r="A2210" s="2" t="s">
        <v>4437</v>
      </c>
      <c r="B2210" s="2" t="s">
        <v>4438</v>
      </c>
      <c r="C2210" s="2" t="s">
        <v>72</v>
      </c>
      <c r="D2210" s="3">
        <v>45992</v>
      </c>
      <c r="E2210" s="3">
        <v>45994</v>
      </c>
      <c r="F2210" s="3">
        <v>46010</v>
      </c>
      <c r="G2210" s="2" t="s">
        <v>22</v>
      </c>
      <c r="H2210" s="2">
        <v>10</v>
      </c>
      <c r="I2210" s="2">
        <v>18</v>
      </c>
      <c r="J2210">
        <f t="shared" si="170"/>
        <v>18</v>
      </c>
      <c r="K2210">
        <f t="shared" si="171"/>
        <v>16</v>
      </c>
      <c r="L2210" t="str">
        <f t="shared" si="172"/>
        <v>No</v>
      </c>
      <c r="M2210" t="str">
        <f t="shared" si="174"/>
        <v>No</v>
      </c>
      <c r="N2210" t="str">
        <f t="shared" si="173"/>
        <v>No</v>
      </c>
    </row>
    <row r="2211" spans="1:14" x14ac:dyDescent="0.3">
      <c r="A2211" s="4" t="s">
        <v>4439</v>
      </c>
      <c r="B2211" s="4" t="s">
        <v>4440</v>
      </c>
      <c r="C2211" s="4" t="s">
        <v>10</v>
      </c>
      <c r="D2211" s="5">
        <v>45992</v>
      </c>
      <c r="E2211" s="5">
        <v>45995</v>
      </c>
      <c r="F2211" s="5">
        <v>45998</v>
      </c>
      <c r="G2211" s="4" t="s">
        <v>22</v>
      </c>
      <c r="H2211" s="4">
        <v>31</v>
      </c>
      <c r="I2211" s="2">
        <v>31</v>
      </c>
      <c r="J2211">
        <f t="shared" si="170"/>
        <v>6</v>
      </c>
      <c r="K2211">
        <f t="shared" si="171"/>
        <v>3</v>
      </c>
      <c r="L2211" t="str">
        <f t="shared" si="172"/>
        <v>No</v>
      </c>
      <c r="M2211" t="str">
        <f t="shared" si="174"/>
        <v>Yes</v>
      </c>
      <c r="N2211" t="str">
        <f t="shared" si="173"/>
        <v>No</v>
      </c>
    </row>
    <row r="2212" spans="1:14" x14ac:dyDescent="0.3">
      <c r="A2212" s="2" t="s">
        <v>4441</v>
      </c>
      <c r="B2212" s="2" t="s">
        <v>4442</v>
      </c>
      <c r="C2212" s="2" t="s">
        <v>14</v>
      </c>
      <c r="D2212" s="3">
        <v>45991</v>
      </c>
      <c r="E2212" s="3">
        <v>45994</v>
      </c>
      <c r="F2212" s="3">
        <v>46005</v>
      </c>
      <c r="G2212" s="2" t="s">
        <v>40</v>
      </c>
      <c r="H2212" s="2">
        <v>25</v>
      </c>
      <c r="I2212" s="2">
        <v>25</v>
      </c>
      <c r="J2212">
        <f t="shared" si="170"/>
        <v>14</v>
      </c>
      <c r="K2212">
        <f t="shared" si="171"/>
        <v>11</v>
      </c>
      <c r="L2212" t="str">
        <f t="shared" si="172"/>
        <v>No</v>
      </c>
      <c r="M2212" t="str">
        <f t="shared" si="174"/>
        <v>Yes</v>
      </c>
      <c r="N2212" t="str">
        <f t="shared" si="173"/>
        <v>No</v>
      </c>
    </row>
    <row r="2213" spans="1:14" x14ac:dyDescent="0.3">
      <c r="A2213" s="4" t="s">
        <v>4443</v>
      </c>
      <c r="B2213" s="4" t="s">
        <v>4444</v>
      </c>
      <c r="C2213" s="4" t="s">
        <v>14</v>
      </c>
      <c r="D2213" s="5">
        <v>45992</v>
      </c>
      <c r="E2213" s="5">
        <v>45999</v>
      </c>
      <c r="F2213" s="5">
        <v>46008</v>
      </c>
      <c r="G2213" s="4" t="s">
        <v>40</v>
      </c>
      <c r="H2213" s="4">
        <v>41</v>
      </c>
      <c r="I2213" s="2">
        <v>41</v>
      </c>
      <c r="J2213">
        <f t="shared" si="170"/>
        <v>16</v>
      </c>
      <c r="K2213">
        <f t="shared" si="171"/>
        <v>9</v>
      </c>
      <c r="L2213" t="str">
        <f t="shared" si="172"/>
        <v>No</v>
      </c>
      <c r="M2213" t="str">
        <f t="shared" si="174"/>
        <v>Yes</v>
      </c>
      <c r="N2213" t="str">
        <f t="shared" si="173"/>
        <v>No</v>
      </c>
    </row>
    <row r="2214" spans="1:14" x14ac:dyDescent="0.3">
      <c r="A2214" s="2" t="s">
        <v>4445</v>
      </c>
      <c r="B2214" s="2" t="s">
        <v>4446</v>
      </c>
      <c r="C2214" s="2" t="s">
        <v>14</v>
      </c>
      <c r="D2214" s="3">
        <v>45993</v>
      </c>
      <c r="E2214" s="3">
        <v>45994</v>
      </c>
      <c r="F2214" s="3">
        <v>46012</v>
      </c>
      <c r="G2214" s="2" t="s">
        <v>11</v>
      </c>
      <c r="H2214" s="2">
        <v>16</v>
      </c>
      <c r="I2214" s="2">
        <v>16</v>
      </c>
      <c r="J2214">
        <f t="shared" si="170"/>
        <v>19</v>
      </c>
      <c r="K2214">
        <f t="shared" si="171"/>
        <v>18</v>
      </c>
      <c r="L2214" t="str">
        <f t="shared" si="172"/>
        <v>No</v>
      </c>
      <c r="M2214" t="str">
        <f t="shared" si="174"/>
        <v>Yes</v>
      </c>
      <c r="N2214" t="str">
        <f t="shared" si="173"/>
        <v>No</v>
      </c>
    </row>
    <row r="2215" spans="1:14" x14ac:dyDescent="0.3">
      <c r="A2215" s="4" t="s">
        <v>4447</v>
      </c>
      <c r="B2215" s="4" t="s">
        <v>4448</v>
      </c>
      <c r="C2215" s="4" t="s">
        <v>21</v>
      </c>
      <c r="D2215" s="5">
        <v>45991</v>
      </c>
      <c r="E2215" s="5">
        <v>45998</v>
      </c>
      <c r="F2215" s="5">
        <v>45999</v>
      </c>
      <c r="G2215" s="4" t="s">
        <v>22</v>
      </c>
      <c r="H2215" s="4">
        <v>25</v>
      </c>
      <c r="I2215" s="2">
        <v>25</v>
      </c>
      <c r="J2215">
        <f t="shared" si="170"/>
        <v>8</v>
      </c>
      <c r="K2215">
        <f t="shared" si="171"/>
        <v>1</v>
      </c>
      <c r="L2215" t="str">
        <f t="shared" si="172"/>
        <v>No</v>
      </c>
      <c r="M2215" t="str">
        <f t="shared" si="174"/>
        <v>Yes</v>
      </c>
      <c r="N2215" t="str">
        <f t="shared" si="173"/>
        <v>No</v>
      </c>
    </row>
    <row r="2216" spans="1:14" x14ac:dyDescent="0.3">
      <c r="A2216" s="2" t="s">
        <v>4449</v>
      </c>
      <c r="B2216" s="2" t="s">
        <v>4450</v>
      </c>
      <c r="C2216" s="2" t="s">
        <v>27</v>
      </c>
      <c r="D2216" s="3">
        <v>45993</v>
      </c>
      <c r="E2216" s="3">
        <v>45999</v>
      </c>
      <c r="F2216" s="3">
        <v>46006</v>
      </c>
      <c r="G2216" s="2" t="s">
        <v>40</v>
      </c>
      <c r="H2216" s="2">
        <v>4</v>
      </c>
      <c r="I2216" s="2">
        <v>6</v>
      </c>
      <c r="J2216">
        <f t="shared" si="170"/>
        <v>13</v>
      </c>
      <c r="K2216">
        <f t="shared" si="171"/>
        <v>7</v>
      </c>
      <c r="L2216" t="str">
        <f t="shared" si="172"/>
        <v>No</v>
      </c>
      <c r="M2216" t="str">
        <f t="shared" si="174"/>
        <v>No</v>
      </c>
      <c r="N2216" t="str">
        <f t="shared" si="173"/>
        <v>No</v>
      </c>
    </row>
    <row r="2217" spans="1:14" x14ac:dyDescent="0.3">
      <c r="A2217" s="4" t="s">
        <v>4451</v>
      </c>
      <c r="B2217" s="4" t="s">
        <v>4452</v>
      </c>
      <c r="C2217" s="4" t="s">
        <v>34</v>
      </c>
      <c r="D2217" s="5">
        <v>45994</v>
      </c>
      <c r="E2217" s="5">
        <v>46002</v>
      </c>
      <c r="F2217" s="5">
        <v>46000</v>
      </c>
      <c r="G2217" s="4" t="s">
        <v>22</v>
      </c>
      <c r="H2217" s="4">
        <v>33</v>
      </c>
      <c r="I2217" s="2">
        <v>40</v>
      </c>
      <c r="J2217">
        <f t="shared" si="170"/>
        <v>6</v>
      </c>
      <c r="K2217">
        <f t="shared" si="171"/>
        <v>-2</v>
      </c>
      <c r="L2217" t="str">
        <f t="shared" si="172"/>
        <v>Yes</v>
      </c>
      <c r="M2217" t="str">
        <f t="shared" si="174"/>
        <v>No</v>
      </c>
      <c r="N2217" t="str">
        <f t="shared" si="173"/>
        <v>No</v>
      </c>
    </row>
    <row r="2218" spans="1:14" x14ac:dyDescent="0.3">
      <c r="A2218" s="2" t="s">
        <v>4453</v>
      </c>
      <c r="B2218" s="2" t="s">
        <v>4454</v>
      </c>
      <c r="C2218" s="2" t="s">
        <v>72</v>
      </c>
      <c r="D2218" s="3">
        <v>45993</v>
      </c>
      <c r="E2218" s="3">
        <v>45996</v>
      </c>
      <c r="F2218" s="3">
        <v>46007</v>
      </c>
      <c r="G2218" s="2" t="s">
        <v>22</v>
      </c>
      <c r="H2218" s="2">
        <v>15</v>
      </c>
      <c r="I2218" s="2">
        <v>15</v>
      </c>
      <c r="J2218">
        <f t="shared" si="170"/>
        <v>14</v>
      </c>
      <c r="K2218">
        <f t="shared" si="171"/>
        <v>11</v>
      </c>
      <c r="L2218" t="str">
        <f t="shared" si="172"/>
        <v>No</v>
      </c>
      <c r="M2218" t="str">
        <f t="shared" si="174"/>
        <v>Yes</v>
      </c>
      <c r="N2218" t="str">
        <f t="shared" si="173"/>
        <v>No</v>
      </c>
    </row>
    <row r="2219" spans="1:14" x14ac:dyDescent="0.3">
      <c r="A2219" s="4" t="s">
        <v>4455</v>
      </c>
      <c r="B2219" s="4" t="s">
        <v>4456</v>
      </c>
      <c r="C2219" s="4" t="s">
        <v>72</v>
      </c>
      <c r="D2219" s="5">
        <v>45994</v>
      </c>
      <c r="E2219" s="5">
        <v>46002</v>
      </c>
      <c r="F2219" s="5">
        <v>46010</v>
      </c>
      <c r="G2219" s="4" t="s">
        <v>40</v>
      </c>
      <c r="H2219" s="4">
        <v>8</v>
      </c>
      <c r="I2219" s="2">
        <v>8</v>
      </c>
      <c r="J2219">
        <f t="shared" si="170"/>
        <v>16</v>
      </c>
      <c r="K2219">
        <f t="shared" si="171"/>
        <v>8</v>
      </c>
      <c r="L2219" t="str">
        <f t="shared" si="172"/>
        <v>No</v>
      </c>
      <c r="M2219" t="str">
        <f t="shared" si="174"/>
        <v>Yes</v>
      </c>
      <c r="N2219" t="str">
        <f t="shared" si="173"/>
        <v>No</v>
      </c>
    </row>
    <row r="2220" spans="1:14" x14ac:dyDescent="0.3">
      <c r="A2220" s="2" t="s">
        <v>4457</v>
      </c>
      <c r="B2220" s="2" t="s">
        <v>4458</v>
      </c>
      <c r="C2220" s="2" t="s">
        <v>59</v>
      </c>
      <c r="D2220" s="3">
        <v>45992</v>
      </c>
      <c r="E2220" s="3">
        <v>45998</v>
      </c>
      <c r="F2220" s="3">
        <v>45996</v>
      </c>
      <c r="G2220" s="2" t="s">
        <v>15</v>
      </c>
      <c r="H2220" s="2">
        <v>19</v>
      </c>
      <c r="I2220" s="2">
        <v>19</v>
      </c>
      <c r="J2220">
        <f t="shared" si="170"/>
        <v>4</v>
      </c>
      <c r="K2220">
        <f t="shared" si="171"/>
        <v>-2</v>
      </c>
      <c r="L2220" t="str">
        <f t="shared" si="172"/>
        <v>Yes</v>
      </c>
      <c r="M2220" t="str">
        <f t="shared" si="174"/>
        <v>Yes</v>
      </c>
      <c r="N2220" t="str">
        <f t="shared" si="173"/>
        <v>Yes</v>
      </c>
    </row>
    <row r="2221" spans="1:14" x14ac:dyDescent="0.3">
      <c r="A2221" s="4" t="s">
        <v>4459</v>
      </c>
      <c r="B2221" s="4" t="s">
        <v>4460</v>
      </c>
      <c r="C2221" s="4" t="s">
        <v>59</v>
      </c>
      <c r="D2221" s="5">
        <v>45992</v>
      </c>
      <c r="E2221" s="5">
        <v>45997</v>
      </c>
      <c r="F2221" s="5">
        <v>45998</v>
      </c>
      <c r="G2221" s="4" t="s">
        <v>15</v>
      </c>
      <c r="H2221" s="4">
        <v>16</v>
      </c>
      <c r="I2221" s="2">
        <v>16</v>
      </c>
      <c r="J2221">
        <f t="shared" si="170"/>
        <v>6</v>
      </c>
      <c r="K2221">
        <f t="shared" si="171"/>
        <v>1</v>
      </c>
      <c r="L2221" t="str">
        <f t="shared" si="172"/>
        <v>No</v>
      </c>
      <c r="M2221" t="str">
        <f t="shared" si="174"/>
        <v>Yes</v>
      </c>
      <c r="N2221" t="str">
        <f t="shared" si="173"/>
        <v>No</v>
      </c>
    </row>
    <row r="2222" spans="1:14" x14ac:dyDescent="0.3">
      <c r="A2222" s="2" t="s">
        <v>4461</v>
      </c>
      <c r="B2222" s="2" t="s">
        <v>4462</v>
      </c>
      <c r="C2222" s="2" t="s">
        <v>21</v>
      </c>
      <c r="D2222" s="3">
        <v>45992</v>
      </c>
      <c r="E2222" s="3">
        <v>46001</v>
      </c>
      <c r="F2222" s="3">
        <v>45997</v>
      </c>
      <c r="G2222" s="2" t="s">
        <v>15</v>
      </c>
      <c r="H2222" s="2">
        <v>29</v>
      </c>
      <c r="I2222" s="2">
        <v>29</v>
      </c>
      <c r="J2222">
        <f t="shared" si="170"/>
        <v>5</v>
      </c>
      <c r="K2222">
        <f t="shared" si="171"/>
        <v>-4</v>
      </c>
      <c r="L2222" t="str">
        <f t="shared" si="172"/>
        <v>Yes</v>
      </c>
      <c r="M2222" t="str">
        <f t="shared" si="174"/>
        <v>Yes</v>
      </c>
      <c r="N2222" t="str">
        <f t="shared" si="173"/>
        <v>Yes</v>
      </c>
    </row>
    <row r="2223" spans="1:14" x14ac:dyDescent="0.3">
      <c r="A2223" s="4" t="s">
        <v>4463</v>
      </c>
      <c r="B2223" s="4" t="s">
        <v>4464</v>
      </c>
      <c r="C2223" s="4" t="s">
        <v>21</v>
      </c>
      <c r="D2223" s="5">
        <v>45992</v>
      </c>
      <c r="E2223" s="5">
        <v>45996</v>
      </c>
      <c r="F2223" s="5">
        <v>45998</v>
      </c>
      <c r="G2223" s="4" t="s">
        <v>40</v>
      </c>
      <c r="H2223" s="4">
        <v>48</v>
      </c>
      <c r="I2223" s="2">
        <v>48</v>
      </c>
      <c r="J2223">
        <f t="shared" si="170"/>
        <v>6</v>
      </c>
      <c r="K2223">
        <f t="shared" si="171"/>
        <v>2</v>
      </c>
      <c r="L2223" t="str">
        <f t="shared" si="172"/>
        <v>No</v>
      </c>
      <c r="M2223" t="str">
        <f t="shared" si="174"/>
        <v>Yes</v>
      </c>
      <c r="N2223" t="str">
        <f t="shared" si="173"/>
        <v>No</v>
      </c>
    </row>
    <row r="2224" spans="1:14" x14ac:dyDescent="0.3">
      <c r="A2224" s="2" t="s">
        <v>4465</v>
      </c>
      <c r="B2224" s="2" t="s">
        <v>4466</v>
      </c>
      <c r="C2224" s="2" t="s">
        <v>21</v>
      </c>
      <c r="D2224" s="3">
        <v>45994</v>
      </c>
      <c r="E2224" s="3">
        <v>45995</v>
      </c>
      <c r="F2224" s="3">
        <v>46002</v>
      </c>
      <c r="G2224" s="2" t="s">
        <v>11</v>
      </c>
      <c r="H2224" s="2">
        <v>11</v>
      </c>
      <c r="I2224" s="2">
        <v>11</v>
      </c>
      <c r="J2224">
        <f t="shared" si="170"/>
        <v>8</v>
      </c>
      <c r="K2224">
        <f t="shared" si="171"/>
        <v>7</v>
      </c>
      <c r="L2224" t="str">
        <f t="shared" si="172"/>
        <v>No</v>
      </c>
      <c r="M2224" t="str">
        <f t="shared" si="174"/>
        <v>Yes</v>
      </c>
      <c r="N2224" t="str">
        <f t="shared" si="173"/>
        <v>No</v>
      </c>
    </row>
    <row r="2225" spans="1:14" x14ac:dyDescent="0.3">
      <c r="A2225" s="4" t="s">
        <v>4467</v>
      </c>
      <c r="B2225" s="4" t="s">
        <v>4468</v>
      </c>
      <c r="C2225" s="4" t="s">
        <v>27</v>
      </c>
      <c r="D2225" s="5">
        <v>45993</v>
      </c>
      <c r="E2225" s="5">
        <v>45997</v>
      </c>
      <c r="F2225" s="5">
        <v>46006</v>
      </c>
      <c r="G2225" s="4" t="s">
        <v>11</v>
      </c>
      <c r="H2225" s="4">
        <v>39</v>
      </c>
      <c r="I2225" s="2">
        <v>39</v>
      </c>
      <c r="J2225">
        <f t="shared" si="170"/>
        <v>13</v>
      </c>
      <c r="K2225">
        <f t="shared" si="171"/>
        <v>9</v>
      </c>
      <c r="L2225" t="str">
        <f t="shared" si="172"/>
        <v>No</v>
      </c>
      <c r="M2225" t="str">
        <f t="shared" si="174"/>
        <v>Yes</v>
      </c>
      <c r="N2225" t="str">
        <f t="shared" si="173"/>
        <v>No</v>
      </c>
    </row>
    <row r="2226" spans="1:14" x14ac:dyDescent="0.3">
      <c r="A2226" s="2" t="s">
        <v>4469</v>
      </c>
      <c r="B2226" s="2" t="s">
        <v>4470</v>
      </c>
      <c r="C2226" s="2" t="s">
        <v>27</v>
      </c>
      <c r="D2226" s="3">
        <v>45994</v>
      </c>
      <c r="E2226" s="3">
        <v>45997</v>
      </c>
      <c r="F2226" s="3">
        <v>46011</v>
      </c>
      <c r="G2226" s="2" t="s">
        <v>22</v>
      </c>
      <c r="H2226" s="2">
        <v>6</v>
      </c>
      <c r="I2226" s="2">
        <v>6</v>
      </c>
      <c r="J2226">
        <f t="shared" si="170"/>
        <v>17</v>
      </c>
      <c r="K2226">
        <f t="shared" si="171"/>
        <v>14</v>
      </c>
      <c r="L2226" t="str">
        <f t="shared" si="172"/>
        <v>No</v>
      </c>
      <c r="M2226" t="str">
        <f t="shared" si="174"/>
        <v>Yes</v>
      </c>
      <c r="N2226" t="str">
        <f t="shared" si="173"/>
        <v>No</v>
      </c>
    </row>
    <row r="2227" spans="1:14" x14ac:dyDescent="0.3">
      <c r="A2227" s="4" t="s">
        <v>4471</v>
      </c>
      <c r="B2227" s="4" t="s">
        <v>4472</v>
      </c>
      <c r="C2227" s="4" t="s">
        <v>34</v>
      </c>
      <c r="D2227" s="5">
        <v>45994</v>
      </c>
      <c r="E2227" s="5">
        <v>45998</v>
      </c>
      <c r="F2227" s="5">
        <v>46001</v>
      </c>
      <c r="G2227" s="4" t="s">
        <v>18</v>
      </c>
      <c r="H2227" s="4">
        <v>57</v>
      </c>
      <c r="I2227" s="2">
        <v>57</v>
      </c>
      <c r="J2227">
        <f t="shared" si="170"/>
        <v>7</v>
      </c>
      <c r="K2227">
        <f t="shared" si="171"/>
        <v>3</v>
      </c>
      <c r="L2227" t="str">
        <f t="shared" si="172"/>
        <v>No</v>
      </c>
      <c r="M2227" t="str">
        <f t="shared" si="174"/>
        <v>Yes</v>
      </c>
      <c r="N2227" t="str">
        <f t="shared" si="173"/>
        <v>No</v>
      </c>
    </row>
    <row r="2228" spans="1:14" x14ac:dyDescent="0.3">
      <c r="A2228" s="2" t="s">
        <v>4473</v>
      </c>
      <c r="B2228" s="2" t="s">
        <v>4474</v>
      </c>
      <c r="C2228" s="2" t="s">
        <v>14</v>
      </c>
      <c r="D2228" s="3">
        <v>45994</v>
      </c>
      <c r="E2228" s="3">
        <v>45996</v>
      </c>
      <c r="F2228" s="3">
        <v>46011</v>
      </c>
      <c r="G2228" s="2" t="s">
        <v>15</v>
      </c>
      <c r="H2228" s="2">
        <v>55</v>
      </c>
      <c r="I2228" s="2">
        <v>55</v>
      </c>
      <c r="J2228">
        <f t="shared" si="170"/>
        <v>17</v>
      </c>
      <c r="K2228">
        <f t="shared" si="171"/>
        <v>15</v>
      </c>
      <c r="L2228" t="str">
        <f t="shared" si="172"/>
        <v>No</v>
      </c>
      <c r="M2228" t="str">
        <f t="shared" si="174"/>
        <v>Yes</v>
      </c>
      <c r="N2228" t="str">
        <f t="shared" si="173"/>
        <v>No</v>
      </c>
    </row>
    <row r="2229" spans="1:14" x14ac:dyDescent="0.3">
      <c r="A2229" s="4" t="s">
        <v>4475</v>
      </c>
      <c r="B2229" s="4" t="s">
        <v>4476</v>
      </c>
      <c r="C2229" s="4" t="s">
        <v>14</v>
      </c>
      <c r="D2229" s="5">
        <v>45993</v>
      </c>
      <c r="E2229" s="5">
        <v>46002</v>
      </c>
      <c r="F2229" s="5">
        <v>46010</v>
      </c>
      <c r="G2229" s="4" t="s">
        <v>15</v>
      </c>
      <c r="H2229" s="4">
        <v>28</v>
      </c>
      <c r="I2229" s="2">
        <v>28</v>
      </c>
      <c r="J2229">
        <f t="shared" si="170"/>
        <v>17</v>
      </c>
      <c r="K2229">
        <f t="shared" si="171"/>
        <v>8</v>
      </c>
      <c r="L2229" t="str">
        <f t="shared" si="172"/>
        <v>No</v>
      </c>
      <c r="M2229" t="str">
        <f t="shared" si="174"/>
        <v>Yes</v>
      </c>
      <c r="N2229" t="str">
        <f t="shared" si="173"/>
        <v>No</v>
      </c>
    </row>
    <row r="2230" spans="1:14" x14ac:dyDescent="0.3">
      <c r="A2230" s="2" t="s">
        <v>4477</v>
      </c>
      <c r="B2230" s="2" t="s">
        <v>4478</v>
      </c>
      <c r="C2230" s="2" t="s">
        <v>21</v>
      </c>
      <c r="D2230" s="3">
        <v>45994</v>
      </c>
      <c r="E2230" s="3">
        <v>46002</v>
      </c>
      <c r="F2230" s="3">
        <v>46002</v>
      </c>
      <c r="G2230" s="2" t="s">
        <v>11</v>
      </c>
      <c r="H2230" s="2">
        <v>35</v>
      </c>
      <c r="I2230" s="2">
        <v>35</v>
      </c>
      <c r="J2230">
        <f t="shared" si="170"/>
        <v>8</v>
      </c>
      <c r="K2230">
        <f t="shared" si="171"/>
        <v>0</v>
      </c>
      <c r="L2230" t="str">
        <f t="shared" si="172"/>
        <v>Yes</v>
      </c>
      <c r="M2230" t="str">
        <f t="shared" si="174"/>
        <v>Yes</v>
      </c>
      <c r="N2230" t="str">
        <f t="shared" si="173"/>
        <v>Yes</v>
      </c>
    </row>
    <row r="2231" spans="1:14" x14ac:dyDescent="0.3">
      <c r="A2231" s="4" t="s">
        <v>4479</v>
      </c>
      <c r="B2231" s="4" t="s">
        <v>4480</v>
      </c>
      <c r="C2231" s="4" t="s">
        <v>21</v>
      </c>
      <c r="D2231" s="5">
        <v>45994</v>
      </c>
      <c r="E2231" s="5">
        <v>46001</v>
      </c>
      <c r="F2231" s="5">
        <v>46000</v>
      </c>
      <c r="G2231" s="4" t="s">
        <v>11</v>
      </c>
      <c r="H2231" s="4">
        <v>34</v>
      </c>
      <c r="I2231" s="2">
        <v>34</v>
      </c>
      <c r="J2231">
        <f t="shared" si="170"/>
        <v>6</v>
      </c>
      <c r="K2231">
        <f t="shared" si="171"/>
        <v>-1</v>
      </c>
      <c r="L2231" t="str">
        <f t="shared" si="172"/>
        <v>Yes</v>
      </c>
      <c r="M2231" t="str">
        <f t="shared" si="174"/>
        <v>Yes</v>
      </c>
      <c r="N2231" t="str">
        <f t="shared" si="173"/>
        <v>Yes</v>
      </c>
    </row>
    <row r="2232" spans="1:14" x14ac:dyDescent="0.3">
      <c r="A2232" s="2" t="s">
        <v>4481</v>
      </c>
      <c r="B2232" s="2" t="s">
        <v>4482</v>
      </c>
      <c r="C2232" s="2" t="s">
        <v>27</v>
      </c>
      <c r="D2232" s="3">
        <v>45995</v>
      </c>
      <c r="E2232" s="3">
        <v>45996</v>
      </c>
      <c r="F2232" s="3">
        <v>46008</v>
      </c>
      <c r="G2232" s="2" t="s">
        <v>18</v>
      </c>
      <c r="H2232" s="2">
        <v>9</v>
      </c>
      <c r="I2232" s="2">
        <v>9</v>
      </c>
      <c r="J2232">
        <f t="shared" si="170"/>
        <v>13</v>
      </c>
      <c r="K2232">
        <f t="shared" si="171"/>
        <v>12</v>
      </c>
      <c r="L2232" t="str">
        <f t="shared" si="172"/>
        <v>No</v>
      </c>
      <c r="M2232" t="str">
        <f t="shared" si="174"/>
        <v>Yes</v>
      </c>
      <c r="N2232" t="str">
        <f t="shared" si="173"/>
        <v>No</v>
      </c>
    </row>
    <row r="2233" spans="1:14" x14ac:dyDescent="0.3">
      <c r="A2233" s="4" t="s">
        <v>4483</v>
      </c>
      <c r="B2233" s="4" t="s">
        <v>4484</v>
      </c>
      <c r="C2233" s="4" t="s">
        <v>34</v>
      </c>
      <c r="D2233" s="5">
        <v>45995</v>
      </c>
      <c r="E2233" s="5">
        <v>46002</v>
      </c>
      <c r="F2233" s="5">
        <v>46006</v>
      </c>
      <c r="G2233" s="4" t="s">
        <v>11</v>
      </c>
      <c r="H2233" s="4">
        <v>19</v>
      </c>
      <c r="I2233" s="2">
        <v>19</v>
      </c>
      <c r="J2233">
        <f t="shared" si="170"/>
        <v>11</v>
      </c>
      <c r="K2233">
        <f t="shared" si="171"/>
        <v>4</v>
      </c>
      <c r="L2233" t="str">
        <f t="shared" si="172"/>
        <v>No</v>
      </c>
      <c r="M2233" t="str">
        <f t="shared" si="174"/>
        <v>Yes</v>
      </c>
      <c r="N2233" t="str">
        <f t="shared" si="173"/>
        <v>No</v>
      </c>
    </row>
    <row r="2234" spans="1:14" x14ac:dyDescent="0.3">
      <c r="A2234" s="2" t="s">
        <v>4485</v>
      </c>
      <c r="B2234" s="2" t="s">
        <v>4486</v>
      </c>
      <c r="C2234" s="2" t="s">
        <v>59</v>
      </c>
      <c r="D2234" s="3">
        <v>45995</v>
      </c>
      <c r="E2234" s="3">
        <v>46001</v>
      </c>
      <c r="F2234" s="3">
        <v>46000</v>
      </c>
      <c r="G2234" s="2" t="s">
        <v>40</v>
      </c>
      <c r="H2234" s="2">
        <v>21</v>
      </c>
      <c r="I2234" s="2">
        <v>21</v>
      </c>
      <c r="J2234">
        <f t="shared" si="170"/>
        <v>5</v>
      </c>
      <c r="K2234">
        <f t="shared" si="171"/>
        <v>-1</v>
      </c>
      <c r="L2234" t="str">
        <f t="shared" si="172"/>
        <v>Yes</v>
      </c>
      <c r="M2234" t="str">
        <f t="shared" si="174"/>
        <v>Yes</v>
      </c>
      <c r="N2234" t="str">
        <f t="shared" si="173"/>
        <v>Yes</v>
      </c>
    </row>
    <row r="2235" spans="1:14" x14ac:dyDescent="0.3">
      <c r="A2235" s="4" t="s">
        <v>4487</v>
      </c>
      <c r="B2235" s="4" t="s">
        <v>4488</v>
      </c>
      <c r="C2235" s="4" t="s">
        <v>14</v>
      </c>
      <c r="D2235" s="5">
        <v>45996</v>
      </c>
      <c r="E2235" s="5">
        <v>45997</v>
      </c>
      <c r="F2235" s="5">
        <v>46012</v>
      </c>
      <c r="G2235" s="4" t="s">
        <v>40</v>
      </c>
      <c r="H2235" s="4">
        <v>53</v>
      </c>
      <c r="I2235" s="2">
        <v>53</v>
      </c>
      <c r="J2235">
        <f t="shared" si="170"/>
        <v>16</v>
      </c>
      <c r="K2235">
        <f t="shared" si="171"/>
        <v>15</v>
      </c>
      <c r="L2235" t="str">
        <f t="shared" si="172"/>
        <v>No</v>
      </c>
      <c r="M2235" t="str">
        <f t="shared" si="174"/>
        <v>Yes</v>
      </c>
      <c r="N2235" t="str">
        <f t="shared" si="173"/>
        <v>No</v>
      </c>
    </row>
    <row r="2236" spans="1:14" x14ac:dyDescent="0.3">
      <c r="A2236" s="2" t="s">
        <v>4489</v>
      </c>
      <c r="B2236" s="2" t="s">
        <v>4490</v>
      </c>
      <c r="C2236" s="2" t="s">
        <v>14</v>
      </c>
      <c r="D2236" s="3">
        <v>45995</v>
      </c>
      <c r="E2236" s="3">
        <v>45997</v>
      </c>
      <c r="F2236" s="3">
        <v>46010</v>
      </c>
      <c r="G2236" s="2" t="s">
        <v>15</v>
      </c>
      <c r="H2236" s="2">
        <v>18</v>
      </c>
      <c r="I2236" s="2">
        <v>18</v>
      </c>
      <c r="J2236">
        <f t="shared" si="170"/>
        <v>15</v>
      </c>
      <c r="K2236">
        <f t="shared" si="171"/>
        <v>13</v>
      </c>
      <c r="L2236" t="str">
        <f t="shared" si="172"/>
        <v>No</v>
      </c>
      <c r="M2236" t="str">
        <f t="shared" si="174"/>
        <v>Yes</v>
      </c>
      <c r="N2236" t="str">
        <f t="shared" si="173"/>
        <v>No</v>
      </c>
    </row>
    <row r="2237" spans="1:14" x14ac:dyDescent="0.3">
      <c r="A2237" s="4" t="s">
        <v>4491</v>
      </c>
      <c r="B2237" s="4" t="s">
        <v>4492</v>
      </c>
      <c r="C2237" s="4" t="s">
        <v>21</v>
      </c>
      <c r="D2237" s="5">
        <v>45996</v>
      </c>
      <c r="E2237" s="5">
        <v>46000</v>
      </c>
      <c r="F2237" s="5">
        <v>46002</v>
      </c>
      <c r="G2237" s="4" t="s">
        <v>22</v>
      </c>
      <c r="H2237" s="4">
        <v>28</v>
      </c>
      <c r="I2237" s="2">
        <v>28</v>
      </c>
      <c r="J2237">
        <f t="shared" si="170"/>
        <v>6</v>
      </c>
      <c r="K2237">
        <f t="shared" si="171"/>
        <v>2</v>
      </c>
      <c r="L2237" t="str">
        <f t="shared" si="172"/>
        <v>No</v>
      </c>
      <c r="M2237" t="str">
        <f t="shared" si="174"/>
        <v>Yes</v>
      </c>
      <c r="N2237" t="str">
        <f t="shared" si="173"/>
        <v>No</v>
      </c>
    </row>
    <row r="2238" spans="1:14" x14ac:dyDescent="0.3">
      <c r="A2238" s="2" t="s">
        <v>4493</v>
      </c>
      <c r="B2238" s="2" t="s">
        <v>4494</v>
      </c>
      <c r="C2238" s="2" t="s">
        <v>21</v>
      </c>
      <c r="D2238" s="3">
        <v>45995</v>
      </c>
      <c r="E2238" s="3">
        <v>45998</v>
      </c>
      <c r="F2238" s="3">
        <v>46001</v>
      </c>
      <c r="G2238" s="2" t="s">
        <v>22</v>
      </c>
      <c r="H2238" s="2">
        <v>29</v>
      </c>
      <c r="I2238" s="2">
        <v>29</v>
      </c>
      <c r="J2238">
        <f t="shared" si="170"/>
        <v>6</v>
      </c>
      <c r="K2238">
        <f t="shared" si="171"/>
        <v>3</v>
      </c>
      <c r="L2238" t="str">
        <f t="shared" si="172"/>
        <v>No</v>
      </c>
      <c r="M2238" t="str">
        <f t="shared" si="174"/>
        <v>Yes</v>
      </c>
      <c r="N2238" t="str">
        <f t="shared" si="173"/>
        <v>No</v>
      </c>
    </row>
    <row r="2239" spans="1:14" x14ac:dyDescent="0.3">
      <c r="A2239" s="4" t="s">
        <v>4495</v>
      </c>
      <c r="B2239" s="4" t="s">
        <v>4496</v>
      </c>
      <c r="C2239" s="4" t="s">
        <v>27</v>
      </c>
      <c r="D2239" s="5">
        <v>45994</v>
      </c>
      <c r="E2239" s="5">
        <v>45999</v>
      </c>
      <c r="F2239" s="5">
        <v>46007</v>
      </c>
      <c r="G2239" s="4" t="s">
        <v>15</v>
      </c>
      <c r="H2239" s="4">
        <v>11</v>
      </c>
      <c r="I2239" s="2">
        <v>11</v>
      </c>
      <c r="J2239">
        <f t="shared" si="170"/>
        <v>13</v>
      </c>
      <c r="K2239">
        <f t="shared" si="171"/>
        <v>8</v>
      </c>
      <c r="L2239" t="str">
        <f t="shared" si="172"/>
        <v>No</v>
      </c>
      <c r="M2239" t="str">
        <f t="shared" si="174"/>
        <v>Yes</v>
      </c>
      <c r="N2239" t="str">
        <f t="shared" si="173"/>
        <v>No</v>
      </c>
    </row>
    <row r="2240" spans="1:14" x14ac:dyDescent="0.3">
      <c r="A2240" s="2" t="s">
        <v>4497</v>
      </c>
      <c r="B2240" s="2" t="s">
        <v>4498</v>
      </c>
      <c r="C2240" s="2" t="s">
        <v>37</v>
      </c>
      <c r="D2240" s="3">
        <v>45997</v>
      </c>
      <c r="E2240" s="3">
        <v>46000</v>
      </c>
      <c r="F2240" s="3">
        <v>46014</v>
      </c>
      <c r="G2240" s="2" t="s">
        <v>11</v>
      </c>
      <c r="H2240" s="2">
        <v>1</v>
      </c>
      <c r="I2240" s="2">
        <v>1</v>
      </c>
      <c r="J2240">
        <f t="shared" si="170"/>
        <v>17</v>
      </c>
      <c r="K2240">
        <f t="shared" si="171"/>
        <v>14</v>
      </c>
      <c r="L2240" t="str">
        <f t="shared" si="172"/>
        <v>No</v>
      </c>
      <c r="M2240" t="str">
        <f t="shared" si="174"/>
        <v>Yes</v>
      </c>
      <c r="N2240" t="str">
        <f t="shared" si="173"/>
        <v>No</v>
      </c>
    </row>
    <row r="2241" spans="1:14" x14ac:dyDescent="0.3">
      <c r="A2241" s="4" t="s">
        <v>4499</v>
      </c>
      <c r="B2241" s="4" t="s">
        <v>4500</v>
      </c>
      <c r="C2241" s="4" t="s">
        <v>10</v>
      </c>
      <c r="D2241" s="5">
        <v>45997</v>
      </c>
      <c r="E2241" s="5">
        <v>46001</v>
      </c>
      <c r="F2241" s="5">
        <v>46002</v>
      </c>
      <c r="G2241" s="4" t="s">
        <v>11</v>
      </c>
      <c r="H2241" s="4">
        <v>16</v>
      </c>
      <c r="I2241" s="2">
        <v>16</v>
      </c>
      <c r="J2241">
        <f t="shared" si="170"/>
        <v>5</v>
      </c>
      <c r="K2241">
        <f t="shared" si="171"/>
        <v>1</v>
      </c>
      <c r="L2241" t="str">
        <f t="shared" si="172"/>
        <v>No</v>
      </c>
      <c r="M2241" t="str">
        <f t="shared" si="174"/>
        <v>Yes</v>
      </c>
      <c r="N2241" t="str">
        <f t="shared" si="173"/>
        <v>No</v>
      </c>
    </row>
    <row r="2242" spans="1:14" x14ac:dyDescent="0.3">
      <c r="A2242" s="2" t="s">
        <v>4501</v>
      </c>
      <c r="B2242" s="2" t="s">
        <v>4502</v>
      </c>
      <c r="C2242" s="2" t="s">
        <v>10</v>
      </c>
      <c r="D2242" s="3">
        <v>45996</v>
      </c>
      <c r="E2242" s="3">
        <v>46004</v>
      </c>
      <c r="F2242" s="3">
        <v>46000</v>
      </c>
      <c r="G2242" s="2" t="s">
        <v>11</v>
      </c>
      <c r="H2242" s="2">
        <v>12</v>
      </c>
      <c r="I2242" s="2">
        <v>12</v>
      </c>
      <c r="J2242">
        <f t="shared" si="170"/>
        <v>4</v>
      </c>
      <c r="K2242">
        <f t="shared" si="171"/>
        <v>-4</v>
      </c>
      <c r="L2242" t="str">
        <f t="shared" si="172"/>
        <v>Yes</v>
      </c>
      <c r="M2242" t="str">
        <f t="shared" si="174"/>
        <v>Yes</v>
      </c>
      <c r="N2242" t="str">
        <f t="shared" si="173"/>
        <v>Yes</v>
      </c>
    </row>
    <row r="2243" spans="1:14" x14ac:dyDescent="0.3">
      <c r="A2243" s="4" t="s">
        <v>4503</v>
      </c>
      <c r="B2243" s="4" t="s">
        <v>4504</v>
      </c>
      <c r="C2243" s="4" t="s">
        <v>14</v>
      </c>
      <c r="D2243" s="5">
        <v>45995</v>
      </c>
      <c r="E2243" s="5">
        <v>46001</v>
      </c>
      <c r="F2243" s="5">
        <v>46010</v>
      </c>
      <c r="G2243" s="4" t="s">
        <v>22</v>
      </c>
      <c r="H2243" s="4">
        <v>65</v>
      </c>
      <c r="I2243" s="2">
        <v>65</v>
      </c>
      <c r="J2243">
        <f t="shared" ref="J2243:J2306" si="175">F2243-D2243</f>
        <v>15</v>
      </c>
      <c r="K2243">
        <f t="shared" ref="K2243:K2306" si="176">F2243-E2243</f>
        <v>9</v>
      </c>
      <c r="L2243" t="str">
        <f t="shared" ref="L2243:L2306" si="177">IF(K2243&lt;=0,"Yes","No")</f>
        <v>No</v>
      </c>
      <c r="M2243" t="str">
        <f t="shared" si="174"/>
        <v>Yes</v>
      </c>
      <c r="N2243" t="str">
        <f t="shared" ref="N2243:N2306" si="178">IF(AND(L2243="Yes",M2243="Yes"),"Yes","No")</f>
        <v>No</v>
      </c>
    </row>
    <row r="2244" spans="1:14" x14ac:dyDescent="0.3">
      <c r="A2244" s="2" t="s">
        <v>4505</v>
      </c>
      <c r="B2244" s="2" t="s">
        <v>4506</v>
      </c>
      <c r="C2244" s="2" t="s">
        <v>21</v>
      </c>
      <c r="D2244" s="3">
        <v>45997</v>
      </c>
      <c r="E2244" s="3">
        <v>46001</v>
      </c>
      <c r="F2244" s="3">
        <v>46003</v>
      </c>
      <c r="G2244" s="2" t="s">
        <v>40</v>
      </c>
      <c r="H2244" s="2">
        <v>44</v>
      </c>
      <c r="I2244" s="2">
        <v>44</v>
      </c>
      <c r="J2244">
        <f t="shared" si="175"/>
        <v>6</v>
      </c>
      <c r="K2244">
        <f t="shared" si="176"/>
        <v>2</v>
      </c>
      <c r="L2244" t="str">
        <f t="shared" si="177"/>
        <v>No</v>
      </c>
      <c r="M2244" t="str">
        <f t="shared" ref="M2244:M2307" si="179">IF(H2244=I2244,"Yes","No")</f>
        <v>Yes</v>
      </c>
      <c r="N2244" t="str">
        <f t="shared" si="178"/>
        <v>No</v>
      </c>
    </row>
    <row r="2245" spans="1:14" x14ac:dyDescent="0.3">
      <c r="A2245" s="4" t="s">
        <v>4507</v>
      </c>
      <c r="B2245" s="4" t="s">
        <v>4508</v>
      </c>
      <c r="C2245" s="4" t="s">
        <v>27</v>
      </c>
      <c r="D2245" s="5">
        <v>45995</v>
      </c>
      <c r="E2245" s="5">
        <v>45998</v>
      </c>
      <c r="F2245" s="5">
        <v>46008</v>
      </c>
      <c r="G2245" s="4" t="s">
        <v>40</v>
      </c>
      <c r="H2245" s="4">
        <v>5</v>
      </c>
      <c r="I2245" s="2">
        <v>5</v>
      </c>
      <c r="J2245">
        <f t="shared" si="175"/>
        <v>13</v>
      </c>
      <c r="K2245">
        <f t="shared" si="176"/>
        <v>10</v>
      </c>
      <c r="L2245" t="str">
        <f t="shared" si="177"/>
        <v>No</v>
      </c>
      <c r="M2245" t="str">
        <f t="shared" si="179"/>
        <v>Yes</v>
      </c>
      <c r="N2245" t="str">
        <f t="shared" si="178"/>
        <v>No</v>
      </c>
    </row>
    <row r="2246" spans="1:14" x14ac:dyDescent="0.3">
      <c r="A2246" s="2" t="s">
        <v>4509</v>
      </c>
      <c r="B2246" s="2" t="s">
        <v>4510</v>
      </c>
      <c r="C2246" s="2" t="s">
        <v>10</v>
      </c>
      <c r="D2246" s="3">
        <v>45998</v>
      </c>
      <c r="E2246" s="3">
        <v>46004</v>
      </c>
      <c r="F2246" s="3">
        <v>46002</v>
      </c>
      <c r="G2246" s="2" t="s">
        <v>15</v>
      </c>
      <c r="H2246" s="2">
        <v>16</v>
      </c>
      <c r="I2246" s="2">
        <v>16</v>
      </c>
      <c r="J2246">
        <f t="shared" si="175"/>
        <v>4</v>
      </c>
      <c r="K2246">
        <f t="shared" si="176"/>
        <v>-2</v>
      </c>
      <c r="L2246" t="str">
        <f t="shared" si="177"/>
        <v>Yes</v>
      </c>
      <c r="M2246" t="str">
        <f t="shared" si="179"/>
        <v>Yes</v>
      </c>
      <c r="N2246" t="str">
        <f t="shared" si="178"/>
        <v>Yes</v>
      </c>
    </row>
    <row r="2247" spans="1:14" x14ac:dyDescent="0.3">
      <c r="A2247" s="4" t="s">
        <v>4511</v>
      </c>
      <c r="B2247" s="4" t="s">
        <v>4512</v>
      </c>
      <c r="C2247" s="4" t="s">
        <v>37</v>
      </c>
      <c r="D2247" s="5">
        <v>45999</v>
      </c>
      <c r="E2247" s="5">
        <v>46005</v>
      </c>
      <c r="F2247" s="5">
        <v>46012</v>
      </c>
      <c r="G2247" s="4" t="s">
        <v>18</v>
      </c>
      <c r="H2247" s="4">
        <v>53</v>
      </c>
      <c r="I2247" s="2">
        <v>53</v>
      </c>
      <c r="J2247">
        <f t="shared" si="175"/>
        <v>13</v>
      </c>
      <c r="K2247">
        <f t="shared" si="176"/>
        <v>7</v>
      </c>
      <c r="L2247" t="str">
        <f t="shared" si="177"/>
        <v>No</v>
      </c>
      <c r="M2247" t="str">
        <f t="shared" si="179"/>
        <v>Yes</v>
      </c>
      <c r="N2247" t="str">
        <f t="shared" si="178"/>
        <v>No</v>
      </c>
    </row>
    <row r="2248" spans="1:14" x14ac:dyDescent="0.3">
      <c r="A2248" s="2" t="s">
        <v>4513</v>
      </c>
      <c r="B2248" s="2" t="s">
        <v>4514</v>
      </c>
      <c r="C2248" s="2" t="s">
        <v>72</v>
      </c>
      <c r="D2248" s="3">
        <v>45998</v>
      </c>
      <c r="E2248" s="3">
        <v>46004</v>
      </c>
      <c r="F2248" s="3">
        <v>46014</v>
      </c>
      <c r="G2248" s="2" t="s">
        <v>11</v>
      </c>
      <c r="H2248" s="2">
        <v>15</v>
      </c>
      <c r="I2248" s="2">
        <v>15</v>
      </c>
      <c r="J2248">
        <f t="shared" si="175"/>
        <v>16</v>
      </c>
      <c r="K2248">
        <f t="shared" si="176"/>
        <v>10</v>
      </c>
      <c r="L2248" t="str">
        <f t="shared" si="177"/>
        <v>No</v>
      </c>
      <c r="M2248" t="str">
        <f t="shared" si="179"/>
        <v>Yes</v>
      </c>
      <c r="N2248" t="str">
        <f t="shared" si="178"/>
        <v>No</v>
      </c>
    </row>
    <row r="2249" spans="1:14" x14ac:dyDescent="0.3">
      <c r="A2249" s="4" t="s">
        <v>4515</v>
      </c>
      <c r="B2249" s="4" t="s">
        <v>4516</v>
      </c>
      <c r="C2249" s="4" t="s">
        <v>10</v>
      </c>
      <c r="D2249" s="5">
        <v>45997</v>
      </c>
      <c r="E2249" s="5">
        <v>46005</v>
      </c>
      <c r="F2249" s="5">
        <v>46003</v>
      </c>
      <c r="G2249" s="4" t="s">
        <v>22</v>
      </c>
      <c r="H2249" s="4">
        <v>7</v>
      </c>
      <c r="I2249" s="2">
        <v>7</v>
      </c>
      <c r="J2249">
        <f t="shared" si="175"/>
        <v>6</v>
      </c>
      <c r="K2249">
        <f t="shared" si="176"/>
        <v>-2</v>
      </c>
      <c r="L2249" t="str">
        <f t="shared" si="177"/>
        <v>Yes</v>
      </c>
      <c r="M2249" t="str">
        <f t="shared" si="179"/>
        <v>Yes</v>
      </c>
      <c r="N2249" t="str">
        <f t="shared" si="178"/>
        <v>Yes</v>
      </c>
    </row>
    <row r="2250" spans="1:14" x14ac:dyDescent="0.3">
      <c r="A2250" s="2" t="s">
        <v>4517</v>
      </c>
      <c r="B2250" s="2" t="s">
        <v>4518</v>
      </c>
      <c r="C2250" s="2" t="s">
        <v>14</v>
      </c>
      <c r="D2250" s="3">
        <v>45997</v>
      </c>
      <c r="E2250" s="3">
        <v>46006</v>
      </c>
      <c r="F2250" s="3">
        <v>46012</v>
      </c>
      <c r="G2250" s="2" t="s">
        <v>11</v>
      </c>
      <c r="H2250" s="2">
        <v>13</v>
      </c>
      <c r="I2250" s="2">
        <v>13</v>
      </c>
      <c r="J2250">
        <f t="shared" si="175"/>
        <v>15</v>
      </c>
      <c r="K2250">
        <f t="shared" si="176"/>
        <v>6</v>
      </c>
      <c r="L2250" t="str">
        <f t="shared" si="177"/>
        <v>No</v>
      </c>
      <c r="M2250" t="str">
        <f t="shared" si="179"/>
        <v>Yes</v>
      </c>
      <c r="N2250" t="str">
        <f t="shared" si="178"/>
        <v>No</v>
      </c>
    </row>
    <row r="2251" spans="1:14" x14ac:dyDescent="0.3">
      <c r="A2251" s="4" t="s">
        <v>4519</v>
      </c>
      <c r="B2251" s="4" t="s">
        <v>4520</v>
      </c>
      <c r="C2251" s="4" t="s">
        <v>21</v>
      </c>
      <c r="D2251" s="5">
        <v>45998</v>
      </c>
      <c r="E2251" s="5">
        <v>46002</v>
      </c>
      <c r="F2251" s="5">
        <v>46003</v>
      </c>
      <c r="G2251" s="4" t="s">
        <v>22</v>
      </c>
      <c r="H2251" s="4">
        <v>76</v>
      </c>
      <c r="I2251" s="2">
        <v>76</v>
      </c>
      <c r="J2251">
        <f t="shared" si="175"/>
        <v>5</v>
      </c>
      <c r="K2251">
        <f t="shared" si="176"/>
        <v>1</v>
      </c>
      <c r="L2251" t="str">
        <f t="shared" si="177"/>
        <v>No</v>
      </c>
      <c r="M2251" t="str">
        <f t="shared" si="179"/>
        <v>Yes</v>
      </c>
      <c r="N2251" t="str">
        <f t="shared" si="178"/>
        <v>No</v>
      </c>
    </row>
    <row r="2252" spans="1:14" x14ac:dyDescent="0.3">
      <c r="A2252" s="2" t="s">
        <v>4521</v>
      </c>
      <c r="B2252" s="2" t="s">
        <v>4522</v>
      </c>
      <c r="C2252" s="2" t="s">
        <v>21</v>
      </c>
      <c r="D2252" s="3">
        <v>45998</v>
      </c>
      <c r="E2252" s="3">
        <v>46005</v>
      </c>
      <c r="F2252" s="3">
        <v>46003</v>
      </c>
      <c r="G2252" s="2" t="s">
        <v>18</v>
      </c>
      <c r="H2252" s="2">
        <v>38</v>
      </c>
      <c r="I2252" s="2">
        <v>38</v>
      </c>
      <c r="J2252">
        <f t="shared" si="175"/>
        <v>5</v>
      </c>
      <c r="K2252">
        <f t="shared" si="176"/>
        <v>-2</v>
      </c>
      <c r="L2252" t="str">
        <f t="shared" si="177"/>
        <v>Yes</v>
      </c>
      <c r="M2252" t="str">
        <f t="shared" si="179"/>
        <v>Yes</v>
      </c>
      <c r="N2252" t="str">
        <f t="shared" si="178"/>
        <v>Yes</v>
      </c>
    </row>
    <row r="2253" spans="1:14" x14ac:dyDescent="0.3">
      <c r="A2253" s="4" t="s">
        <v>4523</v>
      </c>
      <c r="B2253" s="4" t="s">
        <v>4524</v>
      </c>
      <c r="C2253" s="4" t="s">
        <v>27</v>
      </c>
      <c r="D2253" s="5">
        <v>45998</v>
      </c>
      <c r="E2253" s="5">
        <v>46004</v>
      </c>
      <c r="F2253" s="5">
        <v>46011</v>
      </c>
      <c r="G2253" s="4" t="s">
        <v>22</v>
      </c>
      <c r="H2253" s="4">
        <v>16</v>
      </c>
      <c r="I2253" s="2">
        <v>16</v>
      </c>
      <c r="J2253">
        <f t="shared" si="175"/>
        <v>13</v>
      </c>
      <c r="K2253">
        <f t="shared" si="176"/>
        <v>7</v>
      </c>
      <c r="L2253" t="str">
        <f t="shared" si="177"/>
        <v>No</v>
      </c>
      <c r="M2253" t="str">
        <f t="shared" si="179"/>
        <v>Yes</v>
      </c>
      <c r="N2253" t="str">
        <f t="shared" si="178"/>
        <v>No</v>
      </c>
    </row>
    <row r="2254" spans="1:14" x14ac:dyDescent="0.3">
      <c r="A2254" s="2" t="s">
        <v>4525</v>
      </c>
      <c r="B2254" s="2" t="s">
        <v>4526</v>
      </c>
      <c r="C2254" s="2" t="s">
        <v>27</v>
      </c>
      <c r="D2254" s="3">
        <v>45998</v>
      </c>
      <c r="E2254" s="3">
        <v>46002</v>
      </c>
      <c r="F2254" s="3">
        <v>46012</v>
      </c>
      <c r="G2254" s="2" t="s">
        <v>40</v>
      </c>
      <c r="H2254" s="2">
        <v>9</v>
      </c>
      <c r="I2254" s="2">
        <v>9</v>
      </c>
      <c r="J2254">
        <f t="shared" si="175"/>
        <v>14</v>
      </c>
      <c r="K2254">
        <f t="shared" si="176"/>
        <v>10</v>
      </c>
      <c r="L2254" t="str">
        <f t="shared" si="177"/>
        <v>No</v>
      </c>
      <c r="M2254" t="str">
        <f t="shared" si="179"/>
        <v>Yes</v>
      </c>
      <c r="N2254" t="str">
        <f t="shared" si="178"/>
        <v>No</v>
      </c>
    </row>
    <row r="2255" spans="1:14" x14ac:dyDescent="0.3">
      <c r="A2255" s="4" t="s">
        <v>4527</v>
      </c>
      <c r="B2255" s="4" t="s">
        <v>4528</v>
      </c>
      <c r="C2255" s="4" t="s">
        <v>27</v>
      </c>
      <c r="D2255" s="5">
        <v>45998</v>
      </c>
      <c r="E2255" s="5">
        <v>46006</v>
      </c>
      <c r="F2255" s="5">
        <v>46012</v>
      </c>
      <c r="G2255" s="4" t="s">
        <v>11</v>
      </c>
      <c r="H2255" s="4">
        <v>4</v>
      </c>
      <c r="I2255" s="2">
        <v>4</v>
      </c>
      <c r="J2255">
        <f t="shared" si="175"/>
        <v>14</v>
      </c>
      <c r="K2255">
        <f t="shared" si="176"/>
        <v>6</v>
      </c>
      <c r="L2255" t="str">
        <f t="shared" si="177"/>
        <v>No</v>
      </c>
      <c r="M2255" t="str">
        <f t="shared" si="179"/>
        <v>Yes</v>
      </c>
      <c r="N2255" t="str">
        <f t="shared" si="178"/>
        <v>No</v>
      </c>
    </row>
    <row r="2256" spans="1:14" x14ac:dyDescent="0.3">
      <c r="A2256" s="2" t="s">
        <v>4529</v>
      </c>
      <c r="B2256" s="2" t="s">
        <v>4530</v>
      </c>
      <c r="C2256" s="2" t="s">
        <v>37</v>
      </c>
      <c r="D2256" s="3">
        <v>45998</v>
      </c>
      <c r="E2256" s="3">
        <v>46002</v>
      </c>
      <c r="F2256" s="3">
        <v>46015</v>
      </c>
      <c r="G2256" s="2" t="s">
        <v>22</v>
      </c>
      <c r="H2256" s="2">
        <v>44</v>
      </c>
      <c r="I2256" s="2">
        <v>44</v>
      </c>
      <c r="J2256">
        <f t="shared" si="175"/>
        <v>17</v>
      </c>
      <c r="K2256">
        <f t="shared" si="176"/>
        <v>13</v>
      </c>
      <c r="L2256" t="str">
        <f t="shared" si="177"/>
        <v>No</v>
      </c>
      <c r="M2256" t="str">
        <f t="shared" si="179"/>
        <v>Yes</v>
      </c>
      <c r="N2256" t="str">
        <f t="shared" si="178"/>
        <v>No</v>
      </c>
    </row>
    <row r="2257" spans="1:14" x14ac:dyDescent="0.3">
      <c r="A2257" s="4" t="s">
        <v>4531</v>
      </c>
      <c r="B2257" s="4" t="s">
        <v>4532</v>
      </c>
      <c r="C2257" s="4" t="s">
        <v>10</v>
      </c>
      <c r="D2257" s="5">
        <v>45998</v>
      </c>
      <c r="E2257" s="5">
        <v>46004</v>
      </c>
      <c r="F2257" s="5">
        <v>46003</v>
      </c>
      <c r="G2257" s="4" t="s">
        <v>18</v>
      </c>
      <c r="H2257" s="4">
        <v>19</v>
      </c>
      <c r="I2257" s="2">
        <v>19</v>
      </c>
      <c r="J2257">
        <f t="shared" si="175"/>
        <v>5</v>
      </c>
      <c r="K2257">
        <f t="shared" si="176"/>
        <v>-1</v>
      </c>
      <c r="L2257" t="str">
        <f t="shared" si="177"/>
        <v>Yes</v>
      </c>
      <c r="M2257" t="str">
        <f t="shared" si="179"/>
        <v>Yes</v>
      </c>
      <c r="N2257" t="str">
        <f t="shared" si="178"/>
        <v>Yes</v>
      </c>
    </row>
    <row r="2258" spans="1:14" x14ac:dyDescent="0.3">
      <c r="A2258" s="2" t="s">
        <v>4533</v>
      </c>
      <c r="B2258" s="2" t="s">
        <v>4534</v>
      </c>
      <c r="C2258" s="2" t="s">
        <v>59</v>
      </c>
      <c r="D2258" s="3">
        <v>45999</v>
      </c>
      <c r="E2258" s="3">
        <v>46001</v>
      </c>
      <c r="F2258" s="3">
        <v>46007</v>
      </c>
      <c r="G2258" s="2" t="s">
        <v>40</v>
      </c>
      <c r="H2258" s="2">
        <v>33</v>
      </c>
      <c r="I2258" s="2">
        <v>39</v>
      </c>
      <c r="J2258">
        <f t="shared" si="175"/>
        <v>8</v>
      </c>
      <c r="K2258">
        <f t="shared" si="176"/>
        <v>6</v>
      </c>
      <c r="L2258" t="str">
        <f t="shared" si="177"/>
        <v>No</v>
      </c>
      <c r="M2258" t="str">
        <f t="shared" si="179"/>
        <v>No</v>
      </c>
      <c r="N2258" t="str">
        <f t="shared" si="178"/>
        <v>No</v>
      </c>
    </row>
    <row r="2259" spans="1:14" x14ac:dyDescent="0.3">
      <c r="A2259" s="4" t="s">
        <v>4535</v>
      </c>
      <c r="B2259" s="4" t="s">
        <v>4536</v>
      </c>
      <c r="C2259" s="4" t="s">
        <v>21</v>
      </c>
      <c r="D2259" s="5">
        <v>45999</v>
      </c>
      <c r="E2259" s="5">
        <v>46002</v>
      </c>
      <c r="F2259" s="5">
        <v>46005</v>
      </c>
      <c r="G2259" s="4" t="s">
        <v>15</v>
      </c>
      <c r="H2259" s="4">
        <v>43</v>
      </c>
      <c r="I2259" s="2">
        <v>43</v>
      </c>
      <c r="J2259">
        <f t="shared" si="175"/>
        <v>6</v>
      </c>
      <c r="K2259">
        <f t="shared" si="176"/>
        <v>3</v>
      </c>
      <c r="L2259" t="str">
        <f t="shared" si="177"/>
        <v>No</v>
      </c>
      <c r="M2259" t="str">
        <f t="shared" si="179"/>
        <v>Yes</v>
      </c>
      <c r="N2259" t="str">
        <f t="shared" si="178"/>
        <v>No</v>
      </c>
    </row>
    <row r="2260" spans="1:14" x14ac:dyDescent="0.3">
      <c r="A2260" s="2" t="s">
        <v>4537</v>
      </c>
      <c r="B2260" s="2" t="s">
        <v>4538</v>
      </c>
      <c r="C2260" s="2" t="s">
        <v>21</v>
      </c>
      <c r="D2260" s="3">
        <v>46000</v>
      </c>
      <c r="E2260" s="3">
        <v>46001</v>
      </c>
      <c r="F2260" s="3">
        <v>46006</v>
      </c>
      <c r="G2260" s="2" t="s">
        <v>18</v>
      </c>
      <c r="H2260" s="2">
        <v>34</v>
      </c>
      <c r="I2260" s="2">
        <v>35</v>
      </c>
      <c r="J2260">
        <f t="shared" si="175"/>
        <v>6</v>
      </c>
      <c r="K2260">
        <f t="shared" si="176"/>
        <v>5</v>
      </c>
      <c r="L2260" t="str">
        <f t="shared" si="177"/>
        <v>No</v>
      </c>
      <c r="M2260" t="str">
        <f t="shared" si="179"/>
        <v>No</v>
      </c>
      <c r="N2260" t="str">
        <f t="shared" si="178"/>
        <v>No</v>
      </c>
    </row>
    <row r="2261" spans="1:14" x14ac:dyDescent="0.3">
      <c r="A2261" s="4" t="s">
        <v>4539</v>
      </c>
      <c r="B2261" s="4" t="s">
        <v>4540</v>
      </c>
      <c r="C2261" s="4" t="s">
        <v>27</v>
      </c>
      <c r="D2261" s="5">
        <v>45999</v>
      </c>
      <c r="E2261" s="5">
        <v>46005</v>
      </c>
      <c r="F2261" s="5">
        <v>46012</v>
      </c>
      <c r="G2261" s="4" t="s">
        <v>18</v>
      </c>
      <c r="H2261" s="4">
        <v>1</v>
      </c>
      <c r="I2261" s="2">
        <v>1</v>
      </c>
      <c r="J2261">
        <f t="shared" si="175"/>
        <v>13</v>
      </c>
      <c r="K2261">
        <f t="shared" si="176"/>
        <v>7</v>
      </c>
      <c r="L2261" t="str">
        <f t="shared" si="177"/>
        <v>No</v>
      </c>
      <c r="M2261" t="str">
        <f t="shared" si="179"/>
        <v>Yes</v>
      </c>
      <c r="N2261" t="str">
        <f t="shared" si="178"/>
        <v>No</v>
      </c>
    </row>
    <row r="2262" spans="1:14" x14ac:dyDescent="0.3">
      <c r="A2262" s="2" t="s">
        <v>4541</v>
      </c>
      <c r="B2262" s="2" t="s">
        <v>4542</v>
      </c>
      <c r="C2262" s="2" t="s">
        <v>34</v>
      </c>
      <c r="D2262" s="3">
        <v>46000</v>
      </c>
      <c r="E2262" s="3">
        <v>46002</v>
      </c>
      <c r="F2262" s="3">
        <v>46007</v>
      </c>
      <c r="G2262" s="2" t="s">
        <v>22</v>
      </c>
      <c r="H2262" s="2">
        <v>56</v>
      </c>
      <c r="I2262" s="2">
        <v>56</v>
      </c>
      <c r="J2262">
        <f t="shared" si="175"/>
        <v>7</v>
      </c>
      <c r="K2262">
        <f t="shared" si="176"/>
        <v>5</v>
      </c>
      <c r="L2262" t="str">
        <f t="shared" si="177"/>
        <v>No</v>
      </c>
      <c r="M2262" t="str">
        <f t="shared" si="179"/>
        <v>Yes</v>
      </c>
      <c r="N2262" t="str">
        <f t="shared" si="178"/>
        <v>No</v>
      </c>
    </row>
    <row r="2263" spans="1:14" x14ac:dyDescent="0.3">
      <c r="A2263" s="4" t="s">
        <v>4543</v>
      </c>
      <c r="B2263" s="4" t="s">
        <v>4544</v>
      </c>
      <c r="C2263" s="4" t="s">
        <v>72</v>
      </c>
      <c r="D2263" s="5">
        <v>46001</v>
      </c>
      <c r="E2263" s="5">
        <v>46005</v>
      </c>
      <c r="F2263" s="5">
        <v>46019</v>
      </c>
      <c r="G2263" s="4" t="s">
        <v>22</v>
      </c>
      <c r="H2263" s="4">
        <v>12</v>
      </c>
      <c r="I2263" s="2">
        <v>12</v>
      </c>
      <c r="J2263">
        <f t="shared" si="175"/>
        <v>18</v>
      </c>
      <c r="K2263">
        <f t="shared" si="176"/>
        <v>14</v>
      </c>
      <c r="L2263" t="str">
        <f t="shared" si="177"/>
        <v>No</v>
      </c>
      <c r="M2263" t="str">
        <f t="shared" si="179"/>
        <v>Yes</v>
      </c>
      <c r="N2263" t="str">
        <f t="shared" si="178"/>
        <v>No</v>
      </c>
    </row>
    <row r="2264" spans="1:14" x14ac:dyDescent="0.3">
      <c r="A2264" s="2" t="s">
        <v>4545</v>
      </c>
      <c r="B2264" s="2" t="s">
        <v>4546</v>
      </c>
      <c r="C2264" s="2" t="s">
        <v>59</v>
      </c>
      <c r="D2264" s="3">
        <v>46001</v>
      </c>
      <c r="E2264" s="3">
        <v>46004</v>
      </c>
      <c r="F2264" s="3">
        <v>46005</v>
      </c>
      <c r="G2264" s="2" t="s">
        <v>22</v>
      </c>
      <c r="H2264" s="2">
        <v>6</v>
      </c>
      <c r="I2264" s="2">
        <v>6</v>
      </c>
      <c r="J2264">
        <f t="shared" si="175"/>
        <v>4</v>
      </c>
      <c r="K2264">
        <f t="shared" si="176"/>
        <v>1</v>
      </c>
      <c r="L2264" t="str">
        <f t="shared" si="177"/>
        <v>No</v>
      </c>
      <c r="M2264" t="str">
        <f t="shared" si="179"/>
        <v>Yes</v>
      </c>
      <c r="N2264" t="str">
        <f t="shared" si="178"/>
        <v>No</v>
      </c>
    </row>
    <row r="2265" spans="1:14" x14ac:dyDescent="0.3">
      <c r="A2265" s="4" t="s">
        <v>4547</v>
      </c>
      <c r="B2265" s="4" t="s">
        <v>4548</v>
      </c>
      <c r="C2265" s="4" t="s">
        <v>14</v>
      </c>
      <c r="D2265" s="5">
        <v>46001</v>
      </c>
      <c r="E2265" s="5">
        <v>46008</v>
      </c>
      <c r="F2265" s="5">
        <v>46016</v>
      </c>
      <c r="G2265" s="4" t="s">
        <v>11</v>
      </c>
      <c r="H2265" s="4">
        <v>19</v>
      </c>
      <c r="I2265" s="2">
        <v>19</v>
      </c>
      <c r="J2265">
        <f t="shared" si="175"/>
        <v>15</v>
      </c>
      <c r="K2265">
        <f t="shared" si="176"/>
        <v>8</v>
      </c>
      <c r="L2265" t="str">
        <f t="shared" si="177"/>
        <v>No</v>
      </c>
      <c r="M2265" t="str">
        <f t="shared" si="179"/>
        <v>Yes</v>
      </c>
      <c r="N2265" t="str">
        <f t="shared" si="178"/>
        <v>No</v>
      </c>
    </row>
    <row r="2266" spans="1:14" x14ac:dyDescent="0.3">
      <c r="A2266" s="2" t="s">
        <v>4549</v>
      </c>
      <c r="B2266" s="2" t="s">
        <v>4550</v>
      </c>
      <c r="C2266" s="2" t="s">
        <v>21</v>
      </c>
      <c r="D2266" s="3">
        <v>46001</v>
      </c>
      <c r="E2266" s="3">
        <v>46006</v>
      </c>
      <c r="F2266" s="3">
        <v>46007</v>
      </c>
      <c r="G2266" s="2" t="s">
        <v>22</v>
      </c>
      <c r="H2266" s="2">
        <v>45</v>
      </c>
      <c r="I2266" s="2">
        <v>45</v>
      </c>
      <c r="J2266">
        <f t="shared" si="175"/>
        <v>6</v>
      </c>
      <c r="K2266">
        <f t="shared" si="176"/>
        <v>1</v>
      </c>
      <c r="L2266" t="str">
        <f t="shared" si="177"/>
        <v>No</v>
      </c>
      <c r="M2266" t="str">
        <f t="shared" si="179"/>
        <v>Yes</v>
      </c>
      <c r="N2266" t="str">
        <f t="shared" si="178"/>
        <v>No</v>
      </c>
    </row>
    <row r="2267" spans="1:14" x14ac:dyDescent="0.3">
      <c r="A2267" s="4" t="s">
        <v>4551</v>
      </c>
      <c r="B2267" s="4" t="s">
        <v>4552</v>
      </c>
      <c r="C2267" s="4" t="s">
        <v>21</v>
      </c>
      <c r="D2267" s="5">
        <v>45999</v>
      </c>
      <c r="E2267" s="5">
        <v>46008</v>
      </c>
      <c r="F2267" s="5">
        <v>46005</v>
      </c>
      <c r="G2267" s="4" t="s">
        <v>22</v>
      </c>
      <c r="H2267" s="4">
        <v>1</v>
      </c>
      <c r="I2267" s="2">
        <v>1</v>
      </c>
      <c r="J2267">
        <f t="shared" si="175"/>
        <v>6</v>
      </c>
      <c r="K2267">
        <f t="shared" si="176"/>
        <v>-3</v>
      </c>
      <c r="L2267" t="str">
        <f t="shared" si="177"/>
        <v>Yes</v>
      </c>
      <c r="M2267" t="str">
        <f t="shared" si="179"/>
        <v>Yes</v>
      </c>
      <c r="N2267" t="str">
        <f t="shared" si="178"/>
        <v>Yes</v>
      </c>
    </row>
    <row r="2268" spans="1:14" x14ac:dyDescent="0.3">
      <c r="A2268" s="2" t="s">
        <v>4553</v>
      </c>
      <c r="B2268" s="2" t="s">
        <v>4554</v>
      </c>
      <c r="C2268" s="2" t="s">
        <v>27</v>
      </c>
      <c r="D2268" s="3">
        <v>46000</v>
      </c>
      <c r="E2268" s="3">
        <v>46003</v>
      </c>
      <c r="F2268" s="3">
        <v>46013</v>
      </c>
      <c r="G2268" s="2" t="s">
        <v>11</v>
      </c>
      <c r="H2268" s="2">
        <v>8</v>
      </c>
      <c r="I2268" s="2">
        <v>8</v>
      </c>
      <c r="J2268">
        <f t="shared" si="175"/>
        <v>13</v>
      </c>
      <c r="K2268">
        <f t="shared" si="176"/>
        <v>10</v>
      </c>
      <c r="L2268" t="str">
        <f t="shared" si="177"/>
        <v>No</v>
      </c>
      <c r="M2268" t="str">
        <f t="shared" si="179"/>
        <v>Yes</v>
      </c>
      <c r="N2268" t="str">
        <f t="shared" si="178"/>
        <v>No</v>
      </c>
    </row>
    <row r="2269" spans="1:14" x14ac:dyDescent="0.3">
      <c r="A2269" s="4" t="s">
        <v>4555</v>
      </c>
      <c r="B2269" s="4" t="s">
        <v>4556</v>
      </c>
      <c r="C2269" s="4" t="s">
        <v>34</v>
      </c>
      <c r="D2269" s="5">
        <v>46000</v>
      </c>
      <c r="E2269" s="5">
        <v>46009</v>
      </c>
      <c r="F2269" s="5">
        <v>46011</v>
      </c>
      <c r="G2269" s="4" t="s">
        <v>11</v>
      </c>
      <c r="H2269" s="4">
        <v>48</v>
      </c>
      <c r="I2269" s="2">
        <v>50</v>
      </c>
      <c r="J2269">
        <f t="shared" si="175"/>
        <v>11</v>
      </c>
      <c r="K2269">
        <f t="shared" si="176"/>
        <v>2</v>
      </c>
      <c r="L2269" t="str">
        <f t="shared" si="177"/>
        <v>No</v>
      </c>
      <c r="M2269" t="str">
        <f t="shared" si="179"/>
        <v>No</v>
      </c>
      <c r="N2269" t="str">
        <f t="shared" si="178"/>
        <v>No</v>
      </c>
    </row>
    <row r="2270" spans="1:14" x14ac:dyDescent="0.3">
      <c r="A2270" s="2" t="s">
        <v>4557</v>
      </c>
      <c r="B2270" s="2" t="s">
        <v>4558</v>
      </c>
      <c r="C2270" s="2" t="s">
        <v>34</v>
      </c>
      <c r="D2270" s="3">
        <v>46001</v>
      </c>
      <c r="E2270" s="3">
        <v>46010</v>
      </c>
      <c r="F2270" s="3">
        <v>46008</v>
      </c>
      <c r="G2270" s="2" t="s">
        <v>40</v>
      </c>
      <c r="H2270" s="2">
        <v>26</v>
      </c>
      <c r="I2270" s="2">
        <v>26</v>
      </c>
      <c r="J2270">
        <f t="shared" si="175"/>
        <v>7</v>
      </c>
      <c r="K2270">
        <f t="shared" si="176"/>
        <v>-2</v>
      </c>
      <c r="L2270" t="str">
        <f t="shared" si="177"/>
        <v>Yes</v>
      </c>
      <c r="M2270" t="str">
        <f t="shared" si="179"/>
        <v>Yes</v>
      </c>
      <c r="N2270" t="str">
        <f t="shared" si="178"/>
        <v>Yes</v>
      </c>
    </row>
    <row r="2271" spans="1:14" x14ac:dyDescent="0.3">
      <c r="A2271" s="4" t="s">
        <v>4559</v>
      </c>
      <c r="B2271" s="4" t="s">
        <v>4560</v>
      </c>
      <c r="C2271" s="4" t="s">
        <v>72</v>
      </c>
      <c r="D2271" s="5">
        <v>46001</v>
      </c>
      <c r="E2271" s="5">
        <v>46009</v>
      </c>
      <c r="F2271" s="5">
        <v>46014</v>
      </c>
      <c r="G2271" s="4" t="s">
        <v>22</v>
      </c>
      <c r="H2271" s="4">
        <v>5</v>
      </c>
      <c r="I2271" s="2">
        <v>12</v>
      </c>
      <c r="J2271">
        <f t="shared" si="175"/>
        <v>13</v>
      </c>
      <c r="K2271">
        <f t="shared" si="176"/>
        <v>5</v>
      </c>
      <c r="L2271" t="str">
        <f t="shared" si="177"/>
        <v>No</v>
      </c>
      <c r="M2271" t="str">
        <f t="shared" si="179"/>
        <v>No</v>
      </c>
      <c r="N2271" t="str">
        <f t="shared" si="178"/>
        <v>No</v>
      </c>
    </row>
    <row r="2272" spans="1:14" x14ac:dyDescent="0.3">
      <c r="A2272" s="2" t="s">
        <v>4561</v>
      </c>
      <c r="B2272" s="2" t="s">
        <v>4562</v>
      </c>
      <c r="C2272" s="2" t="s">
        <v>72</v>
      </c>
      <c r="D2272" s="3">
        <v>46002</v>
      </c>
      <c r="E2272" s="3">
        <v>46008</v>
      </c>
      <c r="F2272" s="3">
        <v>46015</v>
      </c>
      <c r="G2272" s="2" t="s">
        <v>15</v>
      </c>
      <c r="H2272" s="2">
        <v>28</v>
      </c>
      <c r="I2272" s="2">
        <v>28</v>
      </c>
      <c r="J2272">
        <f t="shared" si="175"/>
        <v>13</v>
      </c>
      <c r="K2272">
        <f t="shared" si="176"/>
        <v>7</v>
      </c>
      <c r="L2272" t="str">
        <f t="shared" si="177"/>
        <v>No</v>
      </c>
      <c r="M2272" t="str">
        <f t="shared" si="179"/>
        <v>Yes</v>
      </c>
      <c r="N2272" t="str">
        <f t="shared" si="178"/>
        <v>No</v>
      </c>
    </row>
    <row r="2273" spans="1:14" x14ac:dyDescent="0.3">
      <c r="A2273" s="4" t="s">
        <v>4563</v>
      </c>
      <c r="B2273" s="4" t="s">
        <v>4564</v>
      </c>
      <c r="C2273" s="4" t="s">
        <v>21</v>
      </c>
      <c r="D2273" s="5">
        <v>46000</v>
      </c>
      <c r="E2273" s="5">
        <v>46004</v>
      </c>
      <c r="F2273" s="5">
        <v>46005</v>
      </c>
      <c r="G2273" s="4" t="s">
        <v>22</v>
      </c>
      <c r="H2273" s="4">
        <v>32</v>
      </c>
      <c r="I2273" s="2">
        <v>32</v>
      </c>
      <c r="J2273">
        <f t="shared" si="175"/>
        <v>5</v>
      </c>
      <c r="K2273">
        <f t="shared" si="176"/>
        <v>1</v>
      </c>
      <c r="L2273" t="str">
        <f t="shared" si="177"/>
        <v>No</v>
      </c>
      <c r="M2273" t="str">
        <f t="shared" si="179"/>
        <v>Yes</v>
      </c>
      <c r="N2273" t="str">
        <f t="shared" si="178"/>
        <v>No</v>
      </c>
    </row>
    <row r="2274" spans="1:14" x14ac:dyDescent="0.3">
      <c r="A2274" s="2" t="s">
        <v>4565</v>
      </c>
      <c r="B2274" s="2" t="s">
        <v>4566</v>
      </c>
      <c r="C2274" s="2" t="s">
        <v>21</v>
      </c>
      <c r="D2274" s="3">
        <v>46002</v>
      </c>
      <c r="E2274" s="3">
        <v>46008</v>
      </c>
      <c r="F2274" s="3">
        <v>46008</v>
      </c>
      <c r="G2274" s="2" t="s">
        <v>40</v>
      </c>
      <c r="H2274" s="2">
        <v>31</v>
      </c>
      <c r="I2274" s="2">
        <v>38</v>
      </c>
      <c r="J2274">
        <f t="shared" si="175"/>
        <v>6</v>
      </c>
      <c r="K2274">
        <f t="shared" si="176"/>
        <v>0</v>
      </c>
      <c r="L2274" t="str">
        <f t="shared" si="177"/>
        <v>Yes</v>
      </c>
      <c r="M2274" t="str">
        <f t="shared" si="179"/>
        <v>No</v>
      </c>
      <c r="N2274" t="str">
        <f t="shared" si="178"/>
        <v>No</v>
      </c>
    </row>
    <row r="2275" spans="1:14" x14ac:dyDescent="0.3">
      <c r="A2275" s="4" t="s">
        <v>4567</v>
      </c>
      <c r="B2275" s="4" t="s">
        <v>4568</v>
      </c>
      <c r="C2275" s="4" t="s">
        <v>21</v>
      </c>
      <c r="D2275" s="5">
        <v>46000</v>
      </c>
      <c r="E2275" s="5">
        <v>46007</v>
      </c>
      <c r="F2275" s="5">
        <v>46007</v>
      </c>
      <c r="G2275" s="4" t="s">
        <v>22</v>
      </c>
      <c r="H2275" s="4">
        <v>37</v>
      </c>
      <c r="I2275" s="2">
        <v>37</v>
      </c>
      <c r="J2275">
        <f t="shared" si="175"/>
        <v>7</v>
      </c>
      <c r="K2275">
        <f t="shared" si="176"/>
        <v>0</v>
      </c>
      <c r="L2275" t="str">
        <f t="shared" si="177"/>
        <v>Yes</v>
      </c>
      <c r="M2275" t="str">
        <f t="shared" si="179"/>
        <v>Yes</v>
      </c>
      <c r="N2275" t="str">
        <f t="shared" si="178"/>
        <v>Yes</v>
      </c>
    </row>
    <row r="2276" spans="1:14" x14ac:dyDescent="0.3">
      <c r="A2276" s="2" t="s">
        <v>4569</v>
      </c>
      <c r="B2276" s="2" t="s">
        <v>4570</v>
      </c>
      <c r="C2276" s="2" t="s">
        <v>27</v>
      </c>
      <c r="D2276" s="3">
        <v>46002</v>
      </c>
      <c r="E2276" s="3">
        <v>46004</v>
      </c>
      <c r="F2276" s="3">
        <v>46015</v>
      </c>
      <c r="G2276" s="2" t="s">
        <v>11</v>
      </c>
      <c r="H2276" s="2">
        <v>13</v>
      </c>
      <c r="I2276" s="2">
        <v>13</v>
      </c>
      <c r="J2276">
        <f t="shared" si="175"/>
        <v>13</v>
      </c>
      <c r="K2276">
        <f t="shared" si="176"/>
        <v>11</v>
      </c>
      <c r="L2276" t="str">
        <f t="shared" si="177"/>
        <v>No</v>
      </c>
      <c r="M2276" t="str">
        <f t="shared" si="179"/>
        <v>Yes</v>
      </c>
      <c r="N2276" t="str">
        <f t="shared" si="178"/>
        <v>No</v>
      </c>
    </row>
    <row r="2277" spans="1:14" x14ac:dyDescent="0.3">
      <c r="A2277" s="4" t="s">
        <v>4571</v>
      </c>
      <c r="B2277" s="4" t="s">
        <v>4572</v>
      </c>
      <c r="C2277" s="4" t="s">
        <v>34</v>
      </c>
      <c r="D2277" s="5">
        <v>46001</v>
      </c>
      <c r="E2277" s="5">
        <v>46009</v>
      </c>
      <c r="F2277" s="5">
        <v>46010</v>
      </c>
      <c r="G2277" s="4" t="s">
        <v>18</v>
      </c>
      <c r="H2277" s="4">
        <v>37</v>
      </c>
      <c r="I2277" s="2">
        <v>37</v>
      </c>
      <c r="J2277">
        <f t="shared" si="175"/>
        <v>9</v>
      </c>
      <c r="K2277">
        <f t="shared" si="176"/>
        <v>1</v>
      </c>
      <c r="L2277" t="str">
        <f t="shared" si="177"/>
        <v>No</v>
      </c>
      <c r="M2277" t="str">
        <f t="shared" si="179"/>
        <v>Yes</v>
      </c>
      <c r="N2277" t="str">
        <f t="shared" si="178"/>
        <v>No</v>
      </c>
    </row>
    <row r="2278" spans="1:14" x14ac:dyDescent="0.3">
      <c r="A2278" s="2" t="s">
        <v>4573</v>
      </c>
      <c r="B2278" s="2" t="s">
        <v>4574</v>
      </c>
      <c r="C2278" s="2" t="s">
        <v>37</v>
      </c>
      <c r="D2278" s="3">
        <v>46001</v>
      </c>
      <c r="E2278" s="3">
        <v>46010</v>
      </c>
      <c r="F2278" s="3">
        <v>46016</v>
      </c>
      <c r="G2278" s="2" t="s">
        <v>15</v>
      </c>
      <c r="H2278" s="2">
        <v>14</v>
      </c>
      <c r="I2278" s="2">
        <v>14</v>
      </c>
      <c r="J2278">
        <f t="shared" si="175"/>
        <v>15</v>
      </c>
      <c r="K2278">
        <f t="shared" si="176"/>
        <v>6</v>
      </c>
      <c r="L2278" t="str">
        <f t="shared" si="177"/>
        <v>No</v>
      </c>
      <c r="M2278" t="str">
        <f t="shared" si="179"/>
        <v>Yes</v>
      </c>
      <c r="N2278" t="str">
        <f t="shared" si="178"/>
        <v>No</v>
      </c>
    </row>
    <row r="2279" spans="1:14" x14ac:dyDescent="0.3">
      <c r="A2279" s="4" t="s">
        <v>4575</v>
      </c>
      <c r="B2279" s="4" t="s">
        <v>4576</v>
      </c>
      <c r="C2279" s="4" t="s">
        <v>34</v>
      </c>
      <c r="D2279" s="5">
        <v>46001</v>
      </c>
      <c r="E2279" s="5">
        <v>46007</v>
      </c>
      <c r="F2279" s="5">
        <v>46010</v>
      </c>
      <c r="G2279" s="4" t="s">
        <v>40</v>
      </c>
      <c r="H2279" s="4">
        <v>51</v>
      </c>
      <c r="I2279" s="2">
        <v>51</v>
      </c>
      <c r="J2279">
        <f t="shared" si="175"/>
        <v>9</v>
      </c>
      <c r="K2279">
        <f t="shared" si="176"/>
        <v>3</v>
      </c>
      <c r="L2279" t="str">
        <f t="shared" si="177"/>
        <v>No</v>
      </c>
      <c r="M2279" t="str">
        <f t="shared" si="179"/>
        <v>Yes</v>
      </c>
      <c r="N2279" t="str">
        <f t="shared" si="178"/>
        <v>No</v>
      </c>
    </row>
    <row r="2280" spans="1:14" x14ac:dyDescent="0.3">
      <c r="A2280" s="2" t="s">
        <v>4577</v>
      </c>
      <c r="B2280" s="2" t="s">
        <v>4578</v>
      </c>
      <c r="C2280" s="2" t="s">
        <v>10</v>
      </c>
      <c r="D2280" s="3">
        <v>46002</v>
      </c>
      <c r="E2280" s="3">
        <v>46007</v>
      </c>
      <c r="F2280" s="3">
        <v>46011</v>
      </c>
      <c r="G2280" s="2" t="s">
        <v>18</v>
      </c>
      <c r="H2280" s="2">
        <v>38</v>
      </c>
      <c r="I2280" s="2">
        <v>38</v>
      </c>
      <c r="J2280">
        <f t="shared" si="175"/>
        <v>9</v>
      </c>
      <c r="K2280">
        <f t="shared" si="176"/>
        <v>4</v>
      </c>
      <c r="L2280" t="str">
        <f t="shared" si="177"/>
        <v>No</v>
      </c>
      <c r="M2280" t="str">
        <f t="shared" si="179"/>
        <v>Yes</v>
      </c>
      <c r="N2280" t="str">
        <f t="shared" si="178"/>
        <v>No</v>
      </c>
    </row>
    <row r="2281" spans="1:14" x14ac:dyDescent="0.3">
      <c r="A2281" s="4" t="s">
        <v>4579</v>
      </c>
      <c r="B2281" s="4" t="s">
        <v>4580</v>
      </c>
      <c r="C2281" s="4" t="s">
        <v>10</v>
      </c>
      <c r="D2281" s="5">
        <v>46002</v>
      </c>
      <c r="E2281" s="5">
        <v>46007</v>
      </c>
      <c r="F2281" s="5">
        <v>46008</v>
      </c>
      <c r="G2281" s="4" t="s">
        <v>22</v>
      </c>
      <c r="H2281" s="4">
        <v>21</v>
      </c>
      <c r="I2281" s="2">
        <v>21</v>
      </c>
      <c r="J2281">
        <f t="shared" si="175"/>
        <v>6</v>
      </c>
      <c r="K2281">
        <f t="shared" si="176"/>
        <v>1</v>
      </c>
      <c r="L2281" t="str">
        <f t="shared" si="177"/>
        <v>No</v>
      </c>
      <c r="M2281" t="str">
        <f t="shared" si="179"/>
        <v>Yes</v>
      </c>
      <c r="N2281" t="str">
        <f t="shared" si="178"/>
        <v>No</v>
      </c>
    </row>
    <row r="2282" spans="1:14" x14ac:dyDescent="0.3">
      <c r="A2282" s="2" t="s">
        <v>4581</v>
      </c>
      <c r="B2282" s="2" t="s">
        <v>4582</v>
      </c>
      <c r="C2282" s="2" t="s">
        <v>14</v>
      </c>
      <c r="D2282" s="3">
        <v>46003</v>
      </c>
      <c r="E2282" s="3">
        <v>46005</v>
      </c>
      <c r="F2282" s="3">
        <v>46018</v>
      </c>
      <c r="G2282" s="2" t="s">
        <v>18</v>
      </c>
      <c r="H2282" s="2">
        <v>10</v>
      </c>
      <c r="I2282" s="2">
        <v>16</v>
      </c>
      <c r="J2282">
        <f t="shared" si="175"/>
        <v>15</v>
      </c>
      <c r="K2282">
        <f t="shared" si="176"/>
        <v>13</v>
      </c>
      <c r="L2282" t="str">
        <f t="shared" si="177"/>
        <v>No</v>
      </c>
      <c r="M2282" t="str">
        <f t="shared" si="179"/>
        <v>No</v>
      </c>
      <c r="N2282" t="str">
        <f t="shared" si="178"/>
        <v>No</v>
      </c>
    </row>
    <row r="2283" spans="1:14" x14ac:dyDescent="0.3">
      <c r="A2283" s="4" t="s">
        <v>4583</v>
      </c>
      <c r="B2283" s="4" t="s">
        <v>4584</v>
      </c>
      <c r="C2283" s="4" t="s">
        <v>59</v>
      </c>
      <c r="D2283" s="5">
        <v>46002</v>
      </c>
      <c r="E2283" s="5">
        <v>46010</v>
      </c>
      <c r="F2283" s="5">
        <v>46006</v>
      </c>
      <c r="G2283" s="4" t="s">
        <v>40</v>
      </c>
      <c r="H2283" s="4">
        <v>21</v>
      </c>
      <c r="I2283" s="2">
        <v>21</v>
      </c>
      <c r="J2283">
        <f t="shared" si="175"/>
        <v>4</v>
      </c>
      <c r="K2283">
        <f t="shared" si="176"/>
        <v>-4</v>
      </c>
      <c r="L2283" t="str">
        <f t="shared" si="177"/>
        <v>Yes</v>
      </c>
      <c r="M2283" t="str">
        <f t="shared" si="179"/>
        <v>Yes</v>
      </c>
      <c r="N2283" t="str">
        <f t="shared" si="178"/>
        <v>Yes</v>
      </c>
    </row>
    <row r="2284" spans="1:14" x14ac:dyDescent="0.3">
      <c r="A2284" s="2" t="s">
        <v>4585</v>
      </c>
      <c r="B2284" s="2" t="s">
        <v>4586</v>
      </c>
      <c r="C2284" s="2" t="s">
        <v>21</v>
      </c>
      <c r="D2284" s="3">
        <v>46003</v>
      </c>
      <c r="E2284" s="3">
        <v>46007</v>
      </c>
      <c r="F2284" s="3">
        <v>46009</v>
      </c>
      <c r="G2284" s="2" t="s">
        <v>40</v>
      </c>
      <c r="H2284" s="2">
        <v>35</v>
      </c>
      <c r="I2284" s="2">
        <v>40</v>
      </c>
      <c r="J2284">
        <f t="shared" si="175"/>
        <v>6</v>
      </c>
      <c r="K2284">
        <f t="shared" si="176"/>
        <v>2</v>
      </c>
      <c r="L2284" t="str">
        <f t="shared" si="177"/>
        <v>No</v>
      </c>
      <c r="M2284" t="str">
        <f t="shared" si="179"/>
        <v>No</v>
      </c>
      <c r="N2284" t="str">
        <f t="shared" si="178"/>
        <v>No</v>
      </c>
    </row>
    <row r="2285" spans="1:14" x14ac:dyDescent="0.3">
      <c r="A2285" s="4" t="s">
        <v>4587</v>
      </c>
      <c r="B2285" s="4" t="s">
        <v>4588</v>
      </c>
      <c r="C2285" s="4" t="s">
        <v>34</v>
      </c>
      <c r="D2285" s="5">
        <v>46003</v>
      </c>
      <c r="E2285" s="5">
        <v>46012</v>
      </c>
      <c r="F2285" s="5">
        <v>46014</v>
      </c>
      <c r="G2285" s="4" t="s">
        <v>15</v>
      </c>
      <c r="H2285" s="4">
        <v>58</v>
      </c>
      <c r="I2285" s="2">
        <v>58</v>
      </c>
      <c r="J2285">
        <f t="shared" si="175"/>
        <v>11</v>
      </c>
      <c r="K2285">
        <f t="shared" si="176"/>
        <v>2</v>
      </c>
      <c r="L2285" t="str">
        <f t="shared" si="177"/>
        <v>No</v>
      </c>
      <c r="M2285" t="str">
        <f t="shared" si="179"/>
        <v>Yes</v>
      </c>
      <c r="N2285" t="str">
        <f t="shared" si="178"/>
        <v>No</v>
      </c>
    </row>
    <row r="2286" spans="1:14" x14ac:dyDescent="0.3">
      <c r="A2286" s="2" t="s">
        <v>4589</v>
      </c>
      <c r="B2286" s="2" t="s">
        <v>4590</v>
      </c>
      <c r="C2286" s="2" t="s">
        <v>34</v>
      </c>
      <c r="D2286" s="3">
        <v>46002</v>
      </c>
      <c r="E2286" s="3">
        <v>46006</v>
      </c>
      <c r="F2286" s="3">
        <v>46010</v>
      </c>
      <c r="G2286" s="2" t="s">
        <v>22</v>
      </c>
      <c r="H2286" s="2">
        <v>23</v>
      </c>
      <c r="I2286" s="2">
        <v>23</v>
      </c>
      <c r="J2286">
        <f t="shared" si="175"/>
        <v>8</v>
      </c>
      <c r="K2286">
        <f t="shared" si="176"/>
        <v>4</v>
      </c>
      <c r="L2286" t="str">
        <f t="shared" si="177"/>
        <v>No</v>
      </c>
      <c r="M2286" t="str">
        <f t="shared" si="179"/>
        <v>Yes</v>
      </c>
      <c r="N2286" t="str">
        <f t="shared" si="178"/>
        <v>No</v>
      </c>
    </row>
    <row r="2287" spans="1:14" x14ac:dyDescent="0.3">
      <c r="A2287" s="4" t="s">
        <v>4591</v>
      </c>
      <c r="B2287" s="4" t="s">
        <v>4592</v>
      </c>
      <c r="C2287" s="4" t="s">
        <v>34</v>
      </c>
      <c r="D2287" s="5">
        <v>46003</v>
      </c>
      <c r="E2287" s="5">
        <v>46007</v>
      </c>
      <c r="F2287" s="5">
        <v>46011</v>
      </c>
      <c r="G2287" s="4" t="s">
        <v>11</v>
      </c>
      <c r="H2287" s="4">
        <v>30</v>
      </c>
      <c r="I2287" s="2">
        <v>35</v>
      </c>
      <c r="J2287">
        <f t="shared" si="175"/>
        <v>8</v>
      </c>
      <c r="K2287">
        <f t="shared" si="176"/>
        <v>4</v>
      </c>
      <c r="L2287" t="str">
        <f t="shared" si="177"/>
        <v>No</v>
      </c>
      <c r="M2287" t="str">
        <f t="shared" si="179"/>
        <v>No</v>
      </c>
      <c r="N2287" t="str">
        <f t="shared" si="178"/>
        <v>No</v>
      </c>
    </row>
    <row r="2288" spans="1:14" x14ac:dyDescent="0.3">
      <c r="A2288" s="2" t="s">
        <v>4593</v>
      </c>
      <c r="B2288" s="2" t="s">
        <v>4594</v>
      </c>
      <c r="C2288" s="2" t="s">
        <v>10</v>
      </c>
      <c r="D2288" s="3">
        <v>46002</v>
      </c>
      <c r="E2288" s="3">
        <v>46007</v>
      </c>
      <c r="F2288" s="3">
        <v>46008</v>
      </c>
      <c r="G2288" s="2" t="s">
        <v>40</v>
      </c>
      <c r="H2288" s="2">
        <v>20</v>
      </c>
      <c r="I2288" s="2">
        <v>20</v>
      </c>
      <c r="J2288">
        <f t="shared" si="175"/>
        <v>6</v>
      </c>
      <c r="K2288">
        <f t="shared" si="176"/>
        <v>1</v>
      </c>
      <c r="L2288" t="str">
        <f t="shared" si="177"/>
        <v>No</v>
      </c>
      <c r="M2288" t="str">
        <f t="shared" si="179"/>
        <v>Yes</v>
      </c>
      <c r="N2288" t="str">
        <f t="shared" si="178"/>
        <v>No</v>
      </c>
    </row>
    <row r="2289" spans="1:14" x14ac:dyDescent="0.3">
      <c r="A2289" s="4" t="s">
        <v>4595</v>
      </c>
      <c r="B2289" s="4" t="s">
        <v>4596</v>
      </c>
      <c r="C2289" s="4" t="s">
        <v>14</v>
      </c>
      <c r="D2289" s="5">
        <v>46002</v>
      </c>
      <c r="E2289" s="5">
        <v>46007</v>
      </c>
      <c r="F2289" s="5">
        <v>46017</v>
      </c>
      <c r="G2289" s="4" t="s">
        <v>11</v>
      </c>
      <c r="H2289" s="4">
        <v>23</v>
      </c>
      <c r="I2289" s="2">
        <v>23</v>
      </c>
      <c r="J2289">
        <f t="shared" si="175"/>
        <v>15</v>
      </c>
      <c r="K2289">
        <f t="shared" si="176"/>
        <v>10</v>
      </c>
      <c r="L2289" t="str">
        <f t="shared" si="177"/>
        <v>No</v>
      </c>
      <c r="M2289" t="str">
        <f t="shared" si="179"/>
        <v>Yes</v>
      </c>
      <c r="N2289" t="str">
        <f t="shared" si="178"/>
        <v>No</v>
      </c>
    </row>
    <row r="2290" spans="1:14" x14ac:dyDescent="0.3">
      <c r="A2290" s="2" t="s">
        <v>4597</v>
      </c>
      <c r="B2290" s="2" t="s">
        <v>4598</v>
      </c>
      <c r="C2290" s="2" t="s">
        <v>59</v>
      </c>
      <c r="D2290" s="3">
        <v>46002</v>
      </c>
      <c r="E2290" s="3">
        <v>46007</v>
      </c>
      <c r="F2290" s="3">
        <v>46005</v>
      </c>
      <c r="G2290" s="2" t="s">
        <v>40</v>
      </c>
      <c r="H2290" s="2">
        <v>21</v>
      </c>
      <c r="I2290" s="2">
        <v>21</v>
      </c>
      <c r="J2290">
        <f t="shared" si="175"/>
        <v>3</v>
      </c>
      <c r="K2290">
        <f t="shared" si="176"/>
        <v>-2</v>
      </c>
      <c r="L2290" t="str">
        <f t="shared" si="177"/>
        <v>Yes</v>
      </c>
      <c r="M2290" t="str">
        <f t="shared" si="179"/>
        <v>Yes</v>
      </c>
      <c r="N2290" t="str">
        <f t="shared" si="178"/>
        <v>Yes</v>
      </c>
    </row>
    <row r="2291" spans="1:14" x14ac:dyDescent="0.3">
      <c r="A2291" s="4" t="s">
        <v>4599</v>
      </c>
      <c r="B2291" s="4" t="s">
        <v>4600</v>
      </c>
      <c r="C2291" s="4" t="s">
        <v>21</v>
      </c>
      <c r="D2291" s="5">
        <v>46003</v>
      </c>
      <c r="E2291" s="5">
        <v>46010</v>
      </c>
      <c r="F2291" s="5">
        <v>46008</v>
      </c>
      <c r="G2291" s="4" t="s">
        <v>22</v>
      </c>
      <c r="H2291" s="4">
        <v>32</v>
      </c>
      <c r="I2291" s="2">
        <v>32</v>
      </c>
      <c r="J2291">
        <f t="shared" si="175"/>
        <v>5</v>
      </c>
      <c r="K2291">
        <f t="shared" si="176"/>
        <v>-2</v>
      </c>
      <c r="L2291" t="str">
        <f t="shared" si="177"/>
        <v>Yes</v>
      </c>
      <c r="M2291" t="str">
        <f t="shared" si="179"/>
        <v>Yes</v>
      </c>
      <c r="N2291" t="str">
        <f t="shared" si="178"/>
        <v>Yes</v>
      </c>
    </row>
    <row r="2292" spans="1:14" x14ac:dyDescent="0.3">
      <c r="A2292" s="2" t="s">
        <v>4601</v>
      </c>
      <c r="B2292" s="2" t="s">
        <v>4602</v>
      </c>
      <c r="C2292" s="2" t="s">
        <v>34</v>
      </c>
      <c r="D2292" s="3">
        <v>46003</v>
      </c>
      <c r="E2292" s="3">
        <v>46012</v>
      </c>
      <c r="F2292" s="3">
        <v>46010</v>
      </c>
      <c r="G2292" s="2" t="s">
        <v>15</v>
      </c>
      <c r="H2292" s="2">
        <v>18</v>
      </c>
      <c r="I2292" s="2">
        <v>20</v>
      </c>
      <c r="J2292">
        <f t="shared" si="175"/>
        <v>7</v>
      </c>
      <c r="K2292">
        <f t="shared" si="176"/>
        <v>-2</v>
      </c>
      <c r="L2292" t="str">
        <f t="shared" si="177"/>
        <v>Yes</v>
      </c>
      <c r="M2292" t="str">
        <f t="shared" si="179"/>
        <v>No</v>
      </c>
      <c r="N2292" t="str">
        <f t="shared" si="178"/>
        <v>No</v>
      </c>
    </row>
    <row r="2293" spans="1:14" x14ac:dyDescent="0.3">
      <c r="A2293" s="4" t="s">
        <v>4603</v>
      </c>
      <c r="B2293" s="4" t="s">
        <v>4604</v>
      </c>
      <c r="C2293" s="4" t="s">
        <v>37</v>
      </c>
      <c r="D2293" s="5">
        <v>46004</v>
      </c>
      <c r="E2293" s="5">
        <v>46013</v>
      </c>
      <c r="F2293" s="5">
        <v>46021</v>
      </c>
      <c r="G2293" s="4" t="s">
        <v>22</v>
      </c>
      <c r="H2293" s="4">
        <v>41</v>
      </c>
      <c r="I2293" s="2">
        <v>41</v>
      </c>
      <c r="J2293">
        <f t="shared" si="175"/>
        <v>17</v>
      </c>
      <c r="K2293">
        <f t="shared" si="176"/>
        <v>8</v>
      </c>
      <c r="L2293" t="str">
        <f t="shared" si="177"/>
        <v>No</v>
      </c>
      <c r="M2293" t="str">
        <f t="shared" si="179"/>
        <v>Yes</v>
      </c>
      <c r="N2293" t="str">
        <f t="shared" si="178"/>
        <v>No</v>
      </c>
    </row>
    <row r="2294" spans="1:14" x14ac:dyDescent="0.3">
      <c r="A2294" s="2" t="s">
        <v>4605</v>
      </c>
      <c r="B2294" s="2" t="s">
        <v>4606</v>
      </c>
      <c r="C2294" s="2" t="s">
        <v>27</v>
      </c>
      <c r="D2294" s="3">
        <v>46003</v>
      </c>
      <c r="E2294" s="3">
        <v>46008</v>
      </c>
      <c r="F2294" s="3">
        <v>46020</v>
      </c>
      <c r="G2294" s="2" t="s">
        <v>15</v>
      </c>
      <c r="H2294" s="2">
        <v>30</v>
      </c>
      <c r="I2294" s="2">
        <v>32</v>
      </c>
      <c r="J2294">
        <f t="shared" si="175"/>
        <v>17</v>
      </c>
      <c r="K2294">
        <f t="shared" si="176"/>
        <v>12</v>
      </c>
      <c r="L2294" t="str">
        <f t="shared" si="177"/>
        <v>No</v>
      </c>
      <c r="M2294" t="str">
        <f t="shared" si="179"/>
        <v>No</v>
      </c>
      <c r="N2294" t="str">
        <f t="shared" si="178"/>
        <v>No</v>
      </c>
    </row>
    <row r="2295" spans="1:14" x14ac:dyDescent="0.3">
      <c r="A2295" s="4" t="s">
        <v>4607</v>
      </c>
      <c r="B2295" s="4" t="s">
        <v>4608</v>
      </c>
      <c r="C2295" s="4" t="s">
        <v>27</v>
      </c>
      <c r="D2295" s="5">
        <v>46005</v>
      </c>
      <c r="E2295" s="5">
        <v>46006</v>
      </c>
      <c r="F2295" s="5">
        <v>46019</v>
      </c>
      <c r="G2295" s="4" t="s">
        <v>18</v>
      </c>
      <c r="H2295" s="4">
        <v>13</v>
      </c>
      <c r="I2295" s="2">
        <v>14</v>
      </c>
      <c r="J2295">
        <f t="shared" si="175"/>
        <v>14</v>
      </c>
      <c r="K2295">
        <f t="shared" si="176"/>
        <v>13</v>
      </c>
      <c r="L2295" t="str">
        <f t="shared" si="177"/>
        <v>No</v>
      </c>
      <c r="M2295" t="str">
        <f t="shared" si="179"/>
        <v>No</v>
      </c>
      <c r="N2295" t="str">
        <f t="shared" si="178"/>
        <v>No</v>
      </c>
    </row>
    <row r="2296" spans="1:14" x14ac:dyDescent="0.3">
      <c r="A2296" s="2" t="s">
        <v>4609</v>
      </c>
      <c r="B2296" s="2" t="s">
        <v>4610</v>
      </c>
      <c r="C2296" s="2" t="s">
        <v>34</v>
      </c>
      <c r="D2296" s="3">
        <v>46004</v>
      </c>
      <c r="E2296" s="3">
        <v>46013</v>
      </c>
      <c r="F2296" s="3">
        <v>46015</v>
      </c>
      <c r="G2296" s="2" t="s">
        <v>40</v>
      </c>
      <c r="H2296" s="2">
        <v>35</v>
      </c>
      <c r="I2296" s="2">
        <v>35</v>
      </c>
      <c r="J2296">
        <f t="shared" si="175"/>
        <v>11</v>
      </c>
      <c r="K2296">
        <f t="shared" si="176"/>
        <v>2</v>
      </c>
      <c r="L2296" t="str">
        <f t="shared" si="177"/>
        <v>No</v>
      </c>
      <c r="M2296" t="str">
        <f t="shared" si="179"/>
        <v>Yes</v>
      </c>
      <c r="N2296" t="str">
        <f t="shared" si="178"/>
        <v>No</v>
      </c>
    </row>
    <row r="2297" spans="1:14" x14ac:dyDescent="0.3">
      <c r="A2297" s="4" t="s">
        <v>4611</v>
      </c>
      <c r="B2297" s="4" t="s">
        <v>4612</v>
      </c>
      <c r="C2297" s="4" t="s">
        <v>37</v>
      </c>
      <c r="D2297" s="5">
        <v>46006</v>
      </c>
      <c r="E2297" s="5">
        <v>46007</v>
      </c>
      <c r="F2297" s="5">
        <v>46020</v>
      </c>
      <c r="G2297" s="4" t="s">
        <v>18</v>
      </c>
      <c r="H2297" s="4">
        <v>31</v>
      </c>
      <c r="I2297" s="2">
        <v>31</v>
      </c>
      <c r="J2297">
        <f t="shared" si="175"/>
        <v>14</v>
      </c>
      <c r="K2297">
        <f t="shared" si="176"/>
        <v>13</v>
      </c>
      <c r="L2297" t="str">
        <f t="shared" si="177"/>
        <v>No</v>
      </c>
      <c r="M2297" t="str">
        <f t="shared" si="179"/>
        <v>Yes</v>
      </c>
      <c r="N2297" t="str">
        <f t="shared" si="178"/>
        <v>No</v>
      </c>
    </row>
    <row r="2298" spans="1:14" x14ac:dyDescent="0.3">
      <c r="A2298" s="2" t="s">
        <v>4613</v>
      </c>
      <c r="B2298" s="2" t="s">
        <v>4614</v>
      </c>
      <c r="C2298" s="2" t="s">
        <v>37</v>
      </c>
      <c r="D2298" s="3">
        <v>46005</v>
      </c>
      <c r="E2298" s="3">
        <v>46009</v>
      </c>
      <c r="F2298" s="3">
        <v>46018</v>
      </c>
      <c r="G2298" s="2" t="s">
        <v>15</v>
      </c>
      <c r="H2298" s="2">
        <v>60</v>
      </c>
      <c r="I2298" s="2">
        <v>60</v>
      </c>
      <c r="J2298">
        <f t="shared" si="175"/>
        <v>13</v>
      </c>
      <c r="K2298">
        <f t="shared" si="176"/>
        <v>9</v>
      </c>
      <c r="L2298" t="str">
        <f t="shared" si="177"/>
        <v>No</v>
      </c>
      <c r="M2298" t="str">
        <f t="shared" si="179"/>
        <v>Yes</v>
      </c>
      <c r="N2298" t="str">
        <f t="shared" si="178"/>
        <v>No</v>
      </c>
    </row>
    <row r="2299" spans="1:14" x14ac:dyDescent="0.3">
      <c r="A2299" s="4" t="s">
        <v>4615</v>
      </c>
      <c r="B2299" s="4" t="s">
        <v>4616</v>
      </c>
      <c r="C2299" s="4" t="s">
        <v>72</v>
      </c>
      <c r="D2299" s="5">
        <v>46005</v>
      </c>
      <c r="E2299" s="5">
        <v>46010</v>
      </c>
      <c r="F2299" s="5">
        <v>46018</v>
      </c>
      <c r="G2299" s="4" t="s">
        <v>11</v>
      </c>
      <c r="H2299" s="4">
        <v>35</v>
      </c>
      <c r="I2299" s="2">
        <v>35</v>
      </c>
      <c r="J2299">
        <f t="shared" si="175"/>
        <v>13</v>
      </c>
      <c r="K2299">
        <f t="shared" si="176"/>
        <v>8</v>
      </c>
      <c r="L2299" t="str">
        <f t="shared" si="177"/>
        <v>No</v>
      </c>
      <c r="M2299" t="str">
        <f t="shared" si="179"/>
        <v>Yes</v>
      </c>
      <c r="N2299" t="str">
        <f t="shared" si="178"/>
        <v>No</v>
      </c>
    </row>
    <row r="2300" spans="1:14" x14ac:dyDescent="0.3">
      <c r="A2300" s="2" t="s">
        <v>4617</v>
      </c>
      <c r="B2300" s="2" t="s">
        <v>4618</v>
      </c>
      <c r="C2300" s="2" t="s">
        <v>59</v>
      </c>
      <c r="D2300" s="3">
        <v>46006</v>
      </c>
      <c r="E2300" s="3">
        <v>46012</v>
      </c>
      <c r="F2300" s="3">
        <v>46011</v>
      </c>
      <c r="G2300" s="2" t="s">
        <v>15</v>
      </c>
      <c r="H2300" s="2">
        <v>28</v>
      </c>
      <c r="I2300" s="2">
        <v>28</v>
      </c>
      <c r="J2300">
        <f t="shared" si="175"/>
        <v>5</v>
      </c>
      <c r="K2300">
        <f t="shared" si="176"/>
        <v>-1</v>
      </c>
      <c r="L2300" t="str">
        <f t="shared" si="177"/>
        <v>Yes</v>
      </c>
      <c r="M2300" t="str">
        <f t="shared" si="179"/>
        <v>Yes</v>
      </c>
      <c r="N2300" t="str">
        <f t="shared" si="178"/>
        <v>Yes</v>
      </c>
    </row>
    <row r="2301" spans="1:14" x14ac:dyDescent="0.3">
      <c r="A2301" s="4" t="s">
        <v>4619</v>
      </c>
      <c r="B2301" s="4" t="s">
        <v>4620</v>
      </c>
      <c r="C2301" s="4" t="s">
        <v>59</v>
      </c>
      <c r="D2301" s="5">
        <v>46005</v>
      </c>
      <c r="E2301" s="5">
        <v>46007</v>
      </c>
      <c r="F2301" s="5">
        <v>46011</v>
      </c>
      <c r="G2301" s="4" t="s">
        <v>18</v>
      </c>
      <c r="H2301" s="4">
        <v>32</v>
      </c>
      <c r="I2301" s="2">
        <v>32</v>
      </c>
      <c r="J2301">
        <f t="shared" si="175"/>
        <v>6</v>
      </c>
      <c r="K2301">
        <f t="shared" si="176"/>
        <v>4</v>
      </c>
      <c r="L2301" t="str">
        <f t="shared" si="177"/>
        <v>No</v>
      </c>
      <c r="M2301" t="str">
        <f t="shared" si="179"/>
        <v>Yes</v>
      </c>
      <c r="N2301" t="str">
        <f t="shared" si="178"/>
        <v>No</v>
      </c>
    </row>
    <row r="2302" spans="1:14" x14ac:dyDescent="0.3">
      <c r="A2302" s="2" t="s">
        <v>4621</v>
      </c>
      <c r="B2302" s="2" t="s">
        <v>4622</v>
      </c>
      <c r="C2302" s="2" t="s">
        <v>21</v>
      </c>
      <c r="D2302" s="3">
        <v>46005</v>
      </c>
      <c r="E2302" s="3">
        <v>46013</v>
      </c>
      <c r="F2302" s="3">
        <v>46015</v>
      </c>
      <c r="G2302" s="2" t="s">
        <v>11</v>
      </c>
      <c r="H2302" s="2">
        <v>44</v>
      </c>
      <c r="I2302" s="2">
        <v>44</v>
      </c>
      <c r="J2302">
        <f t="shared" si="175"/>
        <v>10</v>
      </c>
      <c r="K2302">
        <f t="shared" si="176"/>
        <v>2</v>
      </c>
      <c r="L2302" t="str">
        <f t="shared" si="177"/>
        <v>No</v>
      </c>
      <c r="M2302" t="str">
        <f t="shared" si="179"/>
        <v>Yes</v>
      </c>
      <c r="N2302" t="str">
        <f t="shared" si="178"/>
        <v>No</v>
      </c>
    </row>
    <row r="2303" spans="1:14" x14ac:dyDescent="0.3">
      <c r="A2303" s="4" t="s">
        <v>4623</v>
      </c>
      <c r="B2303" s="4" t="s">
        <v>4624</v>
      </c>
      <c r="C2303" s="4" t="s">
        <v>27</v>
      </c>
      <c r="D2303" s="5">
        <v>46005</v>
      </c>
      <c r="E2303" s="5">
        <v>46011</v>
      </c>
      <c r="F2303" s="5">
        <v>46017</v>
      </c>
      <c r="G2303" s="4" t="s">
        <v>22</v>
      </c>
      <c r="H2303" s="4">
        <v>33</v>
      </c>
      <c r="I2303" s="2">
        <v>36</v>
      </c>
      <c r="J2303">
        <f t="shared" si="175"/>
        <v>12</v>
      </c>
      <c r="K2303">
        <f t="shared" si="176"/>
        <v>6</v>
      </c>
      <c r="L2303" t="str">
        <f t="shared" si="177"/>
        <v>No</v>
      </c>
      <c r="M2303" t="str">
        <f t="shared" si="179"/>
        <v>No</v>
      </c>
      <c r="N2303" t="str">
        <f t="shared" si="178"/>
        <v>No</v>
      </c>
    </row>
    <row r="2304" spans="1:14" x14ac:dyDescent="0.3">
      <c r="A2304" s="2" t="s">
        <v>4625</v>
      </c>
      <c r="B2304" s="2" t="s">
        <v>4626</v>
      </c>
      <c r="C2304" s="2" t="s">
        <v>27</v>
      </c>
      <c r="D2304" s="3">
        <v>46006</v>
      </c>
      <c r="E2304" s="3">
        <v>46008</v>
      </c>
      <c r="F2304" s="3">
        <v>46019</v>
      </c>
      <c r="G2304" s="2" t="s">
        <v>18</v>
      </c>
      <c r="H2304" s="2">
        <v>13</v>
      </c>
      <c r="I2304" s="2">
        <v>13</v>
      </c>
      <c r="J2304">
        <f t="shared" si="175"/>
        <v>13</v>
      </c>
      <c r="K2304">
        <f t="shared" si="176"/>
        <v>11</v>
      </c>
      <c r="L2304" t="str">
        <f t="shared" si="177"/>
        <v>No</v>
      </c>
      <c r="M2304" t="str">
        <f t="shared" si="179"/>
        <v>Yes</v>
      </c>
      <c r="N2304" t="str">
        <f t="shared" si="178"/>
        <v>No</v>
      </c>
    </row>
    <row r="2305" spans="1:14" x14ac:dyDescent="0.3">
      <c r="A2305" s="4" t="s">
        <v>4627</v>
      </c>
      <c r="B2305" s="4" t="s">
        <v>4628</v>
      </c>
      <c r="C2305" s="4" t="s">
        <v>27</v>
      </c>
      <c r="D2305" s="5">
        <v>46006</v>
      </c>
      <c r="E2305" s="5">
        <v>46009</v>
      </c>
      <c r="F2305" s="5">
        <v>46019</v>
      </c>
      <c r="G2305" s="4" t="s">
        <v>22</v>
      </c>
      <c r="H2305" s="4">
        <v>10</v>
      </c>
      <c r="I2305" s="2">
        <v>10</v>
      </c>
      <c r="J2305">
        <f t="shared" si="175"/>
        <v>13</v>
      </c>
      <c r="K2305">
        <f t="shared" si="176"/>
        <v>10</v>
      </c>
      <c r="L2305" t="str">
        <f t="shared" si="177"/>
        <v>No</v>
      </c>
      <c r="M2305" t="str">
        <f t="shared" si="179"/>
        <v>Yes</v>
      </c>
      <c r="N2305" t="str">
        <f t="shared" si="178"/>
        <v>No</v>
      </c>
    </row>
    <row r="2306" spans="1:14" x14ac:dyDescent="0.3">
      <c r="A2306" s="2" t="s">
        <v>4629</v>
      </c>
      <c r="B2306" s="2" t="s">
        <v>4630</v>
      </c>
      <c r="C2306" s="2" t="s">
        <v>37</v>
      </c>
      <c r="D2306" s="3">
        <v>46007</v>
      </c>
      <c r="E2306" s="3">
        <v>46008</v>
      </c>
      <c r="F2306" s="3">
        <v>46020</v>
      </c>
      <c r="G2306" s="2" t="s">
        <v>22</v>
      </c>
      <c r="H2306" s="2">
        <v>39</v>
      </c>
      <c r="I2306" s="2">
        <v>39</v>
      </c>
      <c r="J2306">
        <f t="shared" si="175"/>
        <v>13</v>
      </c>
      <c r="K2306">
        <f t="shared" si="176"/>
        <v>12</v>
      </c>
      <c r="L2306" t="str">
        <f t="shared" si="177"/>
        <v>No</v>
      </c>
      <c r="M2306" t="str">
        <f t="shared" si="179"/>
        <v>Yes</v>
      </c>
      <c r="N2306" t="str">
        <f t="shared" si="178"/>
        <v>No</v>
      </c>
    </row>
    <row r="2307" spans="1:14" x14ac:dyDescent="0.3">
      <c r="A2307" s="4" t="s">
        <v>4631</v>
      </c>
      <c r="B2307" s="4" t="s">
        <v>4632</v>
      </c>
      <c r="C2307" s="4" t="s">
        <v>37</v>
      </c>
      <c r="D2307" s="5">
        <v>46007</v>
      </c>
      <c r="E2307" s="5">
        <v>46015</v>
      </c>
      <c r="F2307" s="5">
        <v>46020</v>
      </c>
      <c r="G2307" s="4" t="s">
        <v>15</v>
      </c>
      <c r="H2307" s="4">
        <v>32</v>
      </c>
      <c r="I2307" s="2">
        <v>32</v>
      </c>
      <c r="J2307">
        <f t="shared" ref="J2307:J2370" si="180">F2307-D2307</f>
        <v>13</v>
      </c>
      <c r="K2307">
        <f t="shared" ref="K2307:K2370" si="181">F2307-E2307</f>
        <v>5</v>
      </c>
      <c r="L2307" t="str">
        <f t="shared" ref="L2307:L2370" si="182">IF(K2307&lt;=0,"Yes","No")</f>
        <v>No</v>
      </c>
      <c r="M2307" t="str">
        <f t="shared" si="179"/>
        <v>Yes</v>
      </c>
      <c r="N2307" t="str">
        <f t="shared" ref="N2307:N2370" si="183">IF(AND(L2307="Yes",M2307="Yes"),"Yes","No")</f>
        <v>No</v>
      </c>
    </row>
    <row r="2308" spans="1:14" x14ac:dyDescent="0.3">
      <c r="A2308" s="2" t="s">
        <v>4633</v>
      </c>
      <c r="B2308" s="2" t="s">
        <v>4634</v>
      </c>
      <c r="C2308" s="2" t="s">
        <v>14</v>
      </c>
      <c r="D2308" s="3">
        <v>46005</v>
      </c>
      <c r="E2308" s="3">
        <v>46009</v>
      </c>
      <c r="F2308" s="3">
        <v>46020</v>
      </c>
      <c r="G2308" s="2" t="s">
        <v>22</v>
      </c>
      <c r="H2308" s="2">
        <v>24</v>
      </c>
      <c r="I2308" s="2">
        <v>24</v>
      </c>
      <c r="J2308">
        <f t="shared" si="180"/>
        <v>15</v>
      </c>
      <c r="K2308">
        <f t="shared" si="181"/>
        <v>11</v>
      </c>
      <c r="L2308" t="str">
        <f t="shared" si="182"/>
        <v>No</v>
      </c>
      <c r="M2308" t="str">
        <f t="shared" ref="M2308:M2371" si="184">IF(H2308=I2308,"Yes","No")</f>
        <v>Yes</v>
      </c>
      <c r="N2308" t="str">
        <f t="shared" si="183"/>
        <v>No</v>
      </c>
    </row>
    <row r="2309" spans="1:14" x14ac:dyDescent="0.3">
      <c r="A2309" s="4" t="s">
        <v>4635</v>
      </c>
      <c r="B2309" s="4" t="s">
        <v>4636</v>
      </c>
      <c r="C2309" s="4" t="s">
        <v>14</v>
      </c>
      <c r="D2309" s="5">
        <v>46005</v>
      </c>
      <c r="E2309" s="5">
        <v>46008</v>
      </c>
      <c r="F2309" s="5">
        <v>46021</v>
      </c>
      <c r="G2309" s="4" t="s">
        <v>40</v>
      </c>
      <c r="H2309" s="4">
        <v>56</v>
      </c>
      <c r="I2309" s="2">
        <v>56</v>
      </c>
      <c r="J2309">
        <f t="shared" si="180"/>
        <v>16</v>
      </c>
      <c r="K2309">
        <f t="shared" si="181"/>
        <v>13</v>
      </c>
      <c r="L2309" t="str">
        <f t="shared" si="182"/>
        <v>No</v>
      </c>
      <c r="M2309" t="str">
        <f t="shared" si="184"/>
        <v>Yes</v>
      </c>
      <c r="N2309" t="str">
        <f t="shared" si="183"/>
        <v>No</v>
      </c>
    </row>
    <row r="2310" spans="1:14" x14ac:dyDescent="0.3">
      <c r="A2310" s="2" t="s">
        <v>4637</v>
      </c>
      <c r="B2310" s="2" t="s">
        <v>4638</v>
      </c>
      <c r="C2310" s="2" t="s">
        <v>21</v>
      </c>
      <c r="D2310" s="3">
        <v>46006</v>
      </c>
      <c r="E2310" s="3">
        <v>46015</v>
      </c>
      <c r="F2310" s="3">
        <v>46014</v>
      </c>
      <c r="G2310" s="2" t="s">
        <v>11</v>
      </c>
      <c r="H2310" s="2">
        <v>54</v>
      </c>
      <c r="I2310" s="2">
        <v>54</v>
      </c>
      <c r="J2310">
        <f t="shared" si="180"/>
        <v>8</v>
      </c>
      <c r="K2310">
        <f t="shared" si="181"/>
        <v>-1</v>
      </c>
      <c r="L2310" t="str">
        <f t="shared" si="182"/>
        <v>Yes</v>
      </c>
      <c r="M2310" t="str">
        <f t="shared" si="184"/>
        <v>Yes</v>
      </c>
      <c r="N2310" t="str">
        <f t="shared" si="183"/>
        <v>Yes</v>
      </c>
    </row>
    <row r="2311" spans="1:14" x14ac:dyDescent="0.3">
      <c r="A2311" s="4" t="s">
        <v>4639</v>
      </c>
      <c r="B2311" s="4" t="s">
        <v>4640</v>
      </c>
      <c r="C2311" s="4" t="s">
        <v>21</v>
      </c>
      <c r="D2311" s="5">
        <v>46007</v>
      </c>
      <c r="E2311" s="5">
        <v>46011</v>
      </c>
      <c r="F2311" s="5">
        <v>46012</v>
      </c>
      <c r="G2311" s="4" t="s">
        <v>40</v>
      </c>
      <c r="H2311" s="4">
        <v>34</v>
      </c>
      <c r="I2311" s="2">
        <v>34</v>
      </c>
      <c r="J2311">
        <f t="shared" si="180"/>
        <v>5</v>
      </c>
      <c r="K2311">
        <f t="shared" si="181"/>
        <v>1</v>
      </c>
      <c r="L2311" t="str">
        <f t="shared" si="182"/>
        <v>No</v>
      </c>
      <c r="M2311" t="str">
        <f t="shared" si="184"/>
        <v>Yes</v>
      </c>
      <c r="N2311" t="str">
        <f t="shared" si="183"/>
        <v>No</v>
      </c>
    </row>
    <row r="2312" spans="1:14" x14ac:dyDescent="0.3">
      <c r="A2312" s="2" t="s">
        <v>4641</v>
      </c>
      <c r="B2312" s="2" t="s">
        <v>4642</v>
      </c>
      <c r="C2312" s="2" t="s">
        <v>21</v>
      </c>
      <c r="D2312" s="3">
        <v>46006</v>
      </c>
      <c r="E2312" s="3">
        <v>46008</v>
      </c>
      <c r="F2312" s="3">
        <v>46013</v>
      </c>
      <c r="G2312" s="2" t="s">
        <v>22</v>
      </c>
      <c r="H2312" s="2">
        <v>33</v>
      </c>
      <c r="I2312" s="2">
        <v>33</v>
      </c>
      <c r="J2312">
        <f t="shared" si="180"/>
        <v>7</v>
      </c>
      <c r="K2312">
        <f t="shared" si="181"/>
        <v>5</v>
      </c>
      <c r="L2312" t="str">
        <f t="shared" si="182"/>
        <v>No</v>
      </c>
      <c r="M2312" t="str">
        <f t="shared" si="184"/>
        <v>Yes</v>
      </c>
      <c r="N2312" t="str">
        <f t="shared" si="183"/>
        <v>No</v>
      </c>
    </row>
    <row r="2313" spans="1:14" x14ac:dyDescent="0.3">
      <c r="A2313" s="4" t="s">
        <v>4643</v>
      </c>
      <c r="B2313" s="4" t="s">
        <v>4644</v>
      </c>
      <c r="C2313" s="4" t="s">
        <v>27</v>
      </c>
      <c r="D2313" s="5">
        <v>46005</v>
      </c>
      <c r="E2313" s="5">
        <v>46011</v>
      </c>
      <c r="F2313" s="5">
        <v>46022</v>
      </c>
      <c r="G2313" s="4" t="s">
        <v>40</v>
      </c>
      <c r="H2313" s="4">
        <v>35</v>
      </c>
      <c r="I2313" s="2">
        <v>35</v>
      </c>
      <c r="J2313">
        <f t="shared" si="180"/>
        <v>17</v>
      </c>
      <c r="K2313">
        <f t="shared" si="181"/>
        <v>11</v>
      </c>
      <c r="L2313" t="str">
        <f t="shared" si="182"/>
        <v>No</v>
      </c>
      <c r="M2313" t="str">
        <f t="shared" si="184"/>
        <v>Yes</v>
      </c>
      <c r="N2313" t="str">
        <f t="shared" si="183"/>
        <v>No</v>
      </c>
    </row>
    <row r="2314" spans="1:14" x14ac:dyDescent="0.3">
      <c r="A2314" s="2" t="s">
        <v>4645</v>
      </c>
      <c r="B2314" s="2" t="s">
        <v>4646</v>
      </c>
      <c r="C2314" s="2" t="s">
        <v>27</v>
      </c>
      <c r="D2314" s="3">
        <v>46005</v>
      </c>
      <c r="E2314" s="3">
        <v>46011</v>
      </c>
      <c r="F2314" s="3">
        <v>46017</v>
      </c>
      <c r="G2314" s="2" t="s">
        <v>22</v>
      </c>
      <c r="H2314" s="2">
        <v>1</v>
      </c>
      <c r="I2314" s="2">
        <v>1</v>
      </c>
      <c r="J2314">
        <f t="shared" si="180"/>
        <v>12</v>
      </c>
      <c r="K2314">
        <f t="shared" si="181"/>
        <v>6</v>
      </c>
      <c r="L2314" t="str">
        <f t="shared" si="182"/>
        <v>No</v>
      </c>
      <c r="M2314" t="str">
        <f t="shared" si="184"/>
        <v>Yes</v>
      </c>
      <c r="N2314" t="str">
        <f t="shared" si="183"/>
        <v>No</v>
      </c>
    </row>
    <row r="2315" spans="1:14" x14ac:dyDescent="0.3">
      <c r="A2315" s="4" t="s">
        <v>4647</v>
      </c>
      <c r="B2315" s="4" t="s">
        <v>4648</v>
      </c>
      <c r="C2315" s="4" t="s">
        <v>27</v>
      </c>
      <c r="D2315" s="5">
        <v>46005</v>
      </c>
      <c r="E2315" s="5">
        <v>46008</v>
      </c>
      <c r="F2315" s="5">
        <v>46018</v>
      </c>
      <c r="G2315" s="4" t="s">
        <v>22</v>
      </c>
      <c r="H2315" s="4">
        <v>6</v>
      </c>
      <c r="I2315" s="2">
        <v>6</v>
      </c>
      <c r="J2315">
        <f t="shared" si="180"/>
        <v>13</v>
      </c>
      <c r="K2315">
        <f t="shared" si="181"/>
        <v>10</v>
      </c>
      <c r="L2315" t="str">
        <f t="shared" si="182"/>
        <v>No</v>
      </c>
      <c r="M2315" t="str">
        <f t="shared" si="184"/>
        <v>Yes</v>
      </c>
      <c r="N2315" t="str">
        <f t="shared" si="183"/>
        <v>No</v>
      </c>
    </row>
    <row r="2316" spans="1:14" x14ac:dyDescent="0.3">
      <c r="A2316" s="2" t="s">
        <v>4649</v>
      </c>
      <c r="B2316" s="2" t="s">
        <v>4650</v>
      </c>
      <c r="C2316" s="2" t="s">
        <v>34</v>
      </c>
      <c r="D2316" s="3">
        <v>46006</v>
      </c>
      <c r="E2316" s="3">
        <v>46016</v>
      </c>
      <c r="F2316" s="3">
        <v>46013</v>
      </c>
      <c r="G2316" s="2" t="s">
        <v>18</v>
      </c>
      <c r="H2316" s="2">
        <v>21</v>
      </c>
      <c r="I2316" s="2">
        <v>25</v>
      </c>
      <c r="J2316">
        <f t="shared" si="180"/>
        <v>7</v>
      </c>
      <c r="K2316">
        <f t="shared" si="181"/>
        <v>-3</v>
      </c>
      <c r="L2316" t="str">
        <f t="shared" si="182"/>
        <v>Yes</v>
      </c>
      <c r="M2316" t="str">
        <f t="shared" si="184"/>
        <v>No</v>
      </c>
      <c r="N2316" t="str">
        <f t="shared" si="183"/>
        <v>No</v>
      </c>
    </row>
    <row r="2317" spans="1:14" x14ac:dyDescent="0.3">
      <c r="A2317" s="4" t="s">
        <v>4651</v>
      </c>
      <c r="B2317" s="4" t="s">
        <v>4652</v>
      </c>
      <c r="C2317" s="4" t="s">
        <v>10</v>
      </c>
      <c r="D2317" s="5">
        <v>46007</v>
      </c>
      <c r="E2317" s="5">
        <v>46014</v>
      </c>
      <c r="F2317" s="5">
        <v>46016</v>
      </c>
      <c r="G2317" s="4" t="s">
        <v>22</v>
      </c>
      <c r="H2317" s="4">
        <v>30</v>
      </c>
      <c r="I2317" s="2">
        <v>30</v>
      </c>
      <c r="J2317">
        <f t="shared" si="180"/>
        <v>9</v>
      </c>
      <c r="K2317">
        <f t="shared" si="181"/>
        <v>2</v>
      </c>
      <c r="L2317" t="str">
        <f t="shared" si="182"/>
        <v>No</v>
      </c>
      <c r="M2317" t="str">
        <f t="shared" si="184"/>
        <v>Yes</v>
      </c>
      <c r="N2317" t="str">
        <f t="shared" si="183"/>
        <v>No</v>
      </c>
    </row>
    <row r="2318" spans="1:14" x14ac:dyDescent="0.3">
      <c r="A2318" s="2" t="s">
        <v>4653</v>
      </c>
      <c r="B2318" s="2" t="s">
        <v>4654</v>
      </c>
      <c r="C2318" s="2" t="s">
        <v>21</v>
      </c>
      <c r="D2318" s="3">
        <v>46008</v>
      </c>
      <c r="E2318" s="3">
        <v>46013</v>
      </c>
      <c r="F2318" s="3">
        <v>46016</v>
      </c>
      <c r="G2318" s="2" t="s">
        <v>18</v>
      </c>
      <c r="H2318" s="2">
        <v>55</v>
      </c>
      <c r="I2318" s="2">
        <v>62</v>
      </c>
      <c r="J2318">
        <f t="shared" si="180"/>
        <v>8</v>
      </c>
      <c r="K2318">
        <f t="shared" si="181"/>
        <v>3</v>
      </c>
      <c r="L2318" t="str">
        <f t="shared" si="182"/>
        <v>No</v>
      </c>
      <c r="M2318" t="str">
        <f t="shared" si="184"/>
        <v>No</v>
      </c>
      <c r="N2318" t="str">
        <f t="shared" si="183"/>
        <v>No</v>
      </c>
    </row>
    <row r="2319" spans="1:14" x14ac:dyDescent="0.3">
      <c r="A2319" s="4" t="s">
        <v>4655</v>
      </c>
      <c r="B2319" s="4" t="s">
        <v>4656</v>
      </c>
      <c r="C2319" s="4" t="s">
        <v>21</v>
      </c>
      <c r="D2319" s="5">
        <v>46008</v>
      </c>
      <c r="E2319" s="5">
        <v>46009</v>
      </c>
      <c r="F2319" s="5">
        <v>46018</v>
      </c>
      <c r="G2319" s="4" t="s">
        <v>40</v>
      </c>
      <c r="H2319" s="4">
        <v>47</v>
      </c>
      <c r="I2319" s="2">
        <v>47</v>
      </c>
      <c r="J2319">
        <f t="shared" si="180"/>
        <v>10</v>
      </c>
      <c r="K2319">
        <f t="shared" si="181"/>
        <v>9</v>
      </c>
      <c r="L2319" t="str">
        <f t="shared" si="182"/>
        <v>No</v>
      </c>
      <c r="M2319" t="str">
        <f t="shared" si="184"/>
        <v>Yes</v>
      </c>
      <c r="N2319" t="str">
        <f t="shared" si="183"/>
        <v>No</v>
      </c>
    </row>
    <row r="2320" spans="1:14" x14ac:dyDescent="0.3">
      <c r="A2320" s="2" t="s">
        <v>4657</v>
      </c>
      <c r="B2320" s="2" t="s">
        <v>4658</v>
      </c>
      <c r="C2320" s="2" t="s">
        <v>27</v>
      </c>
      <c r="D2320" s="3">
        <v>46006</v>
      </c>
      <c r="E2320" s="3">
        <v>46015</v>
      </c>
      <c r="F2320" s="3">
        <v>46019</v>
      </c>
      <c r="G2320" s="2" t="s">
        <v>22</v>
      </c>
      <c r="H2320" s="2">
        <v>41</v>
      </c>
      <c r="I2320" s="2">
        <v>41</v>
      </c>
      <c r="J2320">
        <f t="shared" si="180"/>
        <v>13</v>
      </c>
      <c r="K2320">
        <f t="shared" si="181"/>
        <v>4</v>
      </c>
      <c r="L2320" t="str">
        <f t="shared" si="182"/>
        <v>No</v>
      </c>
      <c r="M2320" t="str">
        <f t="shared" si="184"/>
        <v>Yes</v>
      </c>
      <c r="N2320" t="str">
        <f t="shared" si="183"/>
        <v>No</v>
      </c>
    </row>
    <row r="2321" spans="1:14" x14ac:dyDescent="0.3">
      <c r="A2321" s="4" t="s">
        <v>4659</v>
      </c>
      <c r="B2321" s="4" t="s">
        <v>4660</v>
      </c>
      <c r="C2321" s="4" t="s">
        <v>27</v>
      </c>
      <c r="D2321" s="5">
        <v>46006</v>
      </c>
      <c r="E2321" s="5">
        <v>46011</v>
      </c>
      <c r="F2321" s="5">
        <v>46021</v>
      </c>
      <c r="G2321" s="4" t="s">
        <v>22</v>
      </c>
      <c r="H2321" s="4">
        <v>10</v>
      </c>
      <c r="I2321" s="2">
        <v>10</v>
      </c>
      <c r="J2321">
        <f t="shared" si="180"/>
        <v>15</v>
      </c>
      <c r="K2321">
        <f t="shared" si="181"/>
        <v>10</v>
      </c>
      <c r="L2321" t="str">
        <f t="shared" si="182"/>
        <v>No</v>
      </c>
      <c r="M2321" t="str">
        <f t="shared" si="184"/>
        <v>Yes</v>
      </c>
      <c r="N2321" t="str">
        <f t="shared" si="183"/>
        <v>No</v>
      </c>
    </row>
    <row r="2322" spans="1:14" x14ac:dyDescent="0.3">
      <c r="A2322" s="2" t="s">
        <v>4661</v>
      </c>
      <c r="B2322" s="2" t="s">
        <v>4662</v>
      </c>
      <c r="C2322" s="2" t="s">
        <v>34</v>
      </c>
      <c r="D2322" s="3">
        <v>46009</v>
      </c>
      <c r="E2322" s="3">
        <v>46012</v>
      </c>
      <c r="F2322" s="3">
        <v>46017</v>
      </c>
      <c r="G2322" s="2" t="s">
        <v>11</v>
      </c>
      <c r="H2322" s="2">
        <v>29</v>
      </c>
      <c r="I2322" s="2">
        <v>29</v>
      </c>
      <c r="J2322">
        <f t="shared" si="180"/>
        <v>8</v>
      </c>
      <c r="K2322">
        <f t="shared" si="181"/>
        <v>5</v>
      </c>
      <c r="L2322" t="str">
        <f t="shared" si="182"/>
        <v>No</v>
      </c>
      <c r="M2322" t="str">
        <f t="shared" si="184"/>
        <v>Yes</v>
      </c>
      <c r="N2322" t="str">
        <f t="shared" si="183"/>
        <v>No</v>
      </c>
    </row>
    <row r="2323" spans="1:14" x14ac:dyDescent="0.3">
      <c r="A2323" s="4" t="s">
        <v>4663</v>
      </c>
      <c r="B2323" s="4" t="s">
        <v>4664</v>
      </c>
      <c r="C2323" s="4" t="s">
        <v>34</v>
      </c>
      <c r="D2323" s="5">
        <v>46008</v>
      </c>
      <c r="E2323" s="5">
        <v>46016</v>
      </c>
      <c r="F2323" s="5">
        <v>46015</v>
      </c>
      <c r="G2323" s="4" t="s">
        <v>22</v>
      </c>
      <c r="H2323" s="4">
        <v>39</v>
      </c>
      <c r="I2323" s="2">
        <v>39</v>
      </c>
      <c r="J2323">
        <f t="shared" si="180"/>
        <v>7</v>
      </c>
      <c r="K2323">
        <f t="shared" si="181"/>
        <v>-1</v>
      </c>
      <c r="L2323" t="str">
        <f t="shared" si="182"/>
        <v>Yes</v>
      </c>
      <c r="M2323" t="str">
        <f t="shared" si="184"/>
        <v>Yes</v>
      </c>
      <c r="N2323" t="str">
        <f t="shared" si="183"/>
        <v>Yes</v>
      </c>
    </row>
    <row r="2324" spans="1:14" x14ac:dyDescent="0.3">
      <c r="A2324" s="2" t="s">
        <v>4665</v>
      </c>
      <c r="B2324" s="2" t="s">
        <v>4666</v>
      </c>
      <c r="C2324" s="2" t="s">
        <v>10</v>
      </c>
      <c r="D2324" s="3">
        <v>46008</v>
      </c>
      <c r="E2324" s="3">
        <v>46011</v>
      </c>
      <c r="F2324" s="3">
        <v>46013</v>
      </c>
      <c r="G2324" s="2" t="s">
        <v>22</v>
      </c>
      <c r="H2324" s="2">
        <v>15</v>
      </c>
      <c r="I2324" s="2">
        <v>17</v>
      </c>
      <c r="J2324">
        <f t="shared" si="180"/>
        <v>5</v>
      </c>
      <c r="K2324">
        <f t="shared" si="181"/>
        <v>2</v>
      </c>
      <c r="L2324" t="str">
        <f t="shared" si="182"/>
        <v>No</v>
      </c>
      <c r="M2324" t="str">
        <f t="shared" si="184"/>
        <v>No</v>
      </c>
      <c r="N2324" t="str">
        <f t="shared" si="183"/>
        <v>No</v>
      </c>
    </row>
    <row r="2325" spans="1:14" x14ac:dyDescent="0.3">
      <c r="A2325" s="4" t="s">
        <v>4667</v>
      </c>
      <c r="B2325" s="4" t="s">
        <v>4668</v>
      </c>
      <c r="C2325" s="4" t="s">
        <v>72</v>
      </c>
      <c r="D2325" s="5">
        <v>46007</v>
      </c>
      <c r="E2325" s="5">
        <v>46016</v>
      </c>
      <c r="F2325" s="5">
        <v>46021</v>
      </c>
      <c r="G2325" s="4" t="s">
        <v>11</v>
      </c>
      <c r="H2325" s="4">
        <v>21</v>
      </c>
      <c r="I2325" s="2">
        <v>25</v>
      </c>
      <c r="J2325">
        <f t="shared" si="180"/>
        <v>14</v>
      </c>
      <c r="K2325">
        <f t="shared" si="181"/>
        <v>5</v>
      </c>
      <c r="L2325" t="str">
        <f t="shared" si="182"/>
        <v>No</v>
      </c>
      <c r="M2325" t="str">
        <f t="shared" si="184"/>
        <v>No</v>
      </c>
      <c r="N2325" t="str">
        <f t="shared" si="183"/>
        <v>No</v>
      </c>
    </row>
    <row r="2326" spans="1:14" x14ac:dyDescent="0.3">
      <c r="A2326" s="2" t="s">
        <v>4669</v>
      </c>
      <c r="B2326" s="2" t="s">
        <v>4670</v>
      </c>
      <c r="C2326" s="2" t="s">
        <v>14</v>
      </c>
      <c r="D2326" s="3">
        <v>46007</v>
      </c>
      <c r="E2326" s="3">
        <v>46015</v>
      </c>
      <c r="F2326" s="3">
        <v>46026</v>
      </c>
      <c r="G2326" s="2" t="s">
        <v>18</v>
      </c>
      <c r="H2326" s="2">
        <v>22</v>
      </c>
      <c r="I2326" s="2">
        <v>22</v>
      </c>
      <c r="J2326">
        <f t="shared" si="180"/>
        <v>19</v>
      </c>
      <c r="K2326">
        <f t="shared" si="181"/>
        <v>11</v>
      </c>
      <c r="L2326" t="str">
        <f t="shared" si="182"/>
        <v>No</v>
      </c>
      <c r="M2326" t="str">
        <f t="shared" si="184"/>
        <v>Yes</v>
      </c>
      <c r="N2326" t="str">
        <f t="shared" si="183"/>
        <v>No</v>
      </c>
    </row>
    <row r="2327" spans="1:14" x14ac:dyDescent="0.3">
      <c r="A2327" s="4" t="s">
        <v>4671</v>
      </c>
      <c r="B2327" s="4" t="s">
        <v>4672</v>
      </c>
      <c r="C2327" s="4" t="s">
        <v>14</v>
      </c>
      <c r="D2327" s="5">
        <v>46007</v>
      </c>
      <c r="E2327" s="5">
        <v>46017</v>
      </c>
      <c r="F2327" s="5">
        <v>46022</v>
      </c>
      <c r="G2327" s="4" t="s">
        <v>22</v>
      </c>
      <c r="H2327" s="4">
        <v>48</v>
      </c>
      <c r="I2327" s="2">
        <v>48</v>
      </c>
      <c r="J2327">
        <f t="shared" si="180"/>
        <v>15</v>
      </c>
      <c r="K2327">
        <f t="shared" si="181"/>
        <v>5</v>
      </c>
      <c r="L2327" t="str">
        <f t="shared" si="182"/>
        <v>No</v>
      </c>
      <c r="M2327" t="str">
        <f t="shared" si="184"/>
        <v>Yes</v>
      </c>
      <c r="N2327" t="str">
        <f t="shared" si="183"/>
        <v>No</v>
      </c>
    </row>
    <row r="2328" spans="1:14" x14ac:dyDescent="0.3">
      <c r="A2328" s="2" t="s">
        <v>4673</v>
      </c>
      <c r="B2328" s="2" t="s">
        <v>4674</v>
      </c>
      <c r="C2328" s="2" t="s">
        <v>14</v>
      </c>
      <c r="D2328" s="3">
        <v>46007</v>
      </c>
      <c r="E2328" s="3">
        <v>46012</v>
      </c>
      <c r="F2328" s="3">
        <v>46026</v>
      </c>
      <c r="G2328" s="2" t="s">
        <v>18</v>
      </c>
      <c r="H2328" s="2">
        <v>26</v>
      </c>
      <c r="I2328" s="2">
        <v>28</v>
      </c>
      <c r="J2328">
        <f t="shared" si="180"/>
        <v>19</v>
      </c>
      <c r="K2328">
        <f t="shared" si="181"/>
        <v>14</v>
      </c>
      <c r="L2328" t="str">
        <f t="shared" si="182"/>
        <v>No</v>
      </c>
      <c r="M2328" t="str">
        <f t="shared" si="184"/>
        <v>No</v>
      </c>
      <c r="N2328" t="str">
        <f t="shared" si="183"/>
        <v>No</v>
      </c>
    </row>
    <row r="2329" spans="1:14" x14ac:dyDescent="0.3">
      <c r="A2329" s="4" t="s">
        <v>4675</v>
      </c>
      <c r="B2329" s="4" t="s">
        <v>4676</v>
      </c>
      <c r="C2329" s="4" t="s">
        <v>27</v>
      </c>
      <c r="D2329" s="5">
        <v>46009</v>
      </c>
      <c r="E2329" s="5">
        <v>46011</v>
      </c>
      <c r="F2329" s="5">
        <v>46022</v>
      </c>
      <c r="G2329" s="4" t="s">
        <v>11</v>
      </c>
      <c r="H2329" s="4">
        <v>25</v>
      </c>
      <c r="I2329" s="2">
        <v>25</v>
      </c>
      <c r="J2329">
        <f t="shared" si="180"/>
        <v>13</v>
      </c>
      <c r="K2329">
        <f t="shared" si="181"/>
        <v>11</v>
      </c>
      <c r="L2329" t="str">
        <f t="shared" si="182"/>
        <v>No</v>
      </c>
      <c r="M2329" t="str">
        <f t="shared" si="184"/>
        <v>Yes</v>
      </c>
      <c r="N2329" t="str">
        <f t="shared" si="183"/>
        <v>No</v>
      </c>
    </row>
    <row r="2330" spans="1:14" x14ac:dyDescent="0.3">
      <c r="A2330" s="2" t="s">
        <v>4677</v>
      </c>
      <c r="B2330" s="2" t="s">
        <v>4678</v>
      </c>
      <c r="C2330" s="2" t="s">
        <v>27</v>
      </c>
      <c r="D2330" s="3">
        <v>46009</v>
      </c>
      <c r="E2330" s="3">
        <v>46012</v>
      </c>
      <c r="F2330" s="3">
        <v>46022</v>
      </c>
      <c r="G2330" s="2" t="s">
        <v>11</v>
      </c>
      <c r="H2330" s="2">
        <v>1</v>
      </c>
      <c r="I2330" s="2">
        <v>3</v>
      </c>
      <c r="J2330">
        <f t="shared" si="180"/>
        <v>13</v>
      </c>
      <c r="K2330">
        <f t="shared" si="181"/>
        <v>10</v>
      </c>
      <c r="L2330" t="str">
        <f t="shared" si="182"/>
        <v>No</v>
      </c>
      <c r="M2330" t="str">
        <f t="shared" si="184"/>
        <v>No</v>
      </c>
      <c r="N2330" t="str">
        <f t="shared" si="183"/>
        <v>No</v>
      </c>
    </row>
    <row r="2331" spans="1:14" x14ac:dyDescent="0.3">
      <c r="A2331" s="4" t="s">
        <v>4679</v>
      </c>
      <c r="B2331" s="4" t="s">
        <v>4680</v>
      </c>
      <c r="C2331" s="4" t="s">
        <v>34</v>
      </c>
      <c r="D2331" s="5">
        <v>46009</v>
      </c>
      <c r="E2331" s="5">
        <v>46015</v>
      </c>
      <c r="F2331" s="5">
        <v>46020</v>
      </c>
      <c r="G2331" s="4" t="s">
        <v>15</v>
      </c>
      <c r="H2331" s="4">
        <v>52</v>
      </c>
      <c r="I2331" s="2">
        <v>55</v>
      </c>
      <c r="J2331">
        <f t="shared" si="180"/>
        <v>11</v>
      </c>
      <c r="K2331">
        <f t="shared" si="181"/>
        <v>5</v>
      </c>
      <c r="L2331" t="str">
        <f t="shared" si="182"/>
        <v>No</v>
      </c>
      <c r="M2331" t="str">
        <f t="shared" si="184"/>
        <v>No</v>
      </c>
      <c r="N2331" t="str">
        <f t="shared" si="183"/>
        <v>No</v>
      </c>
    </row>
    <row r="2332" spans="1:14" x14ac:dyDescent="0.3">
      <c r="A2332" s="2" t="s">
        <v>4681</v>
      </c>
      <c r="B2332" s="2" t="s">
        <v>4682</v>
      </c>
      <c r="C2332" s="2" t="s">
        <v>34</v>
      </c>
      <c r="D2332" s="3">
        <v>46009</v>
      </c>
      <c r="E2332" s="3">
        <v>46012</v>
      </c>
      <c r="F2332" s="3">
        <v>46015</v>
      </c>
      <c r="G2332" s="2" t="s">
        <v>15</v>
      </c>
      <c r="H2332" s="2">
        <v>51</v>
      </c>
      <c r="I2332" s="2">
        <v>51</v>
      </c>
      <c r="J2332">
        <f t="shared" si="180"/>
        <v>6</v>
      </c>
      <c r="K2332">
        <f t="shared" si="181"/>
        <v>3</v>
      </c>
      <c r="L2332" t="str">
        <f t="shared" si="182"/>
        <v>No</v>
      </c>
      <c r="M2332" t="str">
        <f t="shared" si="184"/>
        <v>Yes</v>
      </c>
      <c r="N2332" t="str">
        <f t="shared" si="183"/>
        <v>No</v>
      </c>
    </row>
    <row r="2333" spans="1:14" x14ac:dyDescent="0.3">
      <c r="A2333" s="4" t="s">
        <v>4683</v>
      </c>
      <c r="B2333" s="4" t="s">
        <v>4684</v>
      </c>
      <c r="C2333" s="4" t="s">
        <v>59</v>
      </c>
      <c r="D2333" s="5">
        <v>46010</v>
      </c>
      <c r="E2333" s="5">
        <v>46013</v>
      </c>
      <c r="F2333" s="5">
        <v>46018</v>
      </c>
      <c r="G2333" s="4" t="s">
        <v>18</v>
      </c>
      <c r="H2333" s="4">
        <v>21</v>
      </c>
      <c r="I2333" s="2">
        <v>21</v>
      </c>
      <c r="J2333">
        <f t="shared" si="180"/>
        <v>8</v>
      </c>
      <c r="K2333">
        <f t="shared" si="181"/>
        <v>5</v>
      </c>
      <c r="L2333" t="str">
        <f t="shared" si="182"/>
        <v>No</v>
      </c>
      <c r="M2333" t="str">
        <f t="shared" si="184"/>
        <v>Yes</v>
      </c>
      <c r="N2333" t="str">
        <f t="shared" si="183"/>
        <v>No</v>
      </c>
    </row>
    <row r="2334" spans="1:14" x14ac:dyDescent="0.3">
      <c r="A2334" s="2" t="s">
        <v>4685</v>
      </c>
      <c r="B2334" s="2" t="s">
        <v>4686</v>
      </c>
      <c r="C2334" s="2" t="s">
        <v>14</v>
      </c>
      <c r="D2334" s="3">
        <v>46008</v>
      </c>
      <c r="E2334" s="3">
        <v>46012</v>
      </c>
      <c r="F2334" s="3">
        <v>46027</v>
      </c>
      <c r="G2334" s="2" t="s">
        <v>18</v>
      </c>
      <c r="H2334" s="2">
        <v>30</v>
      </c>
      <c r="I2334" s="2">
        <v>30</v>
      </c>
      <c r="J2334">
        <f t="shared" si="180"/>
        <v>19</v>
      </c>
      <c r="K2334">
        <f t="shared" si="181"/>
        <v>15</v>
      </c>
      <c r="L2334" t="str">
        <f t="shared" si="182"/>
        <v>No</v>
      </c>
      <c r="M2334" t="str">
        <f t="shared" si="184"/>
        <v>Yes</v>
      </c>
      <c r="N2334" t="str">
        <f t="shared" si="183"/>
        <v>No</v>
      </c>
    </row>
    <row r="2335" spans="1:14" x14ac:dyDescent="0.3">
      <c r="A2335" s="4" t="s">
        <v>4687</v>
      </c>
      <c r="B2335" s="4" t="s">
        <v>4688</v>
      </c>
      <c r="C2335" s="4" t="s">
        <v>14</v>
      </c>
      <c r="D2335" s="5">
        <v>46009</v>
      </c>
      <c r="E2335" s="5">
        <v>46018</v>
      </c>
      <c r="F2335" s="5">
        <v>46023</v>
      </c>
      <c r="G2335" s="4" t="s">
        <v>15</v>
      </c>
      <c r="H2335" s="4">
        <v>11</v>
      </c>
      <c r="I2335" s="2">
        <v>18</v>
      </c>
      <c r="J2335">
        <f t="shared" si="180"/>
        <v>14</v>
      </c>
      <c r="K2335">
        <f t="shared" si="181"/>
        <v>5</v>
      </c>
      <c r="L2335" t="str">
        <f t="shared" si="182"/>
        <v>No</v>
      </c>
      <c r="M2335" t="str">
        <f t="shared" si="184"/>
        <v>No</v>
      </c>
      <c r="N2335" t="str">
        <f t="shared" si="183"/>
        <v>No</v>
      </c>
    </row>
    <row r="2336" spans="1:14" x14ac:dyDescent="0.3">
      <c r="A2336" s="2" t="s">
        <v>4689</v>
      </c>
      <c r="B2336" s="2" t="s">
        <v>4690</v>
      </c>
      <c r="C2336" s="2" t="s">
        <v>21</v>
      </c>
      <c r="D2336" s="3">
        <v>46010</v>
      </c>
      <c r="E2336" s="3">
        <v>46018</v>
      </c>
      <c r="F2336" s="3">
        <v>46016</v>
      </c>
      <c r="G2336" s="2" t="s">
        <v>11</v>
      </c>
      <c r="H2336" s="2">
        <v>51</v>
      </c>
      <c r="I2336" s="2">
        <v>51</v>
      </c>
      <c r="J2336">
        <f t="shared" si="180"/>
        <v>6</v>
      </c>
      <c r="K2336">
        <f t="shared" si="181"/>
        <v>-2</v>
      </c>
      <c r="L2336" t="str">
        <f t="shared" si="182"/>
        <v>Yes</v>
      </c>
      <c r="M2336" t="str">
        <f t="shared" si="184"/>
        <v>Yes</v>
      </c>
      <c r="N2336" t="str">
        <f t="shared" si="183"/>
        <v>Yes</v>
      </c>
    </row>
    <row r="2337" spans="1:14" x14ac:dyDescent="0.3">
      <c r="A2337" s="4" t="s">
        <v>4691</v>
      </c>
      <c r="B2337" s="4" t="s">
        <v>4692</v>
      </c>
      <c r="C2337" s="4" t="s">
        <v>21</v>
      </c>
      <c r="D2337" s="5">
        <v>46009</v>
      </c>
      <c r="E2337" s="5">
        <v>46016</v>
      </c>
      <c r="F2337" s="5">
        <v>46015</v>
      </c>
      <c r="G2337" s="4" t="s">
        <v>40</v>
      </c>
      <c r="H2337" s="4">
        <v>19</v>
      </c>
      <c r="I2337" s="2">
        <v>19</v>
      </c>
      <c r="J2337">
        <f t="shared" si="180"/>
        <v>6</v>
      </c>
      <c r="K2337">
        <f t="shared" si="181"/>
        <v>-1</v>
      </c>
      <c r="L2337" t="str">
        <f t="shared" si="182"/>
        <v>Yes</v>
      </c>
      <c r="M2337" t="str">
        <f t="shared" si="184"/>
        <v>Yes</v>
      </c>
      <c r="N2337" t="str">
        <f t="shared" si="183"/>
        <v>Yes</v>
      </c>
    </row>
    <row r="2338" spans="1:14" x14ac:dyDescent="0.3">
      <c r="A2338" s="2" t="s">
        <v>4693</v>
      </c>
      <c r="B2338" s="2" t="s">
        <v>4694</v>
      </c>
      <c r="C2338" s="2" t="s">
        <v>27</v>
      </c>
      <c r="D2338" s="3">
        <v>46010</v>
      </c>
      <c r="E2338" s="3">
        <v>46017</v>
      </c>
      <c r="F2338" s="3">
        <v>46023</v>
      </c>
      <c r="G2338" s="2" t="s">
        <v>22</v>
      </c>
      <c r="H2338" s="2">
        <v>8</v>
      </c>
      <c r="I2338" s="2">
        <v>8</v>
      </c>
      <c r="J2338">
        <f t="shared" si="180"/>
        <v>13</v>
      </c>
      <c r="K2338">
        <f t="shared" si="181"/>
        <v>6</v>
      </c>
      <c r="L2338" t="str">
        <f t="shared" si="182"/>
        <v>No</v>
      </c>
      <c r="M2338" t="str">
        <f t="shared" si="184"/>
        <v>Yes</v>
      </c>
      <c r="N2338" t="str">
        <f t="shared" si="183"/>
        <v>No</v>
      </c>
    </row>
    <row r="2339" spans="1:14" x14ac:dyDescent="0.3">
      <c r="A2339" s="4" t="s">
        <v>4695</v>
      </c>
      <c r="B2339" s="4" t="s">
        <v>4696</v>
      </c>
      <c r="C2339" s="4" t="s">
        <v>10</v>
      </c>
      <c r="D2339" s="5">
        <v>46011</v>
      </c>
      <c r="E2339" s="5">
        <v>46019</v>
      </c>
      <c r="F2339" s="5">
        <v>46016</v>
      </c>
      <c r="G2339" s="4" t="s">
        <v>11</v>
      </c>
      <c r="H2339" s="4">
        <v>17</v>
      </c>
      <c r="I2339" s="2">
        <v>17</v>
      </c>
      <c r="J2339">
        <f t="shared" si="180"/>
        <v>5</v>
      </c>
      <c r="K2339">
        <f t="shared" si="181"/>
        <v>-3</v>
      </c>
      <c r="L2339" t="str">
        <f t="shared" si="182"/>
        <v>Yes</v>
      </c>
      <c r="M2339" t="str">
        <f t="shared" si="184"/>
        <v>Yes</v>
      </c>
      <c r="N2339" t="str">
        <f t="shared" si="183"/>
        <v>Yes</v>
      </c>
    </row>
    <row r="2340" spans="1:14" x14ac:dyDescent="0.3">
      <c r="A2340" s="2" t="s">
        <v>4697</v>
      </c>
      <c r="B2340" s="2" t="s">
        <v>4698</v>
      </c>
      <c r="C2340" s="2" t="s">
        <v>72</v>
      </c>
      <c r="D2340" s="3">
        <v>46009</v>
      </c>
      <c r="E2340" s="3">
        <v>46014</v>
      </c>
      <c r="F2340" s="3">
        <v>46023</v>
      </c>
      <c r="G2340" s="2" t="s">
        <v>15</v>
      </c>
      <c r="H2340" s="2">
        <v>56</v>
      </c>
      <c r="I2340" s="2">
        <v>56</v>
      </c>
      <c r="J2340">
        <f t="shared" si="180"/>
        <v>14</v>
      </c>
      <c r="K2340">
        <f t="shared" si="181"/>
        <v>9</v>
      </c>
      <c r="L2340" t="str">
        <f t="shared" si="182"/>
        <v>No</v>
      </c>
      <c r="M2340" t="str">
        <f t="shared" si="184"/>
        <v>Yes</v>
      </c>
      <c r="N2340" t="str">
        <f t="shared" si="183"/>
        <v>No</v>
      </c>
    </row>
    <row r="2341" spans="1:14" x14ac:dyDescent="0.3">
      <c r="A2341" s="4" t="s">
        <v>4699</v>
      </c>
      <c r="B2341" s="4" t="s">
        <v>4700</v>
      </c>
      <c r="C2341" s="4" t="s">
        <v>72</v>
      </c>
      <c r="D2341" s="5">
        <v>46009</v>
      </c>
      <c r="E2341" s="5">
        <v>46013</v>
      </c>
      <c r="F2341" s="5">
        <v>46023</v>
      </c>
      <c r="G2341" s="4" t="s">
        <v>40</v>
      </c>
      <c r="H2341" s="4">
        <v>21</v>
      </c>
      <c r="I2341" s="2">
        <v>21</v>
      </c>
      <c r="J2341">
        <f t="shared" si="180"/>
        <v>14</v>
      </c>
      <c r="K2341">
        <f t="shared" si="181"/>
        <v>10</v>
      </c>
      <c r="L2341" t="str">
        <f t="shared" si="182"/>
        <v>No</v>
      </c>
      <c r="M2341" t="str">
        <f t="shared" si="184"/>
        <v>Yes</v>
      </c>
      <c r="N2341" t="str">
        <f t="shared" si="183"/>
        <v>No</v>
      </c>
    </row>
    <row r="2342" spans="1:14" x14ac:dyDescent="0.3">
      <c r="A2342" s="2" t="s">
        <v>4701</v>
      </c>
      <c r="B2342" s="2" t="s">
        <v>4702</v>
      </c>
      <c r="C2342" s="2" t="s">
        <v>21</v>
      </c>
      <c r="D2342" s="3">
        <v>46010</v>
      </c>
      <c r="E2342" s="3">
        <v>46016</v>
      </c>
      <c r="F2342" s="3">
        <v>46018</v>
      </c>
      <c r="G2342" s="2" t="s">
        <v>15</v>
      </c>
      <c r="H2342" s="2">
        <v>56</v>
      </c>
      <c r="I2342" s="2">
        <v>64</v>
      </c>
      <c r="J2342">
        <f t="shared" si="180"/>
        <v>8</v>
      </c>
      <c r="K2342">
        <f t="shared" si="181"/>
        <v>2</v>
      </c>
      <c r="L2342" t="str">
        <f t="shared" si="182"/>
        <v>No</v>
      </c>
      <c r="M2342" t="str">
        <f t="shared" si="184"/>
        <v>No</v>
      </c>
      <c r="N2342" t="str">
        <f t="shared" si="183"/>
        <v>No</v>
      </c>
    </row>
    <row r="2343" spans="1:14" x14ac:dyDescent="0.3">
      <c r="A2343" s="4" t="s">
        <v>4703</v>
      </c>
      <c r="B2343" s="4" t="s">
        <v>4704</v>
      </c>
      <c r="C2343" s="4" t="s">
        <v>27</v>
      </c>
      <c r="D2343" s="5">
        <v>46011</v>
      </c>
      <c r="E2343" s="5">
        <v>46018</v>
      </c>
      <c r="F2343" s="5">
        <v>46024</v>
      </c>
      <c r="G2343" s="4" t="s">
        <v>11</v>
      </c>
      <c r="H2343" s="4">
        <v>41</v>
      </c>
      <c r="I2343" s="2">
        <v>43</v>
      </c>
      <c r="J2343">
        <f t="shared" si="180"/>
        <v>13</v>
      </c>
      <c r="K2343">
        <f t="shared" si="181"/>
        <v>6</v>
      </c>
      <c r="L2343" t="str">
        <f t="shared" si="182"/>
        <v>No</v>
      </c>
      <c r="M2343" t="str">
        <f t="shared" si="184"/>
        <v>No</v>
      </c>
      <c r="N2343" t="str">
        <f t="shared" si="183"/>
        <v>No</v>
      </c>
    </row>
    <row r="2344" spans="1:14" x14ac:dyDescent="0.3">
      <c r="A2344" s="2" t="s">
        <v>4705</v>
      </c>
      <c r="B2344" s="2" t="s">
        <v>4706</v>
      </c>
      <c r="C2344" s="2" t="s">
        <v>27</v>
      </c>
      <c r="D2344" s="3">
        <v>46010</v>
      </c>
      <c r="E2344" s="3">
        <v>46016</v>
      </c>
      <c r="F2344" s="3">
        <v>46024</v>
      </c>
      <c r="G2344" s="2" t="s">
        <v>18</v>
      </c>
      <c r="H2344" s="2">
        <v>13</v>
      </c>
      <c r="I2344" s="2">
        <v>13</v>
      </c>
      <c r="J2344">
        <f t="shared" si="180"/>
        <v>14</v>
      </c>
      <c r="K2344">
        <f t="shared" si="181"/>
        <v>8</v>
      </c>
      <c r="L2344" t="str">
        <f t="shared" si="182"/>
        <v>No</v>
      </c>
      <c r="M2344" t="str">
        <f t="shared" si="184"/>
        <v>Yes</v>
      </c>
      <c r="N2344" t="str">
        <f t="shared" si="183"/>
        <v>No</v>
      </c>
    </row>
    <row r="2345" spans="1:14" x14ac:dyDescent="0.3">
      <c r="A2345" s="4" t="s">
        <v>4707</v>
      </c>
      <c r="B2345" s="4" t="s">
        <v>4708</v>
      </c>
      <c r="C2345" s="4" t="s">
        <v>72</v>
      </c>
      <c r="D2345" s="5">
        <v>46012</v>
      </c>
      <c r="E2345" s="5">
        <v>46018</v>
      </c>
      <c r="F2345" s="5">
        <v>46028</v>
      </c>
      <c r="G2345" s="4" t="s">
        <v>15</v>
      </c>
      <c r="H2345" s="4">
        <v>38</v>
      </c>
      <c r="I2345" s="2">
        <v>38</v>
      </c>
      <c r="J2345">
        <f t="shared" si="180"/>
        <v>16</v>
      </c>
      <c r="K2345">
        <f t="shared" si="181"/>
        <v>10</v>
      </c>
      <c r="L2345" t="str">
        <f t="shared" si="182"/>
        <v>No</v>
      </c>
      <c r="M2345" t="str">
        <f t="shared" si="184"/>
        <v>Yes</v>
      </c>
      <c r="N2345" t="str">
        <f t="shared" si="183"/>
        <v>No</v>
      </c>
    </row>
    <row r="2346" spans="1:14" x14ac:dyDescent="0.3">
      <c r="A2346" s="2" t="s">
        <v>4709</v>
      </c>
      <c r="B2346" s="2" t="s">
        <v>4710</v>
      </c>
      <c r="C2346" s="2" t="s">
        <v>21</v>
      </c>
      <c r="D2346" s="3">
        <v>46011</v>
      </c>
      <c r="E2346" s="3">
        <v>46017</v>
      </c>
      <c r="F2346" s="3">
        <v>46016</v>
      </c>
      <c r="G2346" s="2" t="s">
        <v>15</v>
      </c>
      <c r="H2346" s="2">
        <v>54</v>
      </c>
      <c r="I2346" s="2">
        <v>54</v>
      </c>
      <c r="J2346">
        <f t="shared" si="180"/>
        <v>5</v>
      </c>
      <c r="K2346">
        <f t="shared" si="181"/>
        <v>-1</v>
      </c>
      <c r="L2346" t="str">
        <f t="shared" si="182"/>
        <v>Yes</v>
      </c>
      <c r="M2346" t="str">
        <f t="shared" si="184"/>
        <v>Yes</v>
      </c>
      <c r="N2346" t="str">
        <f t="shared" si="183"/>
        <v>Yes</v>
      </c>
    </row>
    <row r="2347" spans="1:14" x14ac:dyDescent="0.3">
      <c r="A2347" s="4" t="s">
        <v>4711</v>
      </c>
      <c r="B2347" s="4" t="s">
        <v>4712</v>
      </c>
      <c r="C2347" s="4" t="s">
        <v>27</v>
      </c>
      <c r="D2347" s="5">
        <v>46011</v>
      </c>
      <c r="E2347" s="5">
        <v>46015</v>
      </c>
      <c r="F2347" s="5">
        <v>46025</v>
      </c>
      <c r="G2347" s="4" t="s">
        <v>15</v>
      </c>
      <c r="H2347" s="4">
        <v>27</v>
      </c>
      <c r="I2347" s="2">
        <v>27</v>
      </c>
      <c r="J2347">
        <f t="shared" si="180"/>
        <v>14</v>
      </c>
      <c r="K2347">
        <f t="shared" si="181"/>
        <v>10</v>
      </c>
      <c r="L2347" t="str">
        <f t="shared" si="182"/>
        <v>No</v>
      </c>
      <c r="M2347" t="str">
        <f t="shared" si="184"/>
        <v>Yes</v>
      </c>
      <c r="N2347" t="str">
        <f t="shared" si="183"/>
        <v>No</v>
      </c>
    </row>
    <row r="2348" spans="1:14" x14ac:dyDescent="0.3">
      <c r="A2348" s="2" t="s">
        <v>4713</v>
      </c>
      <c r="B2348" s="2" t="s">
        <v>4714</v>
      </c>
      <c r="C2348" s="2" t="s">
        <v>34</v>
      </c>
      <c r="D2348" s="3">
        <v>46011</v>
      </c>
      <c r="E2348" s="3">
        <v>46019</v>
      </c>
      <c r="F2348" s="3">
        <v>46018</v>
      </c>
      <c r="G2348" s="2" t="s">
        <v>18</v>
      </c>
      <c r="H2348" s="2">
        <v>23</v>
      </c>
      <c r="I2348" s="2">
        <v>23</v>
      </c>
      <c r="J2348">
        <f t="shared" si="180"/>
        <v>7</v>
      </c>
      <c r="K2348">
        <f t="shared" si="181"/>
        <v>-1</v>
      </c>
      <c r="L2348" t="str">
        <f t="shared" si="182"/>
        <v>Yes</v>
      </c>
      <c r="M2348" t="str">
        <f t="shared" si="184"/>
        <v>Yes</v>
      </c>
      <c r="N2348" t="str">
        <f t="shared" si="183"/>
        <v>Yes</v>
      </c>
    </row>
    <row r="2349" spans="1:14" x14ac:dyDescent="0.3">
      <c r="A2349" s="4" t="s">
        <v>4715</v>
      </c>
      <c r="B2349" s="4" t="s">
        <v>4716</v>
      </c>
      <c r="C2349" s="4" t="s">
        <v>37</v>
      </c>
      <c r="D2349" s="5">
        <v>46011</v>
      </c>
      <c r="E2349" s="5">
        <v>46015</v>
      </c>
      <c r="F2349" s="5">
        <v>46023</v>
      </c>
      <c r="G2349" s="4" t="s">
        <v>40</v>
      </c>
      <c r="H2349" s="4">
        <v>22</v>
      </c>
      <c r="I2349" s="2">
        <v>22</v>
      </c>
      <c r="J2349">
        <f t="shared" si="180"/>
        <v>12</v>
      </c>
      <c r="K2349">
        <f t="shared" si="181"/>
        <v>8</v>
      </c>
      <c r="L2349" t="str">
        <f t="shared" si="182"/>
        <v>No</v>
      </c>
      <c r="M2349" t="str">
        <f t="shared" si="184"/>
        <v>Yes</v>
      </c>
      <c r="N2349" t="str">
        <f t="shared" si="183"/>
        <v>No</v>
      </c>
    </row>
    <row r="2350" spans="1:14" x14ac:dyDescent="0.3">
      <c r="A2350" s="2" t="s">
        <v>4717</v>
      </c>
      <c r="B2350" s="2" t="s">
        <v>4718</v>
      </c>
      <c r="C2350" s="2" t="s">
        <v>72</v>
      </c>
      <c r="D2350" s="3">
        <v>46013</v>
      </c>
      <c r="E2350" s="3">
        <v>46018</v>
      </c>
      <c r="F2350" s="3">
        <v>46028</v>
      </c>
      <c r="G2350" s="2" t="s">
        <v>40</v>
      </c>
      <c r="H2350" s="2">
        <v>13</v>
      </c>
      <c r="I2350" s="2">
        <v>13</v>
      </c>
      <c r="J2350">
        <f t="shared" si="180"/>
        <v>15</v>
      </c>
      <c r="K2350">
        <f t="shared" si="181"/>
        <v>10</v>
      </c>
      <c r="L2350" t="str">
        <f t="shared" si="182"/>
        <v>No</v>
      </c>
      <c r="M2350" t="str">
        <f t="shared" si="184"/>
        <v>Yes</v>
      </c>
      <c r="N2350" t="str">
        <f t="shared" si="183"/>
        <v>No</v>
      </c>
    </row>
    <row r="2351" spans="1:14" x14ac:dyDescent="0.3">
      <c r="A2351" s="4" t="s">
        <v>4719</v>
      </c>
      <c r="B2351" s="4" t="s">
        <v>4720</v>
      </c>
      <c r="C2351" s="4" t="s">
        <v>14</v>
      </c>
      <c r="D2351" s="5">
        <v>46013</v>
      </c>
      <c r="E2351" s="5">
        <v>46014</v>
      </c>
      <c r="F2351" s="5">
        <v>46028</v>
      </c>
      <c r="G2351" s="4" t="s">
        <v>22</v>
      </c>
      <c r="H2351" s="4">
        <v>35</v>
      </c>
      <c r="I2351" s="2">
        <v>35</v>
      </c>
      <c r="J2351">
        <f t="shared" si="180"/>
        <v>15</v>
      </c>
      <c r="K2351">
        <f t="shared" si="181"/>
        <v>14</v>
      </c>
      <c r="L2351" t="str">
        <f t="shared" si="182"/>
        <v>No</v>
      </c>
      <c r="M2351" t="str">
        <f t="shared" si="184"/>
        <v>Yes</v>
      </c>
      <c r="N2351" t="str">
        <f t="shared" si="183"/>
        <v>No</v>
      </c>
    </row>
    <row r="2352" spans="1:14" x14ac:dyDescent="0.3">
      <c r="A2352" s="2" t="s">
        <v>4721</v>
      </c>
      <c r="B2352" s="2" t="s">
        <v>4722</v>
      </c>
      <c r="C2352" s="2" t="s">
        <v>21</v>
      </c>
      <c r="D2352" s="3">
        <v>46013</v>
      </c>
      <c r="E2352" s="3">
        <v>46015</v>
      </c>
      <c r="F2352" s="3">
        <v>46019</v>
      </c>
      <c r="G2352" s="2" t="s">
        <v>40</v>
      </c>
      <c r="H2352" s="2">
        <v>27</v>
      </c>
      <c r="I2352" s="2">
        <v>27</v>
      </c>
      <c r="J2352">
        <f t="shared" si="180"/>
        <v>6</v>
      </c>
      <c r="K2352">
        <f t="shared" si="181"/>
        <v>4</v>
      </c>
      <c r="L2352" t="str">
        <f t="shared" si="182"/>
        <v>No</v>
      </c>
      <c r="M2352" t="str">
        <f t="shared" si="184"/>
        <v>Yes</v>
      </c>
      <c r="N2352" t="str">
        <f t="shared" si="183"/>
        <v>No</v>
      </c>
    </row>
    <row r="2353" spans="1:14" x14ac:dyDescent="0.3">
      <c r="A2353" s="4" t="s">
        <v>4723</v>
      </c>
      <c r="B2353" s="4" t="s">
        <v>4724</v>
      </c>
      <c r="C2353" s="4" t="s">
        <v>37</v>
      </c>
      <c r="D2353" s="5">
        <v>46014</v>
      </c>
      <c r="E2353" s="5">
        <v>46020</v>
      </c>
      <c r="F2353" s="5">
        <v>46029</v>
      </c>
      <c r="G2353" s="4" t="s">
        <v>15</v>
      </c>
      <c r="H2353" s="4">
        <v>53</v>
      </c>
      <c r="I2353" s="2">
        <v>54</v>
      </c>
      <c r="J2353">
        <f t="shared" si="180"/>
        <v>15</v>
      </c>
      <c r="K2353">
        <f t="shared" si="181"/>
        <v>9</v>
      </c>
      <c r="L2353" t="str">
        <f t="shared" si="182"/>
        <v>No</v>
      </c>
      <c r="M2353" t="str">
        <f t="shared" si="184"/>
        <v>No</v>
      </c>
      <c r="N2353" t="str">
        <f t="shared" si="183"/>
        <v>No</v>
      </c>
    </row>
    <row r="2354" spans="1:14" x14ac:dyDescent="0.3">
      <c r="A2354" s="2" t="s">
        <v>4725</v>
      </c>
      <c r="B2354" s="2" t="s">
        <v>4726</v>
      </c>
      <c r="C2354" s="2" t="s">
        <v>34</v>
      </c>
      <c r="D2354" s="3">
        <v>46014</v>
      </c>
      <c r="E2354" s="3">
        <v>46015</v>
      </c>
      <c r="F2354" s="3">
        <v>46021</v>
      </c>
      <c r="G2354" s="2" t="s">
        <v>22</v>
      </c>
      <c r="H2354" s="2">
        <v>18</v>
      </c>
      <c r="I2354" s="2">
        <v>18</v>
      </c>
      <c r="J2354">
        <f t="shared" si="180"/>
        <v>7</v>
      </c>
      <c r="K2354">
        <f t="shared" si="181"/>
        <v>6</v>
      </c>
      <c r="L2354" t="str">
        <f t="shared" si="182"/>
        <v>No</v>
      </c>
      <c r="M2354" t="str">
        <f t="shared" si="184"/>
        <v>Yes</v>
      </c>
      <c r="N2354" t="str">
        <f t="shared" si="183"/>
        <v>No</v>
      </c>
    </row>
    <row r="2355" spans="1:14" x14ac:dyDescent="0.3">
      <c r="A2355" s="4" t="s">
        <v>4727</v>
      </c>
      <c r="B2355" s="4" t="s">
        <v>4728</v>
      </c>
      <c r="C2355" s="4" t="s">
        <v>34</v>
      </c>
      <c r="D2355" s="5">
        <v>46012</v>
      </c>
      <c r="E2355" s="5">
        <v>46015</v>
      </c>
      <c r="F2355" s="5">
        <v>46019</v>
      </c>
      <c r="G2355" s="4" t="s">
        <v>40</v>
      </c>
      <c r="H2355" s="4">
        <v>65</v>
      </c>
      <c r="I2355" s="2">
        <v>65</v>
      </c>
      <c r="J2355">
        <f t="shared" si="180"/>
        <v>7</v>
      </c>
      <c r="K2355">
        <f t="shared" si="181"/>
        <v>4</v>
      </c>
      <c r="L2355" t="str">
        <f t="shared" si="182"/>
        <v>No</v>
      </c>
      <c r="M2355" t="str">
        <f t="shared" si="184"/>
        <v>Yes</v>
      </c>
      <c r="N2355" t="str">
        <f t="shared" si="183"/>
        <v>No</v>
      </c>
    </row>
    <row r="2356" spans="1:14" x14ac:dyDescent="0.3">
      <c r="A2356" s="2" t="s">
        <v>4729</v>
      </c>
      <c r="B2356" s="2" t="s">
        <v>4730</v>
      </c>
      <c r="C2356" s="2" t="s">
        <v>10</v>
      </c>
      <c r="D2356" s="3">
        <v>46012</v>
      </c>
      <c r="E2356" s="3">
        <v>46021</v>
      </c>
      <c r="F2356" s="3">
        <v>46018</v>
      </c>
      <c r="G2356" s="2" t="s">
        <v>40</v>
      </c>
      <c r="H2356" s="2">
        <v>23</v>
      </c>
      <c r="I2356" s="2">
        <v>23</v>
      </c>
      <c r="J2356">
        <f t="shared" si="180"/>
        <v>6</v>
      </c>
      <c r="K2356">
        <f t="shared" si="181"/>
        <v>-3</v>
      </c>
      <c r="L2356" t="str">
        <f t="shared" si="182"/>
        <v>Yes</v>
      </c>
      <c r="M2356" t="str">
        <f t="shared" si="184"/>
        <v>Yes</v>
      </c>
      <c r="N2356" t="str">
        <f t="shared" si="183"/>
        <v>Yes</v>
      </c>
    </row>
    <row r="2357" spans="1:14" x14ac:dyDescent="0.3">
      <c r="A2357" s="4" t="s">
        <v>4731</v>
      </c>
      <c r="B2357" s="4" t="s">
        <v>4732</v>
      </c>
      <c r="C2357" s="4" t="s">
        <v>10</v>
      </c>
      <c r="D2357" s="5">
        <v>46013</v>
      </c>
      <c r="E2357" s="5">
        <v>46016</v>
      </c>
      <c r="F2357" s="5">
        <v>46018</v>
      </c>
      <c r="G2357" s="4" t="s">
        <v>22</v>
      </c>
      <c r="H2357" s="4">
        <v>26</v>
      </c>
      <c r="I2357" s="2">
        <v>30</v>
      </c>
      <c r="J2357">
        <f t="shared" si="180"/>
        <v>5</v>
      </c>
      <c r="K2357">
        <f t="shared" si="181"/>
        <v>2</v>
      </c>
      <c r="L2357" t="str">
        <f t="shared" si="182"/>
        <v>No</v>
      </c>
      <c r="M2357" t="str">
        <f t="shared" si="184"/>
        <v>No</v>
      </c>
      <c r="N2357" t="str">
        <f t="shared" si="183"/>
        <v>No</v>
      </c>
    </row>
    <row r="2358" spans="1:14" x14ac:dyDescent="0.3">
      <c r="A2358" s="2" t="s">
        <v>4733</v>
      </c>
      <c r="B2358" s="2" t="s">
        <v>4734</v>
      </c>
      <c r="C2358" s="2" t="s">
        <v>10</v>
      </c>
      <c r="D2358" s="3">
        <v>46014</v>
      </c>
      <c r="E2358" s="3">
        <v>46019</v>
      </c>
      <c r="F2358" s="3">
        <v>46018</v>
      </c>
      <c r="G2358" s="2" t="s">
        <v>18</v>
      </c>
      <c r="H2358" s="2">
        <v>24</v>
      </c>
      <c r="I2358" s="2">
        <v>24</v>
      </c>
      <c r="J2358">
        <f t="shared" si="180"/>
        <v>4</v>
      </c>
      <c r="K2358">
        <f t="shared" si="181"/>
        <v>-1</v>
      </c>
      <c r="L2358" t="str">
        <f t="shared" si="182"/>
        <v>Yes</v>
      </c>
      <c r="M2358" t="str">
        <f t="shared" si="184"/>
        <v>Yes</v>
      </c>
      <c r="N2358" t="str">
        <f t="shared" si="183"/>
        <v>Yes</v>
      </c>
    </row>
    <row r="2359" spans="1:14" x14ac:dyDescent="0.3">
      <c r="A2359" s="4" t="s">
        <v>4735</v>
      </c>
      <c r="B2359" s="4" t="s">
        <v>4736</v>
      </c>
      <c r="C2359" s="4" t="s">
        <v>27</v>
      </c>
      <c r="D2359" s="5">
        <v>46014</v>
      </c>
      <c r="E2359" s="5">
        <v>46020</v>
      </c>
      <c r="F2359" s="5">
        <v>46026</v>
      </c>
      <c r="G2359" s="4" t="s">
        <v>15</v>
      </c>
      <c r="H2359" s="4">
        <v>4</v>
      </c>
      <c r="I2359" s="2">
        <v>4</v>
      </c>
      <c r="J2359">
        <f t="shared" si="180"/>
        <v>12</v>
      </c>
      <c r="K2359">
        <f t="shared" si="181"/>
        <v>6</v>
      </c>
      <c r="L2359" t="str">
        <f t="shared" si="182"/>
        <v>No</v>
      </c>
      <c r="M2359" t="str">
        <f t="shared" si="184"/>
        <v>Yes</v>
      </c>
      <c r="N2359" t="str">
        <f t="shared" si="183"/>
        <v>No</v>
      </c>
    </row>
    <row r="2360" spans="1:14" x14ac:dyDescent="0.3">
      <c r="A2360" s="2" t="s">
        <v>4737</v>
      </c>
      <c r="B2360" s="2" t="s">
        <v>4738</v>
      </c>
      <c r="C2360" s="2" t="s">
        <v>27</v>
      </c>
      <c r="D2360" s="3">
        <v>46014</v>
      </c>
      <c r="E2360" s="3">
        <v>46018</v>
      </c>
      <c r="F2360" s="3">
        <v>46027</v>
      </c>
      <c r="G2360" s="2" t="s">
        <v>18</v>
      </c>
      <c r="H2360" s="2">
        <v>8</v>
      </c>
      <c r="I2360" s="2">
        <v>8</v>
      </c>
      <c r="J2360">
        <f t="shared" si="180"/>
        <v>13</v>
      </c>
      <c r="K2360">
        <f t="shared" si="181"/>
        <v>9</v>
      </c>
      <c r="L2360" t="str">
        <f t="shared" si="182"/>
        <v>No</v>
      </c>
      <c r="M2360" t="str">
        <f t="shared" si="184"/>
        <v>Yes</v>
      </c>
      <c r="N2360" t="str">
        <f t="shared" si="183"/>
        <v>No</v>
      </c>
    </row>
    <row r="2361" spans="1:14" x14ac:dyDescent="0.3">
      <c r="A2361" s="4" t="s">
        <v>4739</v>
      </c>
      <c r="B2361" s="4" t="s">
        <v>4740</v>
      </c>
      <c r="C2361" s="4" t="s">
        <v>34</v>
      </c>
      <c r="D2361" s="5">
        <v>46015</v>
      </c>
      <c r="E2361" s="5">
        <v>46020</v>
      </c>
      <c r="F2361" s="5">
        <v>46022</v>
      </c>
      <c r="G2361" s="4" t="s">
        <v>18</v>
      </c>
      <c r="H2361" s="4">
        <v>47</v>
      </c>
      <c r="I2361" s="2">
        <v>47</v>
      </c>
      <c r="J2361">
        <f t="shared" si="180"/>
        <v>7</v>
      </c>
      <c r="K2361">
        <f t="shared" si="181"/>
        <v>2</v>
      </c>
      <c r="L2361" t="str">
        <f t="shared" si="182"/>
        <v>No</v>
      </c>
      <c r="M2361" t="str">
        <f t="shared" si="184"/>
        <v>Yes</v>
      </c>
      <c r="N2361" t="str">
        <f t="shared" si="183"/>
        <v>No</v>
      </c>
    </row>
    <row r="2362" spans="1:14" x14ac:dyDescent="0.3">
      <c r="A2362" s="2" t="s">
        <v>4741</v>
      </c>
      <c r="B2362" s="2" t="s">
        <v>4742</v>
      </c>
      <c r="C2362" s="2" t="s">
        <v>34</v>
      </c>
      <c r="D2362" s="3">
        <v>46015</v>
      </c>
      <c r="E2362" s="3">
        <v>46018</v>
      </c>
      <c r="F2362" s="3">
        <v>46023</v>
      </c>
      <c r="G2362" s="2" t="s">
        <v>40</v>
      </c>
      <c r="H2362" s="2">
        <v>50</v>
      </c>
      <c r="I2362" s="2">
        <v>53</v>
      </c>
      <c r="J2362">
        <f t="shared" si="180"/>
        <v>8</v>
      </c>
      <c r="K2362">
        <f t="shared" si="181"/>
        <v>5</v>
      </c>
      <c r="L2362" t="str">
        <f t="shared" si="182"/>
        <v>No</v>
      </c>
      <c r="M2362" t="str">
        <f t="shared" si="184"/>
        <v>No</v>
      </c>
      <c r="N2362" t="str">
        <f t="shared" si="183"/>
        <v>No</v>
      </c>
    </row>
    <row r="2363" spans="1:14" x14ac:dyDescent="0.3">
      <c r="A2363" s="4" t="s">
        <v>4743</v>
      </c>
      <c r="B2363" s="4" t="s">
        <v>4744</v>
      </c>
      <c r="C2363" s="4" t="s">
        <v>10</v>
      </c>
      <c r="D2363" s="5">
        <v>46014</v>
      </c>
      <c r="E2363" s="5">
        <v>46017</v>
      </c>
      <c r="F2363" s="5">
        <v>46018</v>
      </c>
      <c r="G2363" s="4" t="s">
        <v>11</v>
      </c>
      <c r="H2363" s="4">
        <v>22</v>
      </c>
      <c r="I2363" s="2">
        <v>29</v>
      </c>
      <c r="J2363">
        <f t="shared" si="180"/>
        <v>4</v>
      </c>
      <c r="K2363">
        <f t="shared" si="181"/>
        <v>1</v>
      </c>
      <c r="L2363" t="str">
        <f t="shared" si="182"/>
        <v>No</v>
      </c>
      <c r="M2363" t="str">
        <f t="shared" si="184"/>
        <v>No</v>
      </c>
      <c r="N2363" t="str">
        <f t="shared" si="183"/>
        <v>No</v>
      </c>
    </row>
    <row r="2364" spans="1:14" x14ac:dyDescent="0.3">
      <c r="A2364" s="2" t="s">
        <v>4745</v>
      </c>
      <c r="B2364" s="2" t="s">
        <v>4746</v>
      </c>
      <c r="C2364" s="2" t="s">
        <v>14</v>
      </c>
      <c r="D2364" s="3">
        <v>46014</v>
      </c>
      <c r="E2364" s="3">
        <v>46020</v>
      </c>
      <c r="F2364" s="3">
        <v>46030</v>
      </c>
      <c r="G2364" s="2" t="s">
        <v>18</v>
      </c>
      <c r="H2364" s="2">
        <v>52</v>
      </c>
      <c r="I2364" s="2">
        <v>52</v>
      </c>
      <c r="J2364">
        <f t="shared" si="180"/>
        <v>16</v>
      </c>
      <c r="K2364">
        <f t="shared" si="181"/>
        <v>10</v>
      </c>
      <c r="L2364" t="str">
        <f t="shared" si="182"/>
        <v>No</v>
      </c>
      <c r="M2364" t="str">
        <f t="shared" si="184"/>
        <v>Yes</v>
      </c>
      <c r="N2364" t="str">
        <f t="shared" si="183"/>
        <v>No</v>
      </c>
    </row>
    <row r="2365" spans="1:14" x14ac:dyDescent="0.3">
      <c r="A2365" s="4" t="s">
        <v>4747</v>
      </c>
      <c r="B2365" s="4" t="s">
        <v>4748</v>
      </c>
      <c r="C2365" s="4" t="s">
        <v>21</v>
      </c>
      <c r="D2365" s="5">
        <v>46013</v>
      </c>
      <c r="E2365" s="5">
        <v>46023</v>
      </c>
      <c r="F2365" s="5">
        <v>46019</v>
      </c>
      <c r="G2365" s="4" t="s">
        <v>11</v>
      </c>
      <c r="H2365" s="4">
        <v>72</v>
      </c>
      <c r="I2365" s="2">
        <v>76</v>
      </c>
      <c r="J2365">
        <f t="shared" si="180"/>
        <v>6</v>
      </c>
      <c r="K2365">
        <f t="shared" si="181"/>
        <v>-4</v>
      </c>
      <c r="L2365" t="str">
        <f t="shared" si="182"/>
        <v>Yes</v>
      </c>
      <c r="M2365" t="str">
        <f t="shared" si="184"/>
        <v>No</v>
      </c>
      <c r="N2365" t="str">
        <f t="shared" si="183"/>
        <v>No</v>
      </c>
    </row>
    <row r="2366" spans="1:14" x14ac:dyDescent="0.3">
      <c r="A2366" s="2" t="s">
        <v>4749</v>
      </c>
      <c r="B2366" s="2" t="s">
        <v>4750</v>
      </c>
      <c r="C2366" s="2" t="s">
        <v>27</v>
      </c>
      <c r="D2366" s="3">
        <v>46013</v>
      </c>
      <c r="E2366" s="3">
        <v>46019</v>
      </c>
      <c r="F2366" s="3">
        <v>46025</v>
      </c>
      <c r="G2366" s="2" t="s">
        <v>40</v>
      </c>
      <c r="H2366" s="2">
        <v>9</v>
      </c>
      <c r="I2366" s="2">
        <v>9</v>
      </c>
      <c r="J2366">
        <f t="shared" si="180"/>
        <v>12</v>
      </c>
      <c r="K2366">
        <f t="shared" si="181"/>
        <v>6</v>
      </c>
      <c r="L2366" t="str">
        <f t="shared" si="182"/>
        <v>No</v>
      </c>
      <c r="M2366" t="str">
        <f t="shared" si="184"/>
        <v>Yes</v>
      </c>
      <c r="N2366" t="str">
        <f t="shared" si="183"/>
        <v>No</v>
      </c>
    </row>
    <row r="2367" spans="1:14" x14ac:dyDescent="0.3">
      <c r="A2367" s="4" t="s">
        <v>4751</v>
      </c>
      <c r="B2367" s="4" t="s">
        <v>4752</v>
      </c>
      <c r="C2367" s="4" t="s">
        <v>10</v>
      </c>
      <c r="D2367" s="5">
        <v>46014</v>
      </c>
      <c r="E2367" s="5">
        <v>46022</v>
      </c>
      <c r="F2367" s="5">
        <v>46020</v>
      </c>
      <c r="G2367" s="4" t="s">
        <v>11</v>
      </c>
      <c r="H2367" s="4">
        <v>19</v>
      </c>
      <c r="I2367" s="2">
        <v>19</v>
      </c>
      <c r="J2367">
        <f t="shared" si="180"/>
        <v>6</v>
      </c>
      <c r="K2367">
        <f t="shared" si="181"/>
        <v>-2</v>
      </c>
      <c r="L2367" t="str">
        <f t="shared" si="182"/>
        <v>Yes</v>
      </c>
      <c r="M2367" t="str">
        <f t="shared" si="184"/>
        <v>Yes</v>
      </c>
      <c r="N2367" t="str">
        <f t="shared" si="183"/>
        <v>Yes</v>
      </c>
    </row>
    <row r="2368" spans="1:14" x14ac:dyDescent="0.3">
      <c r="A2368" s="2" t="s">
        <v>4753</v>
      </c>
      <c r="B2368" s="2" t="s">
        <v>4754</v>
      </c>
      <c r="C2368" s="2" t="s">
        <v>21</v>
      </c>
      <c r="D2368" s="3">
        <v>46015</v>
      </c>
      <c r="E2368" s="3">
        <v>46023</v>
      </c>
      <c r="F2368" s="3">
        <v>46025</v>
      </c>
      <c r="G2368" s="2" t="s">
        <v>22</v>
      </c>
      <c r="H2368" s="2">
        <v>58</v>
      </c>
      <c r="I2368" s="2">
        <v>65</v>
      </c>
      <c r="J2368">
        <f t="shared" si="180"/>
        <v>10</v>
      </c>
      <c r="K2368">
        <f t="shared" si="181"/>
        <v>2</v>
      </c>
      <c r="L2368" t="str">
        <f t="shared" si="182"/>
        <v>No</v>
      </c>
      <c r="M2368" t="str">
        <f t="shared" si="184"/>
        <v>No</v>
      </c>
      <c r="N2368" t="str">
        <f t="shared" si="183"/>
        <v>No</v>
      </c>
    </row>
    <row r="2369" spans="1:14" x14ac:dyDescent="0.3">
      <c r="A2369" s="4" t="s">
        <v>4755</v>
      </c>
      <c r="B2369" s="4" t="s">
        <v>4756</v>
      </c>
      <c r="C2369" s="4" t="s">
        <v>21</v>
      </c>
      <c r="D2369" s="5">
        <v>46016</v>
      </c>
      <c r="E2369" s="5">
        <v>46020</v>
      </c>
      <c r="F2369" s="5">
        <v>46022</v>
      </c>
      <c r="G2369" s="4" t="s">
        <v>40</v>
      </c>
      <c r="H2369" s="4">
        <v>24</v>
      </c>
      <c r="I2369" s="2">
        <v>24</v>
      </c>
      <c r="J2369">
        <f t="shared" si="180"/>
        <v>6</v>
      </c>
      <c r="K2369">
        <f t="shared" si="181"/>
        <v>2</v>
      </c>
      <c r="L2369" t="str">
        <f t="shared" si="182"/>
        <v>No</v>
      </c>
      <c r="M2369" t="str">
        <f t="shared" si="184"/>
        <v>Yes</v>
      </c>
      <c r="N2369" t="str">
        <f t="shared" si="183"/>
        <v>No</v>
      </c>
    </row>
    <row r="2370" spans="1:14" x14ac:dyDescent="0.3">
      <c r="A2370" s="2" t="s">
        <v>4757</v>
      </c>
      <c r="B2370" s="2" t="s">
        <v>4758</v>
      </c>
      <c r="C2370" s="2" t="s">
        <v>27</v>
      </c>
      <c r="D2370" s="3">
        <v>46016</v>
      </c>
      <c r="E2370" s="3">
        <v>46024</v>
      </c>
      <c r="F2370" s="3">
        <v>46030</v>
      </c>
      <c r="G2370" s="2" t="s">
        <v>18</v>
      </c>
      <c r="H2370" s="2">
        <v>6</v>
      </c>
      <c r="I2370" s="2">
        <v>10</v>
      </c>
      <c r="J2370">
        <f t="shared" si="180"/>
        <v>14</v>
      </c>
      <c r="K2370">
        <f t="shared" si="181"/>
        <v>6</v>
      </c>
      <c r="L2370" t="str">
        <f t="shared" si="182"/>
        <v>No</v>
      </c>
      <c r="M2370" t="str">
        <f t="shared" si="184"/>
        <v>No</v>
      </c>
      <c r="N2370" t="str">
        <f t="shared" si="183"/>
        <v>No</v>
      </c>
    </row>
    <row r="2371" spans="1:14" x14ac:dyDescent="0.3">
      <c r="A2371" s="4" t="s">
        <v>4759</v>
      </c>
      <c r="B2371" s="4" t="s">
        <v>4760</v>
      </c>
      <c r="C2371" s="4" t="s">
        <v>27</v>
      </c>
      <c r="D2371" s="5">
        <v>46015</v>
      </c>
      <c r="E2371" s="5">
        <v>46022</v>
      </c>
      <c r="F2371" s="5">
        <v>46029</v>
      </c>
      <c r="G2371" s="4" t="s">
        <v>40</v>
      </c>
      <c r="H2371" s="4">
        <v>11</v>
      </c>
      <c r="I2371" s="2">
        <v>11</v>
      </c>
      <c r="J2371">
        <f t="shared" ref="J2371:J2430" si="185">F2371-D2371</f>
        <v>14</v>
      </c>
      <c r="K2371">
        <f t="shared" ref="K2371:K2430" si="186">F2371-E2371</f>
        <v>7</v>
      </c>
      <c r="L2371" t="str">
        <f t="shared" ref="L2371:L2430" si="187">IF(K2371&lt;=0,"Yes","No")</f>
        <v>No</v>
      </c>
      <c r="M2371" t="str">
        <f t="shared" si="184"/>
        <v>Yes</v>
      </c>
      <c r="N2371" t="str">
        <f t="shared" ref="N2371:N2430" si="188">IF(AND(L2371="Yes",M2371="Yes"),"Yes","No")</f>
        <v>No</v>
      </c>
    </row>
    <row r="2372" spans="1:14" x14ac:dyDescent="0.3">
      <c r="A2372" s="2" t="s">
        <v>4761</v>
      </c>
      <c r="B2372" s="2" t="s">
        <v>4762</v>
      </c>
      <c r="C2372" s="2" t="s">
        <v>37</v>
      </c>
      <c r="D2372" s="3">
        <v>46015</v>
      </c>
      <c r="E2372" s="3">
        <v>46018</v>
      </c>
      <c r="F2372" s="3">
        <v>46032</v>
      </c>
      <c r="G2372" s="2" t="s">
        <v>22</v>
      </c>
      <c r="H2372" s="2">
        <v>49</v>
      </c>
      <c r="I2372" s="2">
        <v>49</v>
      </c>
      <c r="J2372">
        <f t="shared" si="185"/>
        <v>17</v>
      </c>
      <c r="K2372">
        <f t="shared" si="186"/>
        <v>14</v>
      </c>
      <c r="L2372" t="str">
        <f t="shared" si="187"/>
        <v>No</v>
      </c>
      <c r="M2372" t="str">
        <f t="shared" ref="M2372:M2428" si="189">IF(H2372=I2372,"Yes","No")</f>
        <v>Yes</v>
      </c>
      <c r="N2372" t="str">
        <f t="shared" si="188"/>
        <v>No</v>
      </c>
    </row>
    <row r="2373" spans="1:14" x14ac:dyDescent="0.3">
      <c r="A2373" s="4" t="s">
        <v>4763</v>
      </c>
      <c r="B2373" s="4" t="s">
        <v>4764</v>
      </c>
      <c r="C2373" s="4" t="s">
        <v>34</v>
      </c>
      <c r="D2373" s="5">
        <v>46015</v>
      </c>
      <c r="E2373" s="5">
        <v>46018</v>
      </c>
      <c r="F2373" s="5">
        <v>46022</v>
      </c>
      <c r="G2373" s="4" t="s">
        <v>11</v>
      </c>
      <c r="H2373" s="4">
        <v>63</v>
      </c>
      <c r="I2373" s="2">
        <v>63</v>
      </c>
      <c r="J2373">
        <f t="shared" si="185"/>
        <v>7</v>
      </c>
      <c r="K2373">
        <f t="shared" si="186"/>
        <v>4</v>
      </c>
      <c r="L2373" t="str">
        <f t="shared" si="187"/>
        <v>No</v>
      </c>
      <c r="M2373" t="str">
        <f t="shared" si="189"/>
        <v>Yes</v>
      </c>
      <c r="N2373" t="str">
        <f t="shared" si="188"/>
        <v>No</v>
      </c>
    </row>
    <row r="2374" spans="1:14" x14ac:dyDescent="0.3">
      <c r="A2374" s="2" t="s">
        <v>4765</v>
      </c>
      <c r="B2374" s="2" t="s">
        <v>4766</v>
      </c>
      <c r="C2374" s="2" t="s">
        <v>10</v>
      </c>
      <c r="D2374" s="3">
        <v>46017</v>
      </c>
      <c r="E2374" s="3">
        <v>46019</v>
      </c>
      <c r="F2374" s="3">
        <v>46024</v>
      </c>
      <c r="G2374" s="2" t="s">
        <v>40</v>
      </c>
      <c r="H2374" s="2">
        <v>14</v>
      </c>
      <c r="I2374" s="2">
        <v>21</v>
      </c>
      <c r="J2374">
        <f t="shared" si="185"/>
        <v>7</v>
      </c>
      <c r="K2374">
        <f t="shared" si="186"/>
        <v>5</v>
      </c>
      <c r="L2374" t="str">
        <f t="shared" si="187"/>
        <v>No</v>
      </c>
      <c r="M2374" t="str">
        <f t="shared" si="189"/>
        <v>No</v>
      </c>
      <c r="N2374" t="str">
        <f t="shared" si="188"/>
        <v>No</v>
      </c>
    </row>
    <row r="2375" spans="1:14" x14ac:dyDescent="0.3">
      <c r="A2375" s="4" t="s">
        <v>4767</v>
      </c>
      <c r="B2375" s="4" t="s">
        <v>4768</v>
      </c>
      <c r="C2375" s="4" t="s">
        <v>59</v>
      </c>
      <c r="D2375" s="5">
        <v>46016</v>
      </c>
      <c r="E2375" s="5">
        <v>46018</v>
      </c>
      <c r="F2375" s="5">
        <v>46019</v>
      </c>
      <c r="G2375" s="4" t="s">
        <v>40</v>
      </c>
      <c r="H2375" s="4">
        <v>15</v>
      </c>
      <c r="I2375" s="2">
        <v>15</v>
      </c>
      <c r="J2375">
        <f t="shared" si="185"/>
        <v>3</v>
      </c>
      <c r="K2375">
        <f t="shared" si="186"/>
        <v>1</v>
      </c>
      <c r="L2375" t="str">
        <f t="shared" si="187"/>
        <v>No</v>
      </c>
      <c r="M2375" t="str">
        <f t="shared" si="189"/>
        <v>Yes</v>
      </c>
      <c r="N2375" t="str">
        <f t="shared" si="188"/>
        <v>No</v>
      </c>
    </row>
    <row r="2376" spans="1:14" x14ac:dyDescent="0.3">
      <c r="A2376" s="2" t="s">
        <v>4769</v>
      </c>
      <c r="B2376" s="2" t="s">
        <v>4770</v>
      </c>
      <c r="C2376" s="2" t="s">
        <v>21</v>
      </c>
      <c r="D2376" s="3">
        <v>46016</v>
      </c>
      <c r="E2376" s="3">
        <v>46018</v>
      </c>
      <c r="F2376" s="3">
        <v>46023</v>
      </c>
      <c r="G2376" s="2" t="s">
        <v>11</v>
      </c>
      <c r="H2376" s="2">
        <v>30</v>
      </c>
      <c r="I2376" s="2">
        <v>30</v>
      </c>
      <c r="J2376">
        <f t="shared" si="185"/>
        <v>7</v>
      </c>
      <c r="K2376">
        <f t="shared" si="186"/>
        <v>5</v>
      </c>
      <c r="L2376" t="str">
        <f t="shared" si="187"/>
        <v>No</v>
      </c>
      <c r="M2376" t="str">
        <f t="shared" si="189"/>
        <v>Yes</v>
      </c>
      <c r="N2376" t="str">
        <f t="shared" si="188"/>
        <v>No</v>
      </c>
    </row>
    <row r="2377" spans="1:14" x14ac:dyDescent="0.3">
      <c r="A2377" s="4" t="s">
        <v>4771</v>
      </c>
      <c r="B2377" s="4" t="s">
        <v>4772</v>
      </c>
      <c r="C2377" s="4" t="s">
        <v>34</v>
      </c>
      <c r="D2377" s="5">
        <v>46018</v>
      </c>
      <c r="E2377" s="5">
        <v>46025</v>
      </c>
      <c r="F2377" s="5">
        <v>46024</v>
      </c>
      <c r="G2377" s="4" t="s">
        <v>22</v>
      </c>
      <c r="H2377" s="4">
        <v>19</v>
      </c>
      <c r="I2377" s="2">
        <v>19</v>
      </c>
      <c r="J2377">
        <f t="shared" si="185"/>
        <v>6</v>
      </c>
      <c r="K2377">
        <f t="shared" si="186"/>
        <v>-1</v>
      </c>
      <c r="L2377" t="str">
        <f t="shared" si="187"/>
        <v>Yes</v>
      </c>
      <c r="M2377" t="str">
        <f t="shared" si="189"/>
        <v>Yes</v>
      </c>
      <c r="N2377" t="str">
        <f t="shared" si="188"/>
        <v>Yes</v>
      </c>
    </row>
    <row r="2378" spans="1:14" x14ac:dyDescent="0.3">
      <c r="A2378" s="2" t="s">
        <v>4773</v>
      </c>
      <c r="B2378" s="2" t="s">
        <v>4774</v>
      </c>
      <c r="C2378" s="2" t="s">
        <v>34</v>
      </c>
      <c r="D2378" s="3">
        <v>46018</v>
      </c>
      <c r="E2378" s="3">
        <v>46019</v>
      </c>
      <c r="F2378" s="3">
        <v>46026</v>
      </c>
      <c r="G2378" s="2" t="s">
        <v>40</v>
      </c>
      <c r="H2378" s="2">
        <v>39</v>
      </c>
      <c r="I2378" s="2">
        <v>39</v>
      </c>
      <c r="J2378">
        <f t="shared" si="185"/>
        <v>8</v>
      </c>
      <c r="K2378">
        <f t="shared" si="186"/>
        <v>7</v>
      </c>
      <c r="L2378" t="str">
        <f t="shared" si="187"/>
        <v>No</v>
      </c>
      <c r="M2378" t="str">
        <f t="shared" si="189"/>
        <v>Yes</v>
      </c>
      <c r="N2378" t="str">
        <f t="shared" si="188"/>
        <v>No</v>
      </c>
    </row>
    <row r="2379" spans="1:14" x14ac:dyDescent="0.3">
      <c r="A2379" s="4" t="s">
        <v>4775</v>
      </c>
      <c r="B2379" s="4" t="s">
        <v>4776</v>
      </c>
      <c r="C2379" s="4" t="s">
        <v>72</v>
      </c>
      <c r="D2379" s="5">
        <v>46018</v>
      </c>
      <c r="E2379" s="5">
        <v>46020</v>
      </c>
      <c r="F2379" s="5">
        <v>46032</v>
      </c>
      <c r="G2379" s="4" t="s">
        <v>11</v>
      </c>
      <c r="H2379" s="4">
        <v>22</v>
      </c>
      <c r="I2379" s="2">
        <v>22</v>
      </c>
      <c r="J2379">
        <f t="shared" si="185"/>
        <v>14</v>
      </c>
      <c r="K2379">
        <f t="shared" si="186"/>
        <v>12</v>
      </c>
      <c r="L2379" t="str">
        <f t="shared" si="187"/>
        <v>No</v>
      </c>
      <c r="M2379" t="str">
        <f t="shared" si="189"/>
        <v>Yes</v>
      </c>
      <c r="N2379" t="str">
        <f t="shared" si="188"/>
        <v>No</v>
      </c>
    </row>
    <row r="2380" spans="1:14" x14ac:dyDescent="0.3">
      <c r="A2380" s="2" t="s">
        <v>4777</v>
      </c>
      <c r="B2380" s="2" t="s">
        <v>4778</v>
      </c>
      <c r="C2380" s="2" t="s">
        <v>72</v>
      </c>
      <c r="D2380" s="3">
        <v>46018</v>
      </c>
      <c r="E2380" s="3">
        <v>46024</v>
      </c>
      <c r="F2380" s="3">
        <v>46036</v>
      </c>
      <c r="G2380" s="2" t="s">
        <v>40</v>
      </c>
      <c r="H2380" s="2">
        <v>41</v>
      </c>
      <c r="I2380" s="2">
        <v>41</v>
      </c>
      <c r="J2380">
        <f t="shared" si="185"/>
        <v>18</v>
      </c>
      <c r="K2380">
        <f t="shared" si="186"/>
        <v>12</v>
      </c>
      <c r="L2380" t="str">
        <f t="shared" si="187"/>
        <v>No</v>
      </c>
      <c r="M2380" t="str">
        <f t="shared" si="189"/>
        <v>Yes</v>
      </c>
      <c r="N2380" t="str">
        <f t="shared" si="188"/>
        <v>No</v>
      </c>
    </row>
    <row r="2381" spans="1:14" x14ac:dyDescent="0.3">
      <c r="A2381" s="4" t="s">
        <v>4779</v>
      </c>
      <c r="B2381" s="4" t="s">
        <v>4780</v>
      </c>
      <c r="C2381" s="4" t="s">
        <v>72</v>
      </c>
      <c r="D2381" s="5">
        <v>46018</v>
      </c>
      <c r="E2381" s="5">
        <v>46022</v>
      </c>
      <c r="F2381" s="5">
        <v>46032</v>
      </c>
      <c r="G2381" s="4" t="s">
        <v>40</v>
      </c>
      <c r="H2381" s="4">
        <v>20</v>
      </c>
      <c r="I2381" s="2">
        <v>20</v>
      </c>
      <c r="J2381">
        <f t="shared" si="185"/>
        <v>14</v>
      </c>
      <c r="K2381">
        <f t="shared" si="186"/>
        <v>10</v>
      </c>
      <c r="L2381" t="str">
        <f t="shared" si="187"/>
        <v>No</v>
      </c>
      <c r="M2381" t="str">
        <f t="shared" si="189"/>
        <v>Yes</v>
      </c>
      <c r="N2381" t="str">
        <f t="shared" si="188"/>
        <v>No</v>
      </c>
    </row>
    <row r="2382" spans="1:14" x14ac:dyDescent="0.3">
      <c r="A2382" s="2" t="s">
        <v>4781</v>
      </c>
      <c r="B2382" s="2" t="s">
        <v>4782</v>
      </c>
      <c r="C2382" s="2" t="s">
        <v>59</v>
      </c>
      <c r="D2382" s="3">
        <v>46016</v>
      </c>
      <c r="E2382" s="3">
        <v>46020</v>
      </c>
      <c r="F2382" s="3">
        <v>46020</v>
      </c>
      <c r="G2382" s="2" t="s">
        <v>40</v>
      </c>
      <c r="H2382" s="2">
        <v>15</v>
      </c>
      <c r="I2382" s="2">
        <v>15</v>
      </c>
      <c r="J2382">
        <f t="shared" si="185"/>
        <v>4</v>
      </c>
      <c r="K2382">
        <f t="shared" si="186"/>
        <v>0</v>
      </c>
      <c r="L2382" t="str">
        <f t="shared" si="187"/>
        <v>Yes</v>
      </c>
      <c r="M2382" t="str">
        <f t="shared" si="189"/>
        <v>Yes</v>
      </c>
      <c r="N2382" t="str">
        <f t="shared" si="188"/>
        <v>Yes</v>
      </c>
    </row>
    <row r="2383" spans="1:14" x14ac:dyDescent="0.3">
      <c r="A2383" s="4" t="s">
        <v>4783</v>
      </c>
      <c r="B2383" s="4" t="s">
        <v>4784</v>
      </c>
      <c r="C2383" s="4" t="s">
        <v>21</v>
      </c>
      <c r="D2383" s="5">
        <v>46016</v>
      </c>
      <c r="E2383" s="5">
        <v>46025</v>
      </c>
      <c r="F2383" s="5">
        <v>46022</v>
      </c>
      <c r="G2383" s="4" t="s">
        <v>11</v>
      </c>
      <c r="H2383" s="4">
        <v>79</v>
      </c>
      <c r="I2383" s="2">
        <v>79</v>
      </c>
      <c r="J2383">
        <f t="shared" si="185"/>
        <v>6</v>
      </c>
      <c r="K2383">
        <f t="shared" si="186"/>
        <v>-3</v>
      </c>
      <c r="L2383" t="str">
        <f t="shared" si="187"/>
        <v>Yes</v>
      </c>
      <c r="M2383" t="str">
        <f t="shared" si="189"/>
        <v>Yes</v>
      </c>
      <c r="N2383" t="str">
        <f t="shared" si="188"/>
        <v>Yes</v>
      </c>
    </row>
    <row r="2384" spans="1:14" x14ac:dyDescent="0.3">
      <c r="A2384" s="2" t="s">
        <v>4785</v>
      </c>
      <c r="B2384" s="2" t="s">
        <v>4786</v>
      </c>
      <c r="C2384" s="2" t="s">
        <v>21</v>
      </c>
      <c r="D2384" s="3">
        <v>46017</v>
      </c>
      <c r="E2384" s="3">
        <v>46024</v>
      </c>
      <c r="F2384" s="3">
        <v>46027</v>
      </c>
      <c r="G2384" s="2" t="s">
        <v>18</v>
      </c>
      <c r="H2384" s="2">
        <v>53</v>
      </c>
      <c r="I2384" s="2">
        <v>53</v>
      </c>
      <c r="J2384">
        <f t="shared" si="185"/>
        <v>10</v>
      </c>
      <c r="K2384">
        <f t="shared" si="186"/>
        <v>3</v>
      </c>
      <c r="L2384" t="str">
        <f t="shared" si="187"/>
        <v>No</v>
      </c>
      <c r="M2384" t="str">
        <f t="shared" si="189"/>
        <v>Yes</v>
      </c>
      <c r="N2384" t="str">
        <f t="shared" si="188"/>
        <v>No</v>
      </c>
    </row>
    <row r="2385" spans="1:14" x14ac:dyDescent="0.3">
      <c r="A2385" s="4" t="s">
        <v>4787</v>
      </c>
      <c r="B2385" s="4" t="s">
        <v>4788</v>
      </c>
      <c r="C2385" s="4" t="s">
        <v>21</v>
      </c>
      <c r="D2385" s="5">
        <v>46017</v>
      </c>
      <c r="E2385" s="5">
        <v>46020</v>
      </c>
      <c r="F2385" s="5">
        <v>46024</v>
      </c>
      <c r="G2385" s="4" t="s">
        <v>22</v>
      </c>
      <c r="H2385" s="4">
        <v>29</v>
      </c>
      <c r="I2385" s="2">
        <v>29</v>
      </c>
      <c r="J2385">
        <f t="shared" si="185"/>
        <v>7</v>
      </c>
      <c r="K2385">
        <f t="shared" si="186"/>
        <v>4</v>
      </c>
      <c r="L2385" t="str">
        <f t="shared" si="187"/>
        <v>No</v>
      </c>
      <c r="M2385" t="str">
        <f t="shared" si="189"/>
        <v>Yes</v>
      </c>
      <c r="N2385" t="str">
        <f t="shared" si="188"/>
        <v>No</v>
      </c>
    </row>
    <row r="2386" spans="1:14" x14ac:dyDescent="0.3">
      <c r="A2386" s="2" t="s">
        <v>4789</v>
      </c>
      <c r="B2386" s="2" t="s">
        <v>4790</v>
      </c>
      <c r="C2386" s="2" t="s">
        <v>27</v>
      </c>
      <c r="D2386" s="3">
        <v>46017</v>
      </c>
      <c r="E2386" s="3">
        <v>46024</v>
      </c>
      <c r="F2386" s="3">
        <v>46034</v>
      </c>
      <c r="G2386" s="2" t="s">
        <v>40</v>
      </c>
      <c r="H2386" s="2">
        <v>20</v>
      </c>
      <c r="I2386" s="2">
        <v>20</v>
      </c>
      <c r="J2386">
        <f t="shared" si="185"/>
        <v>17</v>
      </c>
      <c r="K2386">
        <f t="shared" si="186"/>
        <v>10</v>
      </c>
      <c r="L2386" t="str">
        <f t="shared" si="187"/>
        <v>No</v>
      </c>
      <c r="M2386" t="str">
        <f t="shared" si="189"/>
        <v>Yes</v>
      </c>
      <c r="N2386" t="str">
        <f t="shared" si="188"/>
        <v>No</v>
      </c>
    </row>
    <row r="2387" spans="1:14" x14ac:dyDescent="0.3">
      <c r="A2387" s="4" t="s">
        <v>4791</v>
      </c>
      <c r="B2387" s="4" t="s">
        <v>4792</v>
      </c>
      <c r="C2387" s="4" t="s">
        <v>27</v>
      </c>
      <c r="D2387" s="5">
        <v>46018</v>
      </c>
      <c r="E2387" s="5">
        <v>46022</v>
      </c>
      <c r="F2387" s="5">
        <v>46031</v>
      </c>
      <c r="G2387" s="4" t="s">
        <v>15</v>
      </c>
      <c r="H2387" s="4">
        <v>8</v>
      </c>
      <c r="I2387" s="2">
        <v>8</v>
      </c>
      <c r="J2387">
        <f t="shared" si="185"/>
        <v>13</v>
      </c>
      <c r="K2387">
        <f t="shared" si="186"/>
        <v>9</v>
      </c>
      <c r="L2387" t="str">
        <f t="shared" si="187"/>
        <v>No</v>
      </c>
      <c r="M2387" t="str">
        <f t="shared" si="189"/>
        <v>Yes</v>
      </c>
      <c r="N2387" t="str">
        <f t="shared" si="188"/>
        <v>No</v>
      </c>
    </row>
    <row r="2388" spans="1:14" x14ac:dyDescent="0.3">
      <c r="A2388" s="2" t="s">
        <v>4793</v>
      </c>
      <c r="B2388" s="2" t="s">
        <v>4794</v>
      </c>
      <c r="C2388" s="2" t="s">
        <v>27</v>
      </c>
      <c r="D2388" s="3">
        <v>46016</v>
      </c>
      <c r="E2388" s="3">
        <v>46020</v>
      </c>
      <c r="F2388" s="3">
        <v>46031</v>
      </c>
      <c r="G2388" s="2" t="s">
        <v>40</v>
      </c>
      <c r="H2388" s="2">
        <v>8</v>
      </c>
      <c r="I2388" s="2">
        <v>8</v>
      </c>
      <c r="J2388">
        <f t="shared" si="185"/>
        <v>15</v>
      </c>
      <c r="K2388">
        <f t="shared" si="186"/>
        <v>11</v>
      </c>
      <c r="L2388" t="str">
        <f t="shared" si="187"/>
        <v>No</v>
      </c>
      <c r="M2388" t="str">
        <f t="shared" si="189"/>
        <v>Yes</v>
      </c>
      <c r="N2388" t="str">
        <f t="shared" si="188"/>
        <v>No</v>
      </c>
    </row>
    <row r="2389" spans="1:14" x14ac:dyDescent="0.3">
      <c r="A2389" s="4" t="s">
        <v>4795</v>
      </c>
      <c r="B2389" s="4" t="s">
        <v>4796</v>
      </c>
      <c r="C2389" s="4" t="s">
        <v>34</v>
      </c>
      <c r="D2389" s="5">
        <v>46018</v>
      </c>
      <c r="E2389" s="5">
        <v>46023</v>
      </c>
      <c r="F2389" s="5">
        <v>46025</v>
      </c>
      <c r="G2389" s="4" t="s">
        <v>18</v>
      </c>
      <c r="H2389" s="4">
        <v>24</v>
      </c>
      <c r="I2389" s="2">
        <v>28</v>
      </c>
      <c r="J2389">
        <f t="shared" si="185"/>
        <v>7</v>
      </c>
      <c r="K2389">
        <f t="shared" si="186"/>
        <v>2</v>
      </c>
      <c r="L2389" t="str">
        <f t="shared" si="187"/>
        <v>No</v>
      </c>
      <c r="M2389" t="str">
        <f t="shared" si="189"/>
        <v>No</v>
      </c>
      <c r="N2389" t="str">
        <f t="shared" si="188"/>
        <v>No</v>
      </c>
    </row>
    <row r="2390" spans="1:14" x14ac:dyDescent="0.3">
      <c r="A2390" s="2" t="s">
        <v>4797</v>
      </c>
      <c r="B2390" s="2" t="s">
        <v>4798</v>
      </c>
      <c r="C2390" s="2" t="s">
        <v>21</v>
      </c>
      <c r="D2390" s="3">
        <v>46018</v>
      </c>
      <c r="E2390" s="3">
        <v>46026</v>
      </c>
      <c r="F2390" s="3">
        <v>46024</v>
      </c>
      <c r="G2390" s="2" t="s">
        <v>40</v>
      </c>
      <c r="H2390" s="2">
        <v>20</v>
      </c>
      <c r="I2390" s="2">
        <v>27</v>
      </c>
      <c r="J2390">
        <f t="shared" si="185"/>
        <v>6</v>
      </c>
      <c r="K2390">
        <f t="shared" si="186"/>
        <v>-2</v>
      </c>
      <c r="L2390" t="str">
        <f t="shared" si="187"/>
        <v>Yes</v>
      </c>
      <c r="M2390" t="str">
        <f t="shared" si="189"/>
        <v>No</v>
      </c>
      <c r="N2390" t="str">
        <f t="shared" si="188"/>
        <v>No</v>
      </c>
    </row>
    <row r="2391" spans="1:14" x14ac:dyDescent="0.3">
      <c r="A2391" s="4" t="s">
        <v>4799</v>
      </c>
      <c r="B2391" s="4" t="s">
        <v>4800</v>
      </c>
      <c r="C2391" s="4" t="s">
        <v>21</v>
      </c>
      <c r="D2391" s="5">
        <v>46019</v>
      </c>
      <c r="E2391" s="5">
        <v>46026</v>
      </c>
      <c r="F2391" s="5">
        <v>46025</v>
      </c>
      <c r="G2391" s="4" t="s">
        <v>18</v>
      </c>
      <c r="H2391" s="4">
        <v>50</v>
      </c>
      <c r="I2391" s="2">
        <v>58</v>
      </c>
      <c r="J2391">
        <f t="shared" si="185"/>
        <v>6</v>
      </c>
      <c r="K2391">
        <f t="shared" si="186"/>
        <v>-1</v>
      </c>
      <c r="L2391" t="str">
        <f t="shared" si="187"/>
        <v>Yes</v>
      </c>
      <c r="M2391" t="str">
        <f t="shared" si="189"/>
        <v>No</v>
      </c>
      <c r="N2391" t="str">
        <f t="shared" si="188"/>
        <v>No</v>
      </c>
    </row>
    <row r="2392" spans="1:14" x14ac:dyDescent="0.3">
      <c r="A2392" s="2" t="s">
        <v>4801</v>
      </c>
      <c r="B2392" s="2" t="s">
        <v>4802</v>
      </c>
      <c r="C2392" s="2" t="s">
        <v>27</v>
      </c>
      <c r="D2392" s="3">
        <v>46019</v>
      </c>
      <c r="E2392" s="3">
        <v>46021</v>
      </c>
      <c r="F2392" s="3">
        <v>46034</v>
      </c>
      <c r="G2392" s="2" t="s">
        <v>18</v>
      </c>
      <c r="H2392" s="2">
        <v>32</v>
      </c>
      <c r="I2392" s="2">
        <v>32</v>
      </c>
      <c r="J2392">
        <f t="shared" si="185"/>
        <v>15</v>
      </c>
      <c r="K2392">
        <f t="shared" si="186"/>
        <v>13</v>
      </c>
      <c r="L2392" t="str">
        <f t="shared" si="187"/>
        <v>No</v>
      </c>
      <c r="M2392" t="str">
        <f t="shared" si="189"/>
        <v>Yes</v>
      </c>
      <c r="N2392" t="str">
        <f t="shared" si="188"/>
        <v>No</v>
      </c>
    </row>
    <row r="2393" spans="1:14" x14ac:dyDescent="0.3">
      <c r="A2393" s="4" t="s">
        <v>4803</v>
      </c>
      <c r="B2393" s="4" t="s">
        <v>4804</v>
      </c>
      <c r="C2393" s="4" t="s">
        <v>27</v>
      </c>
      <c r="D2393" s="5">
        <v>46019</v>
      </c>
      <c r="E2393" s="5">
        <v>46027</v>
      </c>
      <c r="F2393" s="5">
        <v>46033</v>
      </c>
      <c r="G2393" s="4" t="s">
        <v>11</v>
      </c>
      <c r="H2393" s="4">
        <v>13</v>
      </c>
      <c r="I2393" s="2">
        <v>13</v>
      </c>
      <c r="J2393">
        <f t="shared" si="185"/>
        <v>14</v>
      </c>
      <c r="K2393">
        <f t="shared" si="186"/>
        <v>6</v>
      </c>
      <c r="L2393" t="str">
        <f t="shared" si="187"/>
        <v>No</v>
      </c>
      <c r="M2393" t="str">
        <f t="shared" si="189"/>
        <v>Yes</v>
      </c>
      <c r="N2393" t="str">
        <f t="shared" si="188"/>
        <v>No</v>
      </c>
    </row>
    <row r="2394" spans="1:14" x14ac:dyDescent="0.3">
      <c r="A2394" s="2" t="s">
        <v>4805</v>
      </c>
      <c r="B2394" s="2" t="s">
        <v>4806</v>
      </c>
      <c r="C2394" s="2" t="s">
        <v>27</v>
      </c>
      <c r="D2394" s="3">
        <v>46019</v>
      </c>
      <c r="E2394" s="3">
        <v>46022</v>
      </c>
      <c r="F2394" s="3">
        <v>46033</v>
      </c>
      <c r="G2394" s="2" t="s">
        <v>11</v>
      </c>
      <c r="H2394" s="2">
        <v>12</v>
      </c>
      <c r="I2394" s="2">
        <v>12</v>
      </c>
      <c r="J2394">
        <f t="shared" si="185"/>
        <v>14</v>
      </c>
      <c r="K2394">
        <f t="shared" si="186"/>
        <v>11</v>
      </c>
      <c r="L2394" t="str">
        <f t="shared" si="187"/>
        <v>No</v>
      </c>
      <c r="M2394" t="str">
        <f t="shared" si="189"/>
        <v>Yes</v>
      </c>
      <c r="N2394" t="str">
        <f t="shared" si="188"/>
        <v>No</v>
      </c>
    </row>
    <row r="2395" spans="1:14" x14ac:dyDescent="0.3">
      <c r="A2395" s="4" t="s">
        <v>4807</v>
      </c>
      <c r="B2395" s="4" t="s">
        <v>4808</v>
      </c>
      <c r="C2395" s="4" t="s">
        <v>10</v>
      </c>
      <c r="D2395" s="5">
        <v>46020</v>
      </c>
      <c r="E2395" s="5">
        <v>46021</v>
      </c>
      <c r="F2395" s="5">
        <v>46027</v>
      </c>
      <c r="G2395" s="4" t="s">
        <v>40</v>
      </c>
      <c r="H2395" s="4">
        <v>21</v>
      </c>
      <c r="I2395" s="2">
        <v>21</v>
      </c>
      <c r="J2395">
        <f t="shared" si="185"/>
        <v>7</v>
      </c>
      <c r="K2395">
        <f t="shared" si="186"/>
        <v>6</v>
      </c>
      <c r="L2395" t="str">
        <f t="shared" si="187"/>
        <v>No</v>
      </c>
      <c r="M2395" t="str">
        <f t="shared" si="189"/>
        <v>Yes</v>
      </c>
      <c r="N2395" t="str">
        <f t="shared" si="188"/>
        <v>No</v>
      </c>
    </row>
    <row r="2396" spans="1:14" x14ac:dyDescent="0.3">
      <c r="A2396" s="2" t="s">
        <v>4809</v>
      </c>
      <c r="B2396" s="2" t="s">
        <v>4810</v>
      </c>
      <c r="C2396" s="2" t="s">
        <v>59</v>
      </c>
      <c r="D2396" s="3">
        <v>46019</v>
      </c>
      <c r="E2396" s="3">
        <v>46021</v>
      </c>
      <c r="F2396" s="3">
        <v>46023</v>
      </c>
      <c r="G2396" s="2" t="s">
        <v>40</v>
      </c>
      <c r="H2396" s="2">
        <v>59</v>
      </c>
      <c r="I2396" s="2">
        <v>59</v>
      </c>
      <c r="J2396">
        <f t="shared" si="185"/>
        <v>4</v>
      </c>
      <c r="K2396">
        <f t="shared" si="186"/>
        <v>2</v>
      </c>
      <c r="L2396" t="str">
        <f t="shared" si="187"/>
        <v>No</v>
      </c>
      <c r="M2396" t="str">
        <f t="shared" si="189"/>
        <v>Yes</v>
      </c>
      <c r="N2396" t="str">
        <f t="shared" si="188"/>
        <v>No</v>
      </c>
    </row>
    <row r="2397" spans="1:14" x14ac:dyDescent="0.3">
      <c r="A2397" s="4" t="s">
        <v>4811</v>
      </c>
      <c r="B2397" s="4" t="s">
        <v>4812</v>
      </c>
      <c r="C2397" s="4" t="s">
        <v>21</v>
      </c>
      <c r="D2397" s="5">
        <v>46020</v>
      </c>
      <c r="E2397" s="5">
        <v>46022</v>
      </c>
      <c r="F2397" s="5">
        <v>46030</v>
      </c>
      <c r="G2397" s="4" t="s">
        <v>15</v>
      </c>
      <c r="H2397" s="4">
        <v>89</v>
      </c>
      <c r="I2397" s="2">
        <v>89</v>
      </c>
      <c r="J2397">
        <f t="shared" si="185"/>
        <v>10</v>
      </c>
      <c r="K2397">
        <f t="shared" si="186"/>
        <v>8</v>
      </c>
      <c r="L2397" t="str">
        <f t="shared" si="187"/>
        <v>No</v>
      </c>
      <c r="M2397" t="str">
        <f t="shared" si="189"/>
        <v>Yes</v>
      </c>
      <c r="N2397" t="str">
        <f t="shared" si="188"/>
        <v>No</v>
      </c>
    </row>
    <row r="2398" spans="1:14" x14ac:dyDescent="0.3">
      <c r="A2398" s="2" t="s">
        <v>4813</v>
      </c>
      <c r="B2398" s="2" t="s">
        <v>4814</v>
      </c>
      <c r="C2398" s="2" t="s">
        <v>21</v>
      </c>
      <c r="D2398" s="3">
        <v>46020</v>
      </c>
      <c r="E2398" s="3">
        <v>46022</v>
      </c>
      <c r="F2398" s="3">
        <v>46025</v>
      </c>
      <c r="G2398" s="2" t="s">
        <v>40</v>
      </c>
      <c r="H2398" s="2">
        <v>38</v>
      </c>
      <c r="I2398" s="2">
        <v>42</v>
      </c>
      <c r="J2398">
        <f t="shared" si="185"/>
        <v>5</v>
      </c>
      <c r="K2398">
        <f t="shared" si="186"/>
        <v>3</v>
      </c>
      <c r="L2398" t="str">
        <f t="shared" si="187"/>
        <v>No</v>
      </c>
      <c r="M2398" t="str">
        <f t="shared" si="189"/>
        <v>No</v>
      </c>
      <c r="N2398" t="str">
        <f t="shared" si="188"/>
        <v>No</v>
      </c>
    </row>
    <row r="2399" spans="1:14" x14ac:dyDescent="0.3">
      <c r="A2399" s="4" t="s">
        <v>4815</v>
      </c>
      <c r="B2399" s="4" t="s">
        <v>4816</v>
      </c>
      <c r="C2399" s="4" t="s">
        <v>27</v>
      </c>
      <c r="D2399" s="5">
        <v>46018</v>
      </c>
      <c r="E2399" s="5">
        <v>46025</v>
      </c>
      <c r="F2399" s="5">
        <v>46031</v>
      </c>
      <c r="G2399" s="4" t="s">
        <v>15</v>
      </c>
      <c r="H2399" s="4">
        <v>11</v>
      </c>
      <c r="I2399" s="2">
        <v>11</v>
      </c>
      <c r="J2399">
        <f t="shared" si="185"/>
        <v>13</v>
      </c>
      <c r="K2399">
        <f t="shared" si="186"/>
        <v>6</v>
      </c>
      <c r="L2399" t="str">
        <f t="shared" si="187"/>
        <v>No</v>
      </c>
      <c r="M2399" t="str">
        <f t="shared" si="189"/>
        <v>Yes</v>
      </c>
      <c r="N2399" t="str">
        <f t="shared" si="188"/>
        <v>No</v>
      </c>
    </row>
    <row r="2400" spans="1:14" x14ac:dyDescent="0.3">
      <c r="A2400" s="2" t="s">
        <v>4817</v>
      </c>
      <c r="B2400" s="2" t="s">
        <v>4818</v>
      </c>
      <c r="C2400" s="2" t="s">
        <v>37</v>
      </c>
      <c r="D2400" s="3">
        <v>46019</v>
      </c>
      <c r="E2400" s="3">
        <v>46025</v>
      </c>
      <c r="F2400" s="3">
        <v>46032</v>
      </c>
      <c r="G2400" s="2" t="s">
        <v>11</v>
      </c>
      <c r="H2400" s="2">
        <v>34</v>
      </c>
      <c r="I2400" s="2">
        <v>34</v>
      </c>
      <c r="J2400">
        <f t="shared" si="185"/>
        <v>13</v>
      </c>
      <c r="K2400">
        <f t="shared" si="186"/>
        <v>7</v>
      </c>
      <c r="L2400" t="str">
        <f t="shared" si="187"/>
        <v>No</v>
      </c>
      <c r="M2400" t="str">
        <f t="shared" si="189"/>
        <v>Yes</v>
      </c>
      <c r="N2400" t="str">
        <f t="shared" si="188"/>
        <v>No</v>
      </c>
    </row>
    <row r="2401" spans="1:14" x14ac:dyDescent="0.3">
      <c r="A2401" s="4" t="s">
        <v>4819</v>
      </c>
      <c r="B2401" s="4" t="s">
        <v>4820</v>
      </c>
      <c r="C2401" s="4" t="s">
        <v>37</v>
      </c>
      <c r="D2401" s="5">
        <v>46021</v>
      </c>
      <c r="E2401" s="5">
        <v>46026</v>
      </c>
      <c r="F2401" s="5">
        <v>46034</v>
      </c>
      <c r="G2401" s="4" t="s">
        <v>40</v>
      </c>
      <c r="H2401" s="4">
        <v>50</v>
      </c>
      <c r="I2401" s="2">
        <v>50</v>
      </c>
      <c r="J2401">
        <f t="shared" si="185"/>
        <v>13</v>
      </c>
      <c r="K2401">
        <f t="shared" si="186"/>
        <v>8</v>
      </c>
      <c r="L2401" t="str">
        <f t="shared" si="187"/>
        <v>No</v>
      </c>
      <c r="M2401" t="str">
        <f t="shared" si="189"/>
        <v>Yes</v>
      </c>
      <c r="N2401" t="str">
        <f t="shared" si="188"/>
        <v>No</v>
      </c>
    </row>
    <row r="2402" spans="1:14" x14ac:dyDescent="0.3">
      <c r="A2402" s="2" t="s">
        <v>4821</v>
      </c>
      <c r="B2402" s="2" t="s">
        <v>4822</v>
      </c>
      <c r="C2402" s="2" t="s">
        <v>10</v>
      </c>
      <c r="D2402" s="3">
        <v>46021</v>
      </c>
      <c r="E2402" s="3">
        <v>46029</v>
      </c>
      <c r="F2402" s="3">
        <v>46030</v>
      </c>
      <c r="G2402" s="2" t="s">
        <v>22</v>
      </c>
      <c r="H2402" s="2">
        <v>37</v>
      </c>
      <c r="I2402" s="2">
        <v>37</v>
      </c>
      <c r="J2402">
        <f t="shared" si="185"/>
        <v>9</v>
      </c>
      <c r="K2402">
        <f t="shared" si="186"/>
        <v>1</v>
      </c>
      <c r="L2402" t="str">
        <f t="shared" si="187"/>
        <v>No</v>
      </c>
      <c r="M2402" t="str">
        <f t="shared" si="189"/>
        <v>Yes</v>
      </c>
      <c r="N2402" t="str">
        <f t="shared" si="188"/>
        <v>No</v>
      </c>
    </row>
    <row r="2403" spans="1:14" x14ac:dyDescent="0.3">
      <c r="A2403" s="4" t="s">
        <v>4823</v>
      </c>
      <c r="B2403" s="4" t="s">
        <v>4824</v>
      </c>
      <c r="C2403" s="4" t="s">
        <v>10</v>
      </c>
      <c r="D2403" s="5">
        <v>46019</v>
      </c>
      <c r="E2403" s="5">
        <v>46023</v>
      </c>
      <c r="F2403" s="5">
        <v>46024</v>
      </c>
      <c r="G2403" s="4" t="s">
        <v>40</v>
      </c>
      <c r="H2403" s="4">
        <v>16</v>
      </c>
      <c r="I2403" s="2">
        <v>16</v>
      </c>
      <c r="J2403">
        <f t="shared" si="185"/>
        <v>5</v>
      </c>
      <c r="K2403">
        <f t="shared" si="186"/>
        <v>1</v>
      </c>
      <c r="L2403" t="str">
        <f t="shared" si="187"/>
        <v>No</v>
      </c>
      <c r="M2403" t="str">
        <f t="shared" si="189"/>
        <v>Yes</v>
      </c>
      <c r="N2403" t="str">
        <f t="shared" si="188"/>
        <v>No</v>
      </c>
    </row>
    <row r="2404" spans="1:14" x14ac:dyDescent="0.3">
      <c r="A2404" s="2" t="s">
        <v>4825</v>
      </c>
      <c r="B2404" s="2" t="s">
        <v>4826</v>
      </c>
      <c r="C2404" s="2" t="s">
        <v>59</v>
      </c>
      <c r="D2404" s="3">
        <v>46021</v>
      </c>
      <c r="E2404" s="3">
        <v>46029</v>
      </c>
      <c r="F2404" s="3">
        <v>46025</v>
      </c>
      <c r="G2404" s="2" t="s">
        <v>11</v>
      </c>
      <c r="H2404" s="2">
        <v>21</v>
      </c>
      <c r="I2404" s="2">
        <v>21</v>
      </c>
      <c r="J2404">
        <f t="shared" si="185"/>
        <v>4</v>
      </c>
      <c r="K2404">
        <f t="shared" si="186"/>
        <v>-4</v>
      </c>
      <c r="L2404" t="str">
        <f t="shared" si="187"/>
        <v>Yes</v>
      </c>
      <c r="M2404" t="str">
        <f t="shared" si="189"/>
        <v>Yes</v>
      </c>
      <c r="N2404" t="str">
        <f t="shared" si="188"/>
        <v>Yes</v>
      </c>
    </row>
    <row r="2405" spans="1:14" x14ac:dyDescent="0.3">
      <c r="A2405" s="4" t="s">
        <v>4827</v>
      </c>
      <c r="B2405" s="4" t="s">
        <v>4828</v>
      </c>
      <c r="C2405" s="4" t="s">
        <v>59</v>
      </c>
      <c r="D2405" s="5">
        <v>46019</v>
      </c>
      <c r="E2405" s="5">
        <v>46025</v>
      </c>
      <c r="F2405" s="5">
        <v>46024</v>
      </c>
      <c r="G2405" s="4" t="s">
        <v>11</v>
      </c>
      <c r="H2405" s="4">
        <v>32</v>
      </c>
      <c r="I2405" s="2">
        <v>37</v>
      </c>
      <c r="J2405">
        <f t="shared" si="185"/>
        <v>5</v>
      </c>
      <c r="K2405">
        <f t="shared" si="186"/>
        <v>-1</v>
      </c>
      <c r="L2405" t="str">
        <f t="shared" si="187"/>
        <v>Yes</v>
      </c>
      <c r="M2405" t="str">
        <f t="shared" si="189"/>
        <v>No</v>
      </c>
      <c r="N2405" t="str">
        <f t="shared" si="188"/>
        <v>No</v>
      </c>
    </row>
    <row r="2406" spans="1:14" x14ac:dyDescent="0.3">
      <c r="A2406" s="2" t="s">
        <v>4829</v>
      </c>
      <c r="B2406" s="2" t="s">
        <v>4830</v>
      </c>
      <c r="C2406" s="2" t="s">
        <v>21</v>
      </c>
      <c r="D2406" s="3">
        <v>46019</v>
      </c>
      <c r="E2406" s="3">
        <v>46024</v>
      </c>
      <c r="F2406" s="3">
        <v>46025</v>
      </c>
      <c r="G2406" s="2" t="s">
        <v>18</v>
      </c>
      <c r="H2406" s="2">
        <v>31</v>
      </c>
      <c r="I2406" s="2">
        <v>31</v>
      </c>
      <c r="J2406">
        <f t="shared" si="185"/>
        <v>6</v>
      </c>
      <c r="K2406">
        <f t="shared" si="186"/>
        <v>1</v>
      </c>
      <c r="L2406" t="str">
        <f t="shared" si="187"/>
        <v>No</v>
      </c>
      <c r="M2406" t="str">
        <f t="shared" si="189"/>
        <v>Yes</v>
      </c>
      <c r="N2406" t="str">
        <f t="shared" si="188"/>
        <v>No</v>
      </c>
    </row>
    <row r="2407" spans="1:14" x14ac:dyDescent="0.3">
      <c r="A2407" s="4" t="s">
        <v>4831</v>
      </c>
      <c r="B2407" s="4" t="s">
        <v>4832</v>
      </c>
      <c r="C2407" s="4" t="s">
        <v>21</v>
      </c>
      <c r="D2407" s="5">
        <v>46019</v>
      </c>
      <c r="E2407" s="5">
        <v>46024</v>
      </c>
      <c r="F2407" s="5">
        <v>46027</v>
      </c>
      <c r="G2407" s="4" t="s">
        <v>22</v>
      </c>
      <c r="H2407" s="4">
        <v>34</v>
      </c>
      <c r="I2407" s="2">
        <v>34</v>
      </c>
      <c r="J2407">
        <f t="shared" si="185"/>
        <v>8</v>
      </c>
      <c r="K2407">
        <f t="shared" si="186"/>
        <v>3</v>
      </c>
      <c r="L2407" t="str">
        <f t="shared" si="187"/>
        <v>No</v>
      </c>
      <c r="M2407" t="str">
        <f t="shared" si="189"/>
        <v>Yes</v>
      </c>
      <c r="N2407" t="str">
        <f t="shared" si="188"/>
        <v>No</v>
      </c>
    </row>
    <row r="2408" spans="1:14" x14ac:dyDescent="0.3">
      <c r="A2408" s="2" t="s">
        <v>4833</v>
      </c>
      <c r="B2408" s="2" t="s">
        <v>4834</v>
      </c>
      <c r="C2408" s="2" t="s">
        <v>27</v>
      </c>
      <c r="D2408" s="3">
        <v>46021</v>
      </c>
      <c r="E2408" s="3">
        <v>46024</v>
      </c>
      <c r="F2408" s="3">
        <v>46034</v>
      </c>
      <c r="G2408" s="2" t="s">
        <v>11</v>
      </c>
      <c r="H2408" s="2">
        <v>11</v>
      </c>
      <c r="I2408" s="2">
        <v>11</v>
      </c>
      <c r="J2408">
        <f t="shared" si="185"/>
        <v>13</v>
      </c>
      <c r="K2408">
        <f t="shared" si="186"/>
        <v>10</v>
      </c>
      <c r="L2408" t="str">
        <f t="shared" si="187"/>
        <v>No</v>
      </c>
      <c r="M2408" t="str">
        <f t="shared" si="189"/>
        <v>Yes</v>
      </c>
      <c r="N2408" t="str">
        <f t="shared" si="188"/>
        <v>No</v>
      </c>
    </row>
    <row r="2409" spans="1:14" x14ac:dyDescent="0.3">
      <c r="A2409" s="4" t="s">
        <v>4835</v>
      </c>
      <c r="B2409" s="4" t="s">
        <v>4836</v>
      </c>
      <c r="C2409" s="4" t="s">
        <v>37</v>
      </c>
      <c r="D2409" s="5">
        <v>46022</v>
      </c>
      <c r="E2409" s="5">
        <v>46027</v>
      </c>
      <c r="F2409" s="5">
        <v>46036</v>
      </c>
      <c r="G2409" s="4" t="s">
        <v>15</v>
      </c>
      <c r="H2409" s="4">
        <v>42</v>
      </c>
      <c r="I2409" s="2">
        <v>42</v>
      </c>
      <c r="J2409">
        <f t="shared" si="185"/>
        <v>14</v>
      </c>
      <c r="K2409">
        <f t="shared" si="186"/>
        <v>9</v>
      </c>
      <c r="L2409" t="str">
        <f t="shared" si="187"/>
        <v>No</v>
      </c>
      <c r="M2409" t="str">
        <f t="shared" si="189"/>
        <v>Yes</v>
      </c>
      <c r="N2409" t="str">
        <f t="shared" si="188"/>
        <v>No</v>
      </c>
    </row>
    <row r="2410" spans="1:14" x14ac:dyDescent="0.3">
      <c r="A2410" s="2" t="s">
        <v>4837</v>
      </c>
      <c r="B2410" s="2" t="s">
        <v>4838</v>
      </c>
      <c r="C2410" s="2" t="s">
        <v>72</v>
      </c>
      <c r="D2410" s="3">
        <v>46022</v>
      </c>
      <c r="E2410" s="3">
        <v>46026</v>
      </c>
      <c r="F2410" s="3">
        <v>46035</v>
      </c>
      <c r="G2410" s="2" t="s">
        <v>22</v>
      </c>
      <c r="H2410" s="2">
        <v>1</v>
      </c>
      <c r="I2410" s="2">
        <v>6</v>
      </c>
      <c r="J2410">
        <f t="shared" si="185"/>
        <v>13</v>
      </c>
      <c r="K2410">
        <f t="shared" si="186"/>
        <v>9</v>
      </c>
      <c r="L2410" t="str">
        <f t="shared" si="187"/>
        <v>No</v>
      </c>
      <c r="M2410" t="str">
        <f t="shared" si="189"/>
        <v>No</v>
      </c>
      <c r="N2410" t="str">
        <f t="shared" si="188"/>
        <v>No</v>
      </c>
    </row>
    <row r="2411" spans="1:14" x14ac:dyDescent="0.3">
      <c r="A2411" s="4" t="s">
        <v>4839</v>
      </c>
      <c r="B2411" s="4" t="s">
        <v>4840</v>
      </c>
      <c r="C2411" s="4" t="s">
        <v>21</v>
      </c>
      <c r="D2411" s="5">
        <v>46021</v>
      </c>
      <c r="E2411" s="5">
        <v>46030</v>
      </c>
      <c r="F2411" s="5">
        <v>46027</v>
      </c>
      <c r="G2411" s="4" t="s">
        <v>22</v>
      </c>
      <c r="H2411" s="4">
        <v>18</v>
      </c>
      <c r="I2411" s="2">
        <v>23</v>
      </c>
      <c r="J2411">
        <f t="shared" si="185"/>
        <v>6</v>
      </c>
      <c r="K2411">
        <f t="shared" si="186"/>
        <v>-3</v>
      </c>
      <c r="L2411" t="str">
        <f t="shared" si="187"/>
        <v>Yes</v>
      </c>
      <c r="M2411" t="str">
        <f t="shared" si="189"/>
        <v>No</v>
      </c>
      <c r="N2411" t="str">
        <f t="shared" si="188"/>
        <v>No</v>
      </c>
    </row>
    <row r="2412" spans="1:14" x14ac:dyDescent="0.3">
      <c r="A2412" s="2" t="s">
        <v>4841</v>
      </c>
      <c r="B2412" s="2" t="s">
        <v>4842</v>
      </c>
      <c r="C2412" s="2" t="s">
        <v>27</v>
      </c>
      <c r="D2412" s="3">
        <v>46021</v>
      </c>
      <c r="E2412" s="3">
        <v>46029</v>
      </c>
      <c r="F2412" s="3">
        <v>46034</v>
      </c>
      <c r="G2412" s="2" t="s">
        <v>18</v>
      </c>
      <c r="H2412" s="2">
        <v>51</v>
      </c>
      <c r="I2412" s="2">
        <v>51</v>
      </c>
      <c r="J2412">
        <f t="shared" si="185"/>
        <v>13</v>
      </c>
      <c r="K2412">
        <f t="shared" si="186"/>
        <v>5</v>
      </c>
      <c r="L2412" t="str">
        <f t="shared" si="187"/>
        <v>No</v>
      </c>
      <c r="M2412" t="str">
        <f t="shared" si="189"/>
        <v>Yes</v>
      </c>
      <c r="N2412" t="str">
        <f t="shared" si="188"/>
        <v>No</v>
      </c>
    </row>
    <row r="2413" spans="1:14" x14ac:dyDescent="0.3">
      <c r="A2413" s="4" t="s">
        <v>4843</v>
      </c>
      <c r="B2413" s="4" t="s">
        <v>4844</v>
      </c>
      <c r="C2413" s="4" t="s">
        <v>27</v>
      </c>
      <c r="D2413" s="5">
        <v>46020</v>
      </c>
      <c r="E2413" s="5">
        <v>46026</v>
      </c>
      <c r="F2413" s="5">
        <v>46033</v>
      </c>
      <c r="G2413" s="4" t="s">
        <v>40</v>
      </c>
      <c r="H2413" s="4">
        <v>3</v>
      </c>
      <c r="I2413" s="2">
        <v>8</v>
      </c>
      <c r="J2413">
        <f t="shared" si="185"/>
        <v>13</v>
      </c>
      <c r="K2413">
        <f t="shared" si="186"/>
        <v>7</v>
      </c>
      <c r="L2413" t="str">
        <f t="shared" si="187"/>
        <v>No</v>
      </c>
      <c r="M2413" t="str">
        <f t="shared" si="189"/>
        <v>No</v>
      </c>
      <c r="N2413" t="str">
        <f t="shared" si="188"/>
        <v>No</v>
      </c>
    </row>
    <row r="2414" spans="1:14" x14ac:dyDescent="0.3">
      <c r="A2414" s="2" t="s">
        <v>4845</v>
      </c>
      <c r="B2414" s="2" t="s">
        <v>4846</v>
      </c>
      <c r="C2414" s="2" t="s">
        <v>34</v>
      </c>
      <c r="D2414" s="3">
        <v>46022</v>
      </c>
      <c r="E2414" s="3">
        <v>46027</v>
      </c>
      <c r="F2414" s="3">
        <v>46028</v>
      </c>
      <c r="G2414" s="2" t="s">
        <v>18</v>
      </c>
      <c r="H2414" s="2">
        <v>19</v>
      </c>
      <c r="I2414" s="2">
        <v>19</v>
      </c>
      <c r="J2414">
        <f t="shared" si="185"/>
        <v>6</v>
      </c>
      <c r="K2414">
        <f t="shared" si="186"/>
        <v>1</v>
      </c>
      <c r="L2414" t="str">
        <f t="shared" si="187"/>
        <v>No</v>
      </c>
      <c r="M2414" t="str">
        <f t="shared" si="189"/>
        <v>Yes</v>
      </c>
      <c r="N2414" t="str">
        <f t="shared" si="188"/>
        <v>No</v>
      </c>
    </row>
    <row r="2415" spans="1:14" x14ac:dyDescent="0.3">
      <c r="A2415" s="4" t="s">
        <v>4847</v>
      </c>
      <c r="B2415" s="4" t="s">
        <v>4848</v>
      </c>
      <c r="C2415" s="4" t="s">
        <v>10</v>
      </c>
      <c r="D2415" s="5">
        <v>46023</v>
      </c>
      <c r="E2415" s="5">
        <v>46030</v>
      </c>
      <c r="F2415" s="5">
        <v>46032</v>
      </c>
      <c r="G2415" s="4" t="s">
        <v>22</v>
      </c>
      <c r="H2415" s="4">
        <v>11</v>
      </c>
      <c r="I2415" s="2">
        <v>13</v>
      </c>
      <c r="J2415">
        <f t="shared" si="185"/>
        <v>9</v>
      </c>
      <c r="K2415">
        <f t="shared" si="186"/>
        <v>2</v>
      </c>
      <c r="L2415" t="str">
        <f t="shared" si="187"/>
        <v>No</v>
      </c>
      <c r="M2415" t="str">
        <f t="shared" si="189"/>
        <v>No</v>
      </c>
      <c r="N2415" t="str">
        <f t="shared" si="188"/>
        <v>No</v>
      </c>
    </row>
    <row r="2416" spans="1:14" x14ac:dyDescent="0.3">
      <c r="A2416" s="2" t="s">
        <v>4849</v>
      </c>
      <c r="B2416" s="2" t="s">
        <v>4850</v>
      </c>
      <c r="C2416" s="2" t="s">
        <v>59</v>
      </c>
      <c r="D2416" s="3">
        <v>46023</v>
      </c>
      <c r="E2416" s="3">
        <v>46027</v>
      </c>
      <c r="F2416" s="3">
        <v>46027</v>
      </c>
      <c r="G2416" s="2" t="s">
        <v>11</v>
      </c>
      <c r="H2416" s="2">
        <v>60</v>
      </c>
      <c r="I2416" s="2">
        <v>60</v>
      </c>
      <c r="J2416">
        <f t="shared" si="185"/>
        <v>4</v>
      </c>
      <c r="K2416">
        <f t="shared" si="186"/>
        <v>0</v>
      </c>
      <c r="L2416" t="str">
        <f t="shared" si="187"/>
        <v>Yes</v>
      </c>
      <c r="M2416" t="str">
        <f t="shared" si="189"/>
        <v>Yes</v>
      </c>
      <c r="N2416" t="str">
        <f t="shared" si="188"/>
        <v>Yes</v>
      </c>
    </row>
    <row r="2417" spans="1:14" x14ac:dyDescent="0.3">
      <c r="A2417" s="4" t="s">
        <v>4851</v>
      </c>
      <c r="B2417" s="4" t="s">
        <v>4852</v>
      </c>
      <c r="C2417" s="4" t="s">
        <v>21</v>
      </c>
      <c r="D2417" s="5">
        <v>46021</v>
      </c>
      <c r="E2417" s="5">
        <v>46024</v>
      </c>
      <c r="F2417" s="5">
        <v>46029</v>
      </c>
      <c r="G2417" s="4" t="s">
        <v>40</v>
      </c>
      <c r="H2417" s="4">
        <v>35</v>
      </c>
      <c r="I2417" s="2">
        <v>35</v>
      </c>
      <c r="J2417">
        <f t="shared" si="185"/>
        <v>8</v>
      </c>
      <c r="K2417">
        <f t="shared" si="186"/>
        <v>5</v>
      </c>
      <c r="L2417" t="str">
        <f t="shared" si="187"/>
        <v>No</v>
      </c>
      <c r="M2417" t="str">
        <f t="shared" si="189"/>
        <v>Yes</v>
      </c>
      <c r="N2417" t="str">
        <f t="shared" si="188"/>
        <v>No</v>
      </c>
    </row>
    <row r="2418" spans="1:14" x14ac:dyDescent="0.3">
      <c r="A2418" s="2" t="s">
        <v>4853</v>
      </c>
      <c r="B2418" s="2" t="s">
        <v>4854</v>
      </c>
      <c r="C2418" s="2" t="s">
        <v>21</v>
      </c>
      <c r="D2418" s="3">
        <v>46023</v>
      </c>
      <c r="E2418" s="3">
        <v>46024</v>
      </c>
      <c r="F2418" s="3">
        <v>46029</v>
      </c>
      <c r="G2418" s="2" t="s">
        <v>15</v>
      </c>
      <c r="H2418" s="2">
        <v>58</v>
      </c>
      <c r="I2418" s="2">
        <v>58</v>
      </c>
      <c r="J2418">
        <f t="shared" si="185"/>
        <v>6</v>
      </c>
      <c r="K2418">
        <f t="shared" si="186"/>
        <v>5</v>
      </c>
      <c r="L2418" t="str">
        <f t="shared" si="187"/>
        <v>No</v>
      </c>
      <c r="M2418" t="str">
        <f t="shared" si="189"/>
        <v>Yes</v>
      </c>
      <c r="N2418" t="str">
        <f t="shared" si="188"/>
        <v>No</v>
      </c>
    </row>
    <row r="2419" spans="1:14" x14ac:dyDescent="0.3">
      <c r="A2419" s="4" t="s">
        <v>4855</v>
      </c>
      <c r="B2419" s="4" t="s">
        <v>4856</v>
      </c>
      <c r="C2419" s="4" t="s">
        <v>21</v>
      </c>
      <c r="D2419" s="5">
        <v>46022</v>
      </c>
      <c r="E2419" s="5">
        <v>46025</v>
      </c>
      <c r="F2419" s="5">
        <v>46029</v>
      </c>
      <c r="G2419" s="4" t="s">
        <v>15</v>
      </c>
      <c r="H2419" s="4">
        <v>27</v>
      </c>
      <c r="I2419" s="2">
        <v>27</v>
      </c>
      <c r="J2419">
        <f t="shared" si="185"/>
        <v>7</v>
      </c>
      <c r="K2419">
        <f t="shared" si="186"/>
        <v>4</v>
      </c>
      <c r="L2419" t="str">
        <f t="shared" si="187"/>
        <v>No</v>
      </c>
      <c r="M2419" t="str">
        <f t="shared" si="189"/>
        <v>Yes</v>
      </c>
      <c r="N2419" t="str">
        <f t="shared" si="188"/>
        <v>No</v>
      </c>
    </row>
    <row r="2420" spans="1:14" x14ac:dyDescent="0.3">
      <c r="A2420" s="2" t="s">
        <v>4857</v>
      </c>
      <c r="B2420" s="2" t="s">
        <v>4858</v>
      </c>
      <c r="C2420" s="2" t="s">
        <v>27</v>
      </c>
      <c r="D2420" s="3">
        <v>46021</v>
      </c>
      <c r="E2420" s="3">
        <v>46024</v>
      </c>
      <c r="F2420" s="3">
        <v>46035</v>
      </c>
      <c r="G2420" s="2" t="s">
        <v>40</v>
      </c>
      <c r="H2420" s="2">
        <v>8</v>
      </c>
      <c r="I2420" s="2">
        <v>8</v>
      </c>
      <c r="J2420">
        <f t="shared" si="185"/>
        <v>14</v>
      </c>
      <c r="K2420">
        <f t="shared" si="186"/>
        <v>11</v>
      </c>
      <c r="L2420" t="str">
        <f t="shared" si="187"/>
        <v>No</v>
      </c>
      <c r="M2420" t="str">
        <f t="shared" si="189"/>
        <v>Yes</v>
      </c>
      <c r="N2420" t="str">
        <f t="shared" si="188"/>
        <v>No</v>
      </c>
    </row>
    <row r="2421" spans="1:14" x14ac:dyDescent="0.3">
      <c r="A2421" s="4" t="s">
        <v>4859</v>
      </c>
      <c r="B2421" s="4" t="s">
        <v>4860</v>
      </c>
      <c r="C2421" s="4" t="s">
        <v>34</v>
      </c>
      <c r="D2421" s="5">
        <v>46022</v>
      </c>
      <c r="E2421" s="5">
        <v>46029</v>
      </c>
      <c r="F2421" s="5">
        <v>46030</v>
      </c>
      <c r="G2421" s="4" t="s">
        <v>22</v>
      </c>
      <c r="H2421" s="4">
        <v>55</v>
      </c>
      <c r="I2421" s="2">
        <v>55</v>
      </c>
      <c r="J2421">
        <f t="shared" si="185"/>
        <v>8</v>
      </c>
      <c r="K2421">
        <f t="shared" si="186"/>
        <v>1</v>
      </c>
      <c r="L2421" t="str">
        <f t="shared" si="187"/>
        <v>No</v>
      </c>
      <c r="M2421" t="str">
        <f t="shared" si="189"/>
        <v>Yes</v>
      </c>
      <c r="N2421" t="str">
        <f t="shared" si="188"/>
        <v>No</v>
      </c>
    </row>
    <row r="2422" spans="1:14" x14ac:dyDescent="0.3">
      <c r="A2422" s="2" t="s">
        <v>4861</v>
      </c>
      <c r="B2422" s="2" t="s">
        <v>4862</v>
      </c>
      <c r="C2422" s="2" t="s">
        <v>37</v>
      </c>
      <c r="D2422" s="3">
        <v>46024</v>
      </c>
      <c r="E2422" s="3">
        <v>46026</v>
      </c>
      <c r="F2422" s="3">
        <v>46039</v>
      </c>
      <c r="G2422" s="2" t="s">
        <v>11</v>
      </c>
      <c r="H2422" s="2">
        <v>59</v>
      </c>
      <c r="I2422" s="2">
        <v>63</v>
      </c>
      <c r="J2422">
        <f t="shared" si="185"/>
        <v>15</v>
      </c>
      <c r="K2422">
        <f t="shared" si="186"/>
        <v>13</v>
      </c>
      <c r="L2422" t="str">
        <f t="shared" si="187"/>
        <v>No</v>
      </c>
      <c r="M2422" t="str">
        <f t="shared" si="189"/>
        <v>No</v>
      </c>
      <c r="N2422" t="str">
        <f t="shared" si="188"/>
        <v>No</v>
      </c>
    </row>
    <row r="2423" spans="1:14" x14ac:dyDescent="0.3">
      <c r="A2423" s="4" t="s">
        <v>4863</v>
      </c>
      <c r="B2423" s="4" t="s">
        <v>4864</v>
      </c>
      <c r="C2423" s="4" t="s">
        <v>10</v>
      </c>
      <c r="D2423" s="5">
        <v>46023</v>
      </c>
      <c r="E2423" s="5">
        <v>46029</v>
      </c>
      <c r="F2423" s="5">
        <v>46030</v>
      </c>
      <c r="G2423" s="4" t="s">
        <v>40</v>
      </c>
      <c r="H2423" s="4">
        <v>13</v>
      </c>
      <c r="I2423" s="2">
        <v>13</v>
      </c>
      <c r="J2423">
        <f t="shared" si="185"/>
        <v>7</v>
      </c>
      <c r="K2423">
        <f t="shared" si="186"/>
        <v>1</v>
      </c>
      <c r="L2423" t="str">
        <f t="shared" si="187"/>
        <v>No</v>
      </c>
      <c r="M2423" t="str">
        <f t="shared" si="189"/>
        <v>Yes</v>
      </c>
      <c r="N2423" t="str">
        <f t="shared" si="188"/>
        <v>No</v>
      </c>
    </row>
    <row r="2424" spans="1:14" x14ac:dyDescent="0.3">
      <c r="A2424" s="2" t="s">
        <v>4865</v>
      </c>
      <c r="B2424" s="2" t="s">
        <v>4866</v>
      </c>
      <c r="C2424" s="2" t="s">
        <v>14</v>
      </c>
      <c r="D2424" s="3">
        <v>46022</v>
      </c>
      <c r="E2424" s="3">
        <v>46028</v>
      </c>
      <c r="F2424" s="3">
        <v>46037</v>
      </c>
      <c r="G2424" s="2" t="s">
        <v>40</v>
      </c>
      <c r="H2424" s="2">
        <v>23</v>
      </c>
      <c r="I2424" s="2">
        <v>23</v>
      </c>
      <c r="J2424">
        <f t="shared" si="185"/>
        <v>15</v>
      </c>
      <c r="K2424">
        <f t="shared" si="186"/>
        <v>9</v>
      </c>
      <c r="L2424" t="str">
        <f t="shared" si="187"/>
        <v>No</v>
      </c>
      <c r="M2424" t="str">
        <f t="shared" si="189"/>
        <v>Yes</v>
      </c>
      <c r="N2424" t="str">
        <f t="shared" si="188"/>
        <v>No</v>
      </c>
    </row>
    <row r="2425" spans="1:14" x14ac:dyDescent="0.3">
      <c r="A2425" s="4" t="s">
        <v>4867</v>
      </c>
      <c r="B2425" s="4" t="s">
        <v>4868</v>
      </c>
      <c r="C2425" s="4" t="s">
        <v>59</v>
      </c>
      <c r="D2425" s="5">
        <v>46023</v>
      </c>
      <c r="E2425" s="5">
        <v>46028</v>
      </c>
      <c r="F2425" s="5">
        <v>46027</v>
      </c>
      <c r="G2425" s="4" t="s">
        <v>11</v>
      </c>
      <c r="H2425" s="4">
        <v>23</v>
      </c>
      <c r="I2425" s="2">
        <v>23</v>
      </c>
      <c r="J2425">
        <f t="shared" si="185"/>
        <v>4</v>
      </c>
      <c r="K2425">
        <f t="shared" si="186"/>
        <v>-1</v>
      </c>
      <c r="L2425" t="str">
        <f t="shared" si="187"/>
        <v>Yes</v>
      </c>
      <c r="M2425" t="str">
        <f t="shared" si="189"/>
        <v>Yes</v>
      </c>
      <c r="N2425" t="str">
        <f t="shared" si="188"/>
        <v>Yes</v>
      </c>
    </row>
    <row r="2426" spans="1:14" x14ac:dyDescent="0.3">
      <c r="A2426" s="2" t="s">
        <v>4869</v>
      </c>
      <c r="B2426" s="2" t="s">
        <v>4870</v>
      </c>
      <c r="C2426" s="2" t="s">
        <v>59</v>
      </c>
      <c r="D2426" s="3">
        <v>46022</v>
      </c>
      <c r="E2426" s="3">
        <v>46032</v>
      </c>
      <c r="F2426" s="3">
        <v>46026</v>
      </c>
      <c r="G2426" s="2" t="s">
        <v>11</v>
      </c>
      <c r="H2426" s="2">
        <v>18</v>
      </c>
      <c r="I2426" s="2">
        <v>18</v>
      </c>
      <c r="J2426">
        <f t="shared" si="185"/>
        <v>4</v>
      </c>
      <c r="K2426">
        <f t="shared" si="186"/>
        <v>-6</v>
      </c>
      <c r="L2426" t="str">
        <f t="shared" si="187"/>
        <v>Yes</v>
      </c>
      <c r="M2426" t="str">
        <f t="shared" si="189"/>
        <v>Yes</v>
      </c>
      <c r="N2426" t="str">
        <f t="shared" si="188"/>
        <v>Yes</v>
      </c>
    </row>
    <row r="2427" spans="1:14" x14ac:dyDescent="0.3">
      <c r="A2427" s="4" t="s">
        <v>4871</v>
      </c>
      <c r="B2427" s="4" t="s">
        <v>4872</v>
      </c>
      <c r="C2427" s="4" t="s">
        <v>21</v>
      </c>
      <c r="D2427" s="5">
        <v>46024</v>
      </c>
      <c r="E2427" s="5">
        <v>46026</v>
      </c>
      <c r="F2427" s="5">
        <v>46031</v>
      </c>
      <c r="G2427" s="4" t="s">
        <v>18</v>
      </c>
      <c r="H2427" s="4">
        <v>11</v>
      </c>
      <c r="I2427" s="2">
        <v>11</v>
      </c>
      <c r="J2427">
        <f t="shared" si="185"/>
        <v>7</v>
      </c>
      <c r="K2427">
        <f t="shared" si="186"/>
        <v>5</v>
      </c>
      <c r="L2427" t="str">
        <f t="shared" si="187"/>
        <v>No</v>
      </c>
      <c r="M2427" t="str">
        <f t="shared" si="189"/>
        <v>Yes</v>
      </c>
      <c r="N2427" t="str">
        <f t="shared" si="188"/>
        <v>No</v>
      </c>
    </row>
    <row r="2428" spans="1:14" x14ac:dyDescent="0.3">
      <c r="A2428" s="2" t="s">
        <v>4873</v>
      </c>
      <c r="B2428" s="2" t="s">
        <v>4874</v>
      </c>
      <c r="C2428" s="2" t="s">
        <v>21</v>
      </c>
      <c r="D2428" s="3">
        <v>46024</v>
      </c>
      <c r="E2428" s="3">
        <v>46025</v>
      </c>
      <c r="F2428" s="3">
        <v>46029</v>
      </c>
      <c r="G2428" s="2" t="s">
        <v>11</v>
      </c>
      <c r="H2428" s="2">
        <v>36</v>
      </c>
      <c r="I2428" s="2">
        <v>36</v>
      </c>
      <c r="J2428">
        <f t="shared" si="185"/>
        <v>5</v>
      </c>
      <c r="K2428">
        <f t="shared" si="186"/>
        <v>4</v>
      </c>
      <c r="L2428" t="str">
        <f t="shared" si="187"/>
        <v>No</v>
      </c>
      <c r="M2428" t="str">
        <f t="shared" si="189"/>
        <v>Yes</v>
      </c>
      <c r="N2428" t="str">
        <f t="shared" si="188"/>
        <v>No</v>
      </c>
    </row>
    <row r="2429" spans="1:14" x14ac:dyDescent="0.3">
      <c r="A2429" s="4" t="s">
        <v>4875</v>
      </c>
      <c r="B2429" s="4" t="s">
        <v>4876</v>
      </c>
      <c r="C2429" s="4" t="s">
        <v>27</v>
      </c>
      <c r="D2429" s="5">
        <v>46022</v>
      </c>
      <c r="E2429" s="5">
        <v>46028</v>
      </c>
      <c r="F2429" s="5">
        <v>46035</v>
      </c>
      <c r="G2429" s="4" t="s">
        <v>18</v>
      </c>
      <c r="H2429" s="4">
        <v>25</v>
      </c>
      <c r="I2429" s="2">
        <v>25</v>
      </c>
      <c r="J2429">
        <f t="shared" si="185"/>
        <v>13</v>
      </c>
      <c r="K2429">
        <f t="shared" si="186"/>
        <v>7</v>
      </c>
      <c r="L2429" t="str">
        <f t="shared" si="187"/>
        <v>No</v>
      </c>
      <c r="M2429" t="str">
        <f>IF(H2429=I2429,"Yes","No")</f>
        <v>Yes</v>
      </c>
      <c r="N2429" t="str">
        <f t="shared" si="188"/>
        <v>No</v>
      </c>
    </row>
    <row r="2430" spans="1:14" x14ac:dyDescent="0.3">
      <c r="A2430" s="2" t="s">
        <v>4877</v>
      </c>
      <c r="B2430" s="2" t="s">
        <v>4878</v>
      </c>
      <c r="C2430" s="2" t="s">
        <v>27</v>
      </c>
      <c r="D2430" s="3">
        <v>46023</v>
      </c>
      <c r="E2430" s="3">
        <v>46027</v>
      </c>
      <c r="F2430" s="3">
        <v>46037</v>
      </c>
      <c r="G2430" s="2" t="s">
        <v>18</v>
      </c>
      <c r="H2430" s="2">
        <v>10</v>
      </c>
      <c r="I2430" s="2">
        <v>10</v>
      </c>
      <c r="J2430">
        <f t="shared" si="185"/>
        <v>14</v>
      </c>
      <c r="K2430">
        <f t="shared" si="186"/>
        <v>10</v>
      </c>
      <c r="L2430" t="str">
        <f t="shared" si="187"/>
        <v>No</v>
      </c>
      <c r="M2430" t="str">
        <f>IF(H2430=I2430,"Yes","No")</f>
        <v>Yes</v>
      </c>
      <c r="N2430" t="str">
        <f t="shared" si="188"/>
        <v>No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88A68-A60B-4494-93C2-96A1ABE0B76A}">
  <dimension ref="A1:J24"/>
  <sheetViews>
    <sheetView tabSelected="1" topLeftCell="B1" zoomScale="86" workbookViewId="0">
      <selection activeCell="G9" sqref="G9:I14"/>
    </sheetView>
  </sheetViews>
  <sheetFormatPr defaultRowHeight="14.4" x14ac:dyDescent="0.3"/>
  <cols>
    <col min="1" max="1" width="26.33203125" bestFit="1" customWidth="1"/>
    <col min="2" max="2" width="26.5546875" customWidth="1"/>
    <col min="4" max="4" width="42.88671875" bestFit="1" customWidth="1"/>
    <col min="5" max="5" width="21" customWidth="1"/>
    <col min="7" max="7" width="12.88671875" customWidth="1"/>
    <col min="8" max="8" width="15.77734375" customWidth="1"/>
    <col min="9" max="9" width="14.6640625" customWidth="1"/>
    <col min="10" max="10" width="15.21875" customWidth="1"/>
  </cols>
  <sheetData>
    <row r="1" spans="1:10" x14ac:dyDescent="0.3">
      <c r="A1" s="16" t="s">
        <v>4885</v>
      </c>
      <c r="B1" s="20" t="s">
        <v>4886</v>
      </c>
      <c r="D1" s="16" t="s">
        <v>4911</v>
      </c>
      <c r="E1" s="16" t="s">
        <v>4896</v>
      </c>
      <c r="G1" s="29" t="s">
        <v>6</v>
      </c>
      <c r="H1" s="29" t="s">
        <v>4896</v>
      </c>
      <c r="I1" s="29" t="s">
        <v>4890</v>
      </c>
      <c r="J1" s="29" t="s">
        <v>4914</v>
      </c>
    </row>
    <row r="2" spans="1:10" ht="18" x14ac:dyDescent="0.3">
      <c r="A2" s="19" t="s">
        <v>4887</v>
      </c>
      <c r="B2" s="8">
        <f>COUNTA(Raw_Shipments!A:A)-1</f>
        <v>2429</v>
      </c>
      <c r="D2" s="19" t="s">
        <v>4903</v>
      </c>
      <c r="E2" s="8">
        <v>475</v>
      </c>
      <c r="G2" s="19" t="s">
        <v>15</v>
      </c>
      <c r="H2" s="8">
        <f>COUNTIF(Raw_Shipments!G:G,G2)</f>
        <v>446</v>
      </c>
      <c r="I2" s="9">
        <f>COUNTIFS(Raw_Shipments!G:G,G2,Raw_Shipments!N:N,"Yes")/H2</f>
        <v>0.20403587443946189</v>
      </c>
      <c r="J2" s="10">
        <f>AVERAGEIF(Raw_Shipments!G:G,G2,Raw_Shipments!K:K)</f>
        <v>4.4955156950672643</v>
      </c>
    </row>
    <row r="3" spans="1:10" ht="18" x14ac:dyDescent="0.3">
      <c r="A3" s="17" t="s">
        <v>4888</v>
      </c>
      <c r="B3" s="18">
        <f>COUNTIF(Raw_Shipments!L:L,"Yes")/(COUNTA(Raw_Shipments!A:A)-1)</f>
        <v>0.23260601070399342</v>
      </c>
      <c r="D3" s="19" t="s">
        <v>4912</v>
      </c>
      <c r="E3" s="8">
        <f>COUNTIFS(Raw_Shipments!L:L,"No",Raw_Shipments!M:M,"Yes")</f>
        <v>1506</v>
      </c>
      <c r="G3" s="19" t="s">
        <v>18</v>
      </c>
      <c r="H3" s="8">
        <f>COUNTIF(Raw_Shipments!G:G,G3)</f>
        <v>475</v>
      </c>
      <c r="I3" s="9">
        <f>COUNTIFS(Raw_Shipments!G:G,G3,Raw_Shipments!N:N,"Yes")/H3</f>
        <v>0.19578947368421051</v>
      </c>
      <c r="J3" s="10">
        <f>AVERAGEIF(Raw_Shipments!G:G,G3,Raw_Shipments!K:K)</f>
        <v>4.6505263157894738</v>
      </c>
    </row>
    <row r="4" spans="1:10" ht="18" x14ac:dyDescent="0.3">
      <c r="A4" s="7" t="s">
        <v>4889</v>
      </c>
      <c r="B4" s="9">
        <f>COUNTIF(Raw_Shipments!M:M,"Yes")/(COUNTA(Raw_Shipments!A:A)-1)</f>
        <v>0.81556195965417866</v>
      </c>
      <c r="D4" s="19" t="s">
        <v>4913</v>
      </c>
      <c r="E4" s="8">
        <f>COUNTIFS(Raw_Shipments!L:L,"Yes",Raw_Shipments!M:M,"No")</f>
        <v>90</v>
      </c>
      <c r="G4" s="19" t="s">
        <v>22</v>
      </c>
      <c r="H4" s="8">
        <f>COUNTIF(Raw_Shipments!G:G,G4)</f>
        <v>496</v>
      </c>
      <c r="I4" s="9">
        <f>COUNTIFS(Raw_Shipments!G:G,G4,Raw_Shipments!N:N,"Yes")/H4</f>
        <v>0.19556451612903225</v>
      </c>
      <c r="J4" s="10">
        <f>AVERAGEIF(Raw_Shipments!G:G,G4,Raw_Shipments!K:K)</f>
        <v>4.758064516129032</v>
      </c>
    </row>
    <row r="5" spans="1:10" ht="18" x14ac:dyDescent="0.3">
      <c r="A5" s="7" t="s">
        <v>4890</v>
      </c>
      <c r="B5" s="9">
        <f>COUNTIF(Raw_Shipments!N:N,"Yes")/(COUNTA(Raw_Shipments!A:A)-1)</f>
        <v>0.1955537258130918</v>
      </c>
      <c r="D5" s="19" t="s">
        <v>4913</v>
      </c>
      <c r="E5" s="8">
        <f>COUNTIFS(Raw_Shipments!L:L,"No",Raw_Shipments!M:M,"No")</f>
        <v>358</v>
      </c>
      <c r="G5" s="19" t="s">
        <v>11</v>
      </c>
      <c r="H5" s="8">
        <f>COUNTIF(Raw_Shipments!G:G,G5)</f>
        <v>511</v>
      </c>
      <c r="I5" s="9">
        <f>H13</f>
        <v>0.20743639921722112</v>
      </c>
      <c r="J5" s="10">
        <f>AVERAGEIF(Raw_Shipments!G:G,G5,Raw_Shipments!K:K)</f>
        <v>5.1428571428571432</v>
      </c>
    </row>
    <row r="6" spans="1:10" ht="18" x14ac:dyDescent="0.3">
      <c r="A6" s="7" t="s">
        <v>4891</v>
      </c>
      <c r="B6" s="10">
        <f>AVERAGE(Raw_Shipments!J:J)</f>
        <v>10.419925895430218</v>
      </c>
      <c r="G6" s="19" t="s">
        <v>40</v>
      </c>
      <c r="H6" s="8">
        <f>COUNTIF(Raw_Shipments!G:G,G6)</f>
        <v>501</v>
      </c>
      <c r="I6" s="9">
        <f>COUNTIFS(Raw_Shipments!G:G,G6,Raw_Shipments!N:N,"Yes")/H6</f>
        <v>0.17564870259481039</v>
      </c>
      <c r="J6" s="10">
        <f>AVERAGEIF(Raw_Shipments!G:G,G6,Raw_Shipments!K:K)</f>
        <v>5.1916167664670656</v>
      </c>
    </row>
    <row r="7" spans="1:10" ht="15.6" x14ac:dyDescent="0.3">
      <c r="A7" s="7" t="s">
        <v>4892</v>
      </c>
      <c r="B7" s="11">
        <f>AVERAGEIF(Raw_Shipments!K:K,"&gt;0",Raw_Shipments!K:K)</f>
        <v>6.9206008583690988</v>
      </c>
    </row>
    <row r="9" spans="1:10" x14ac:dyDescent="0.3">
      <c r="G9" s="29" t="s">
        <v>6</v>
      </c>
      <c r="H9" s="29" t="s">
        <v>4890</v>
      </c>
      <c r="I9" s="29" t="s">
        <v>4916</v>
      </c>
    </row>
    <row r="10" spans="1:10" ht="18" x14ac:dyDescent="0.3">
      <c r="A10" s="16" t="s">
        <v>4895</v>
      </c>
      <c r="B10" s="16" t="s">
        <v>4896</v>
      </c>
      <c r="G10" s="19" t="s">
        <v>11</v>
      </c>
      <c r="H10" s="9">
        <f>COUNTIFS(Raw_Shipments!G:G,G2,Raw_Shipments!N:N,"Yes")/H2</f>
        <v>0.20403587443946189</v>
      </c>
      <c r="I10" s="8">
        <f>_xlfn.RANK.EQ(H10,$H$10:$H$14,0)</f>
        <v>2</v>
      </c>
    </row>
    <row r="11" spans="1:10" ht="18" x14ac:dyDescent="0.3">
      <c r="A11" s="19" t="s">
        <v>4897</v>
      </c>
      <c r="B11" s="8">
        <f>COUNTIF(Raw_Shipments!L:L,"Yes")</f>
        <v>565</v>
      </c>
      <c r="G11" s="19" t="s">
        <v>15</v>
      </c>
      <c r="H11" s="9">
        <f>COUNTIFS(Raw_Shipments!G:G,G3,Raw_Shipments!N:N,"Yes")/H3</f>
        <v>0.19578947368421051</v>
      </c>
      <c r="I11" s="8">
        <f t="shared" ref="I11:I14" si="0">_xlfn.RANK.EQ(H11,$H$10:$H$14,0)</f>
        <v>3</v>
      </c>
    </row>
    <row r="12" spans="1:10" ht="18" x14ac:dyDescent="0.3">
      <c r="A12" s="19" t="s">
        <v>4898</v>
      </c>
      <c r="B12" s="8">
        <f>COUNTIF(Raw_Shipments!L:L,"No")</f>
        <v>1864</v>
      </c>
      <c r="G12" s="19" t="s">
        <v>18</v>
      </c>
      <c r="H12" s="9">
        <f>COUNTIFS(Raw_Shipments!G:G,G4,Raw_Shipments!N:N,"Yes")/H4</f>
        <v>0.19556451612903225</v>
      </c>
      <c r="I12" s="8">
        <f t="shared" si="0"/>
        <v>4</v>
      </c>
    </row>
    <row r="13" spans="1:10" ht="18" x14ac:dyDescent="0.3">
      <c r="G13" s="19" t="s">
        <v>22</v>
      </c>
      <c r="H13" s="9">
        <f>COUNTIFS(Raw_Shipments!G:G,G5,Raw_Shipments!N:N,"Yes")/H5</f>
        <v>0.20743639921722112</v>
      </c>
      <c r="I13" s="8">
        <f t="shared" si="0"/>
        <v>1</v>
      </c>
    </row>
    <row r="14" spans="1:10" ht="18" x14ac:dyDescent="0.3">
      <c r="G14" s="19" t="s">
        <v>40</v>
      </c>
      <c r="H14" s="9">
        <f>COUNTIFS(Raw_Shipments!G:G,G6,Raw_Shipments!N:N,"Yes")/H6</f>
        <v>0.17564870259481039</v>
      </c>
      <c r="I14" s="8">
        <f t="shared" si="0"/>
        <v>5</v>
      </c>
    </row>
    <row r="16" spans="1:10" x14ac:dyDescent="0.3">
      <c r="A16" s="16" t="s">
        <v>4899</v>
      </c>
      <c r="B16" s="16" t="s">
        <v>4896</v>
      </c>
    </row>
    <row r="17" spans="1:10" ht="18" x14ac:dyDescent="0.3">
      <c r="A17" s="19" t="s">
        <v>4900</v>
      </c>
      <c r="B17" s="8">
        <f>COUNTIF(Raw_Shipments!M:M,"Yes")</f>
        <v>1981</v>
      </c>
      <c r="D17" s="16" t="s">
        <v>4917</v>
      </c>
      <c r="E17" s="61" t="s">
        <v>4918</v>
      </c>
      <c r="F17" s="62"/>
      <c r="G17" s="62"/>
      <c r="H17" s="62"/>
      <c r="I17" s="62"/>
      <c r="J17" s="62"/>
    </row>
    <row r="18" spans="1:10" ht="18" x14ac:dyDescent="0.3">
      <c r="A18" s="19" t="s">
        <v>4901</v>
      </c>
      <c r="B18" s="8">
        <f>COUNTIF(Raw_Shipments!M:M,"No")</f>
        <v>448</v>
      </c>
      <c r="D18" s="19" t="s">
        <v>4919</v>
      </c>
      <c r="E18" s="58" t="s">
        <v>4920</v>
      </c>
      <c r="F18" s="59"/>
      <c r="G18" s="59"/>
      <c r="H18" s="59"/>
      <c r="I18" s="59"/>
      <c r="J18" s="60"/>
    </row>
    <row r="19" spans="1:10" ht="18" x14ac:dyDescent="0.3">
      <c r="D19" s="19" t="s">
        <v>4921</v>
      </c>
      <c r="E19" s="58" t="s">
        <v>4922</v>
      </c>
      <c r="F19" s="59"/>
      <c r="G19" s="59"/>
      <c r="H19" s="59"/>
      <c r="I19" s="59"/>
      <c r="J19" s="60"/>
    </row>
    <row r="20" spans="1:10" ht="18" x14ac:dyDescent="0.3">
      <c r="D20" s="19" t="s">
        <v>4923</v>
      </c>
      <c r="E20" s="58" t="s">
        <v>4924</v>
      </c>
      <c r="F20" s="59"/>
      <c r="G20" s="59"/>
      <c r="H20" s="59"/>
      <c r="I20" s="59"/>
      <c r="J20" s="60"/>
    </row>
    <row r="22" spans="1:10" x14ac:dyDescent="0.3">
      <c r="A22" s="16" t="s">
        <v>4902</v>
      </c>
      <c r="B22" s="16" t="s">
        <v>4896</v>
      </c>
    </row>
    <row r="23" spans="1:10" ht="18" x14ac:dyDescent="0.3">
      <c r="A23" s="19" t="s">
        <v>4903</v>
      </c>
      <c r="B23" s="8">
        <f>COUNTIF(Raw_Shipments!N:N,"Yes")</f>
        <v>475</v>
      </c>
    </row>
    <row r="24" spans="1:10" ht="18" x14ac:dyDescent="0.3">
      <c r="A24" s="19" t="s">
        <v>4904</v>
      </c>
      <c r="B24" s="8">
        <f>COUNTIF(Raw_Shipments!N:N,"No")</f>
        <v>1954</v>
      </c>
    </row>
  </sheetData>
  <sortState xmlns:xlrd2="http://schemas.microsoft.com/office/spreadsheetml/2017/richdata2" ref="G2:J6">
    <sortCondition ref="J2:J6"/>
  </sortState>
  <mergeCells count="4">
    <mergeCell ref="E18:J18"/>
    <mergeCell ref="E17:J17"/>
    <mergeCell ref="E19:J19"/>
    <mergeCell ref="E20:J2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6746A-0523-4FCE-89A5-86B0A280503D}">
  <sheetPr>
    <pageSetUpPr fitToPage="1"/>
  </sheetPr>
  <dimension ref="A1:Q53"/>
  <sheetViews>
    <sheetView showGridLines="0" zoomScale="48" workbookViewId="0">
      <selection sqref="A1:Q53"/>
    </sheetView>
  </sheetViews>
  <sheetFormatPr defaultRowHeight="14.4" x14ac:dyDescent="0.3"/>
  <cols>
    <col min="1" max="1" width="26.33203125" bestFit="1" customWidth="1"/>
    <col min="6" max="6" width="26.109375" bestFit="1" customWidth="1"/>
  </cols>
  <sheetData>
    <row r="1" spans="1:17" ht="14.4" customHeight="1" x14ac:dyDescent="0.3">
      <c r="A1" s="37" t="s">
        <v>4893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</row>
    <row r="2" spans="1:17" ht="21" customHeight="1" x14ac:dyDescent="0.3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</row>
    <row r="3" spans="1:17" ht="14.4" customHeight="1" x14ac:dyDescent="0.3">
      <c r="B3" s="13"/>
      <c r="C3" s="27"/>
      <c r="D3" s="27"/>
      <c r="E3" s="27"/>
      <c r="F3" s="27"/>
    </row>
    <row r="4" spans="1:17" x14ac:dyDescent="0.3">
      <c r="F4" s="21"/>
    </row>
    <row r="5" spans="1:17" ht="25.05" customHeight="1" x14ac:dyDescent="0.3">
      <c r="A5" s="38" t="s">
        <v>4887</v>
      </c>
      <c r="B5" s="39"/>
      <c r="C5" s="40"/>
      <c r="E5" s="25"/>
      <c r="F5" s="38" t="s">
        <v>4894</v>
      </c>
      <c r="G5" s="39"/>
      <c r="H5" s="40"/>
      <c r="I5" s="22"/>
      <c r="J5" s="38" t="s">
        <v>4889</v>
      </c>
      <c r="K5" s="44"/>
      <c r="L5" s="44"/>
      <c r="M5" s="44"/>
      <c r="N5" s="45"/>
    </row>
    <row r="6" spans="1:17" ht="18" x14ac:dyDescent="0.35">
      <c r="A6" s="41">
        <f>Calculations!B2</f>
        <v>2429</v>
      </c>
      <c r="B6" s="42"/>
      <c r="C6" s="43"/>
      <c r="E6" s="23"/>
      <c r="F6" s="49">
        <f>Calculations!B3</f>
        <v>0.23260601070399342</v>
      </c>
      <c r="G6" s="50"/>
      <c r="H6" s="51"/>
      <c r="I6" s="24"/>
      <c r="J6" s="46">
        <f>Calculations!B4</f>
        <v>0.81556195965417866</v>
      </c>
      <c r="K6" s="47"/>
      <c r="L6" s="47"/>
      <c r="M6" s="47"/>
      <c r="N6" s="48"/>
    </row>
    <row r="7" spans="1:17" x14ac:dyDescent="0.3">
      <c r="F7" s="12"/>
    </row>
    <row r="8" spans="1:17" x14ac:dyDescent="0.3">
      <c r="F8" s="12"/>
    </row>
    <row r="9" spans="1:17" ht="18" x14ac:dyDescent="0.3">
      <c r="A9" s="38" t="s">
        <v>4890</v>
      </c>
      <c r="B9" s="39"/>
      <c r="C9" s="40"/>
      <c r="E9" s="25"/>
      <c r="F9" s="38" t="s">
        <v>4891</v>
      </c>
      <c r="G9" s="39"/>
      <c r="H9" s="40"/>
      <c r="I9" s="22"/>
      <c r="J9" s="38" t="s">
        <v>4892</v>
      </c>
      <c r="K9" s="39"/>
      <c r="L9" s="39"/>
      <c r="M9" s="39"/>
      <c r="N9" s="40"/>
    </row>
    <row r="10" spans="1:17" ht="18" x14ac:dyDescent="0.35">
      <c r="A10" s="46">
        <f>Calculations!B5</f>
        <v>0.1955537258130918</v>
      </c>
      <c r="B10" s="47"/>
      <c r="C10" s="48"/>
      <c r="E10" s="24"/>
      <c r="F10" s="55">
        <f>Calculations!B6</f>
        <v>10.419925895430218</v>
      </c>
      <c r="G10" s="56"/>
      <c r="H10" s="57"/>
      <c r="I10" s="26"/>
      <c r="J10" s="52">
        <f>Calculations!B7</f>
        <v>6.9206008583690988</v>
      </c>
      <c r="K10" s="53"/>
      <c r="L10" s="53"/>
      <c r="M10" s="53"/>
      <c r="N10" s="54"/>
    </row>
    <row r="11" spans="1:17" x14ac:dyDescent="0.3">
      <c r="C11" s="14"/>
    </row>
    <row r="12" spans="1:17" x14ac:dyDescent="0.3">
      <c r="C12" s="12"/>
    </row>
    <row r="13" spans="1:17" x14ac:dyDescent="0.3">
      <c r="D13" s="12"/>
    </row>
    <row r="15" spans="1:17" x14ac:dyDescent="0.3">
      <c r="D15" s="28"/>
    </row>
    <row r="18" spans="1:17" x14ac:dyDescent="0.3">
      <c r="C18" s="14"/>
    </row>
    <row r="19" spans="1:17" x14ac:dyDescent="0.3">
      <c r="C19" s="15"/>
    </row>
    <row r="27" spans="1:17" ht="14.4" customHeight="1" x14ac:dyDescent="0.3">
      <c r="A27" s="37" t="s">
        <v>4905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</row>
    <row r="28" spans="1:17" ht="14.4" customHeight="1" x14ac:dyDescent="0.3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</row>
    <row r="29" spans="1:17" ht="21" x14ac:dyDescent="0.4">
      <c r="A29" s="33" t="s">
        <v>4906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</row>
    <row r="30" spans="1:17" ht="21" x14ac:dyDescent="0.4">
      <c r="A30" s="36" t="s">
        <v>4907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</row>
    <row r="31" spans="1:17" ht="21" x14ac:dyDescent="0.4">
      <c r="A31" s="36" t="s">
        <v>4908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</row>
    <row r="32" spans="1:17" ht="21" x14ac:dyDescent="0.4">
      <c r="A32" s="36" t="s">
        <v>4909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</row>
    <row r="33" spans="1:17" ht="21" x14ac:dyDescent="0.4">
      <c r="A33" s="36" t="s">
        <v>4910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</row>
    <row r="34" spans="1:17" ht="21" x14ac:dyDescent="0.4">
      <c r="A34" s="36" t="s">
        <v>4915</v>
      </c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</row>
    <row r="35" spans="1:17" ht="21" x14ac:dyDescent="0.4">
      <c r="A35" s="36" t="s">
        <v>4925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</row>
    <row r="38" spans="1:17" ht="15" customHeight="1" x14ac:dyDescent="0.3">
      <c r="A38" s="37" t="s">
        <v>4933</v>
      </c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</row>
    <row r="39" spans="1:17" ht="14.4" customHeight="1" x14ac:dyDescent="0.3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</row>
    <row r="40" spans="1:17" ht="21" x14ac:dyDescent="0.4">
      <c r="A40" s="32" t="s">
        <v>4926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</row>
    <row r="41" spans="1:17" ht="21" x14ac:dyDescent="0.4">
      <c r="A41" s="33" t="s">
        <v>4934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</row>
    <row r="42" spans="1:17" ht="21" x14ac:dyDescent="0.4">
      <c r="A42" s="32" t="s">
        <v>4927</v>
      </c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</row>
    <row r="43" spans="1:17" ht="21" x14ac:dyDescent="0.4">
      <c r="A43" s="33" t="s">
        <v>4932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</row>
    <row r="44" spans="1:17" ht="21" x14ac:dyDescent="0.4">
      <c r="A44" s="32" t="s">
        <v>4928</v>
      </c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</row>
    <row r="45" spans="1:17" ht="21" x14ac:dyDescent="0.4">
      <c r="A45" s="33" t="s">
        <v>4931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</row>
    <row r="46" spans="1:17" ht="21" x14ac:dyDescent="0.4">
      <c r="A46" s="32" t="s">
        <v>4929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</row>
    <row r="47" spans="1:17" ht="21" x14ac:dyDescent="0.4">
      <c r="A47" s="33" t="s">
        <v>4930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</row>
    <row r="51" spans="10:17" ht="21" x14ac:dyDescent="0.4">
      <c r="J51" s="30" t="s">
        <v>4936</v>
      </c>
      <c r="K51" s="31"/>
      <c r="L51" s="31"/>
      <c r="M51" s="31"/>
      <c r="N51" s="31"/>
      <c r="O51" s="31"/>
      <c r="P51" s="31"/>
      <c r="Q51" s="31"/>
    </row>
    <row r="52" spans="10:17" ht="21" x14ac:dyDescent="0.4">
      <c r="J52" s="34" t="s">
        <v>4935</v>
      </c>
      <c r="K52" s="35"/>
      <c r="L52" s="35"/>
      <c r="M52" s="35"/>
      <c r="N52" s="35"/>
      <c r="O52" s="35"/>
      <c r="P52" s="35"/>
      <c r="Q52" s="35"/>
    </row>
    <row r="53" spans="10:17" ht="21" x14ac:dyDescent="0.4">
      <c r="J53" s="30" t="s">
        <v>4937</v>
      </c>
      <c r="K53" s="31"/>
      <c r="L53" s="31"/>
      <c r="M53" s="31"/>
      <c r="N53" s="31"/>
      <c r="O53" s="31"/>
      <c r="P53" s="31"/>
      <c r="Q53" s="31"/>
    </row>
  </sheetData>
  <mergeCells count="33">
    <mergeCell ref="A1:Q2"/>
    <mergeCell ref="F5:H5"/>
    <mergeCell ref="F6:H6"/>
    <mergeCell ref="A9:C9"/>
    <mergeCell ref="A10:C10"/>
    <mergeCell ref="J9:N9"/>
    <mergeCell ref="J10:N10"/>
    <mergeCell ref="F9:H9"/>
    <mergeCell ref="F10:H10"/>
    <mergeCell ref="A35:Q35"/>
    <mergeCell ref="A38:Q39"/>
    <mergeCell ref="A40:Q40"/>
    <mergeCell ref="A5:C5"/>
    <mergeCell ref="A6:C6"/>
    <mergeCell ref="J5:N5"/>
    <mergeCell ref="J6:N6"/>
    <mergeCell ref="A27:Q28"/>
    <mergeCell ref="A34:Q34"/>
    <mergeCell ref="A29:Q29"/>
    <mergeCell ref="A30:Q30"/>
    <mergeCell ref="A31:Q31"/>
    <mergeCell ref="A32:Q32"/>
    <mergeCell ref="A33:Q33"/>
    <mergeCell ref="A41:Q41"/>
    <mergeCell ref="A42:Q42"/>
    <mergeCell ref="A43:Q43"/>
    <mergeCell ref="A44:Q44"/>
    <mergeCell ref="A45:Q45"/>
    <mergeCell ref="J53:Q53"/>
    <mergeCell ref="A46:Q46"/>
    <mergeCell ref="A47:Q47"/>
    <mergeCell ref="J51:Q51"/>
    <mergeCell ref="J52:Q52"/>
  </mergeCells>
  <printOptions horizontalCentered="1" verticalCentered="1"/>
  <pageMargins left="0.11811023622047245" right="0.11811023622047245" top="0.11811023622047245" bottom="0.11811023622047245" header="0.31496062992125984" footer="0.31496062992125984"/>
  <pageSetup scale="6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Raw_Shipments</vt:lpstr>
      <vt:lpstr>Calculations</vt:lpstr>
      <vt:lpstr>KPI_Analysis</vt:lpstr>
      <vt:lpstr>KPI_Analysis!Print_Area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sabavathnithin@outlook.com</cp:lastModifiedBy>
  <cp:revision>0</cp:revision>
  <cp:lastPrinted>2026-09-07T04:00:45Z</cp:lastPrinted>
  <dcterms:created xsi:type="dcterms:W3CDTF">2026-07-21T11:25:34Z</dcterms:created>
  <dcterms:modified xsi:type="dcterms:W3CDTF">2026-09-07T04:51:39Z</dcterms:modified>
  <dc:language>en-US</dc:language>
</cp:coreProperties>
</file>